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arangay Post Closing\"/>
    </mc:Choice>
  </mc:AlternateContent>
  <xr:revisionPtr revIDLastSave="0" documentId="13_ncr:1_{ACFEACE9-AD39-4DF4-AF63-E1B88598864B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61" i="1"/>
  <c r="C61" i="1"/>
  <c r="D60" i="1"/>
  <c r="D58" i="1"/>
  <c r="C20" i="1"/>
  <c r="C19" i="1"/>
  <c r="C18" i="1"/>
  <c r="C17" i="1"/>
  <c r="C16" i="1"/>
  <c r="C15" i="1"/>
  <c r="C14" i="1"/>
  <c r="C13" i="1"/>
  <c r="C12" i="1"/>
  <c r="D11" i="1"/>
  <c r="F12" i="1"/>
  <c r="D64" i="1" l="1"/>
  <c r="F10" i="1" l="1"/>
  <c r="E61" i="1"/>
</calcChain>
</file>

<file path=xl/sharedStrings.xml><?xml version="1.0" encoding="utf-8"?>
<sst xmlns="http://schemas.openxmlformats.org/spreadsheetml/2006/main" count="55" uniqueCount="39">
  <si>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</si>
  <si>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</si>
  <si>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</si>
  <si>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</si>
  <si>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</si>
  <si>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</si>
  <si>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</si>
  <si>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</si>
  <si>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</si>
  <si>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>Cash in Bank-Local Currency, Savings Account</t>
  </si>
  <si>
    <t>Due from Other Funds</t>
  </si>
  <si>
    <t>Property &amp; Equipment for Distribution</t>
  </si>
  <si>
    <t>Medical, Dental &amp; Laboratory Supplies Inventory</t>
  </si>
  <si>
    <t>Other Supplies &amp; Materials Inventory</t>
  </si>
  <si>
    <t>Furniture &amp; Fixtures</t>
  </si>
  <si>
    <t>Buildings</t>
  </si>
  <si>
    <t>Other Structure</t>
  </si>
  <si>
    <t>Information &amp; Communication Technology Equipment</t>
  </si>
  <si>
    <t>Other Property, Plant &amp; Equipment</t>
  </si>
  <si>
    <t>Due to BIR</t>
  </si>
  <si>
    <t>Due to LGUs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</si>
  <si>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</si>
  <si>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</si>
  <si>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</si>
  <si>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</si>
  <si>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</si>
  <si>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</si>
  <si>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</si>
  <si>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</si>
  <si>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As of December  31,2022</t>
  </si>
  <si>
    <t>Road Networks</t>
  </si>
  <si>
    <t>Water Supply System</t>
  </si>
  <si>
    <t>Other Machinery &amp; Equipment</t>
  </si>
  <si>
    <t>Due from LGUs</t>
  </si>
  <si>
    <t>Agricultural &amp; Marine Supplies Inventory</t>
  </si>
  <si>
    <t>Flood Control Sysems</t>
  </si>
  <si>
    <t>Office Supplies Inventory</t>
  </si>
  <si>
    <t>Brgy. Bias-Zabala</t>
  </si>
  <si>
    <t>Medical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</si>
</sst>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6" xfId="0" applyBorder="1"/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43" fontId="0" fillId="0" borderId="6" xfId="2" applyFont="1" applyBorder="1"/>
    <xf numFmtId="43" fontId="0" fillId="0" borderId="0" xfId="2" applyFon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INANCIAL%20STATEMENT%202022-%20BRGY.%20BIAS%20ZABALA.xls" TargetMode="External"/><Relationship Id="rId1" Type="http://schemas.openxmlformats.org/officeDocument/2006/relationships/externalLinkPath" Target="/Users/PC/Downloads/FINANCIAL%20STATEMENT%202022-%20BRGY.%20BIAS%20ZABA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52760.25</v>
          </cell>
        </row>
        <row r="18">
          <cell r="N18">
            <v>994105.99999999988</v>
          </cell>
        </row>
        <row r="85">
          <cell r="N85">
            <v>485504</v>
          </cell>
        </row>
        <row r="114">
          <cell r="N114">
            <v>49850</v>
          </cell>
        </row>
        <row r="121">
          <cell r="N121">
            <v>38055</v>
          </cell>
        </row>
        <row r="127">
          <cell r="N127">
            <v>37520</v>
          </cell>
        </row>
        <row r="134">
          <cell r="N134">
            <v>36900</v>
          </cell>
        </row>
        <row r="174">
          <cell r="N174">
            <v>70820</v>
          </cell>
        </row>
        <row r="248">
          <cell r="N248">
            <v>13100</v>
          </cell>
        </row>
        <row r="325">
          <cell r="N325">
            <v>190399.94</v>
          </cell>
        </row>
        <row r="370">
          <cell r="O370">
            <v>28972.85</v>
          </cell>
        </row>
        <row r="409">
          <cell r="O409">
            <v>1834521.84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67"/>
  <sheetViews>
    <sheetView tabSelected="1" workbookViewId="0">
      <selection activeCell="E10" sqref="E10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49" t="s">
        <v>0</v>
      </c>
      <c r="B1" s="49"/>
      <c r="C1" s="49"/>
      <c r="D1" s="49"/>
      <c r="E1" s="2"/>
    </row>
    <row r="2" spans="1:17" x14ac:dyDescent="0.25">
      <c r="A2" s="50" t="s">
        <v>1</v>
      </c>
      <c r="B2" s="50"/>
      <c r="C2" s="50"/>
      <c r="D2" s="50"/>
      <c r="E2" s="3"/>
    </row>
    <row r="3" spans="1:17" ht="17.25" x14ac:dyDescent="0.25">
      <c r="A3" s="49" t="s">
        <v>2</v>
      </c>
      <c r="B3" s="49"/>
      <c r="C3" s="49"/>
      <c r="D3" s="49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0" t="s">
        <v>3</v>
      </c>
      <c r="B5" s="50"/>
      <c r="C5" s="50"/>
      <c r="D5" s="50"/>
      <c r="E5" s="3"/>
    </row>
    <row r="6" spans="1:17" ht="17.25" x14ac:dyDescent="0.25">
      <c r="A6" s="49" t="s">
        <v>29</v>
      </c>
      <c r="B6" s="49"/>
      <c r="C6" s="49"/>
      <c r="D6" s="49"/>
      <c r="E6" s="2"/>
    </row>
    <row r="7" spans="1:17" ht="21" customHeight="1" thickBot="1" x14ac:dyDescent="0.3">
      <c r="A7" s="51" t="s">
        <v>37</v>
      </c>
      <c r="B7" s="51"/>
      <c r="C7" s="51"/>
      <c r="D7" s="51"/>
      <c r="E7" s="3"/>
    </row>
    <row r="8" spans="1:17" ht="16.5" thickTop="1" x14ac:dyDescent="0.3">
      <c r="A8" s="54" t="s">
        <v>4</v>
      </c>
      <c r="B8" s="54" t="s">
        <v>5</v>
      </c>
      <c r="C8" s="54" t="s">
        <v>6</v>
      </c>
      <c r="D8" s="54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55"/>
      <c r="B9" s="55"/>
      <c r="C9" s="55"/>
      <c r="D9" s="55"/>
      <c r="E9" s="7"/>
    </row>
    <row r="10" spans="1:17" ht="15.75" thickBot="1" x14ac:dyDescent="0.3">
      <c r="A10" s="56"/>
      <c r="B10" s="56"/>
      <c r="C10" s="56"/>
      <c r="D10" s="56"/>
      <c r="E10" s="7"/>
      <c r="F10" s="9">
        <f>C61-D61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2"/>
      <c r="D11" s="14">
        <f>'[1]Worksheet '!$O$14</f>
        <v>52760.25</v>
      </c>
      <c r="E11" s="15"/>
      <c r="G11" s="10"/>
      <c r="H11" s="11"/>
      <c r="I11" s="11"/>
      <c r="J11" s="16"/>
      <c r="K11" s="16"/>
      <c r="L11" s="16"/>
      <c r="M11" s="16"/>
      <c r="N11" s="16"/>
      <c r="O11" s="46"/>
      <c r="P11" s="47"/>
      <c r="Q11" s="17"/>
    </row>
    <row r="12" spans="1:17" x14ac:dyDescent="0.25">
      <c r="A12" s="18" t="s">
        <v>9</v>
      </c>
      <c r="B12" s="19">
        <v>10102020</v>
      </c>
      <c r="C12" s="43">
        <f>'[1]Worksheet '!$N$18</f>
        <v>994105.99999999988</v>
      </c>
      <c r="D12" s="20"/>
      <c r="E12" s="15"/>
      <c r="F12" s="21">
        <f>C240-D240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10304050</v>
      </c>
      <c r="C13" s="43">
        <f>'[1]Worksheet '!$N$85</f>
        <v>485504</v>
      </c>
      <c r="D13" s="20"/>
      <c r="E13" s="15"/>
      <c r="F13" s="21">
        <f>C12+C13+C14+C15+C16+C17+C18+C19+C20</f>
        <v>1916254.94</v>
      </c>
      <c r="G13" s="10"/>
      <c r="H13" s="11"/>
      <c r="I13" s="11"/>
      <c r="Q13" s="22"/>
    </row>
    <row r="14" spans="1:17" x14ac:dyDescent="0.25">
      <c r="A14" s="18" t="s">
        <v>11</v>
      </c>
      <c r="B14" s="19">
        <v>10402090</v>
      </c>
      <c r="C14" s="43">
        <f>'[1]Worksheet '!$N$114</f>
        <v>49850</v>
      </c>
      <c r="D14" s="20"/>
      <c r="E14" s="15"/>
      <c r="F14" s="21"/>
      <c r="G14" s="10"/>
      <c r="H14" s="11"/>
      <c r="I14" s="11"/>
      <c r="Q14" s="22"/>
    </row>
    <row r="15" spans="1:17" x14ac:dyDescent="0.25">
      <c r="A15" s="18" t="s">
        <v>36</v>
      </c>
      <c r="B15" s="19">
        <v>10404010</v>
      </c>
      <c r="C15" s="43">
        <f>'[1]Worksheet '!$N$121</f>
        <v>38055</v>
      </c>
      <c r="D15" s="20"/>
      <c r="E15" s="15"/>
      <c r="F15" s="21"/>
      <c r="G15" s="10"/>
      <c r="H15" s="11"/>
      <c r="I15" s="11"/>
      <c r="Q15" s="22"/>
    </row>
    <row r="16" spans="1:17" x14ac:dyDescent="0.25">
      <c r="A16" s="18" t="s">
        <v>12</v>
      </c>
      <c r="B16" s="19">
        <v>10404070</v>
      </c>
      <c r="C16" s="43">
        <f>'[1]Worksheet '!$N$127</f>
        <v>37520</v>
      </c>
      <c r="D16" s="20"/>
      <c r="E16" s="15"/>
      <c r="F16" s="21"/>
      <c r="G16" s="10"/>
      <c r="H16" s="11"/>
      <c r="I16" s="11"/>
      <c r="Q16" s="22"/>
    </row>
    <row r="17" spans="1:17" x14ac:dyDescent="0.25">
      <c r="A17" s="18" t="s">
        <v>13</v>
      </c>
      <c r="B17" s="19">
        <v>10404990</v>
      </c>
      <c r="C17" s="43">
        <f>'[1]Worksheet '!$N$134</f>
        <v>36900</v>
      </c>
      <c r="D17" s="20"/>
      <c r="E17" s="15"/>
      <c r="F17" s="21"/>
      <c r="G17" s="10"/>
      <c r="H17" s="11"/>
      <c r="I17" s="11"/>
      <c r="Q17" s="22"/>
    </row>
    <row r="18" spans="1:17" x14ac:dyDescent="0.25">
      <c r="A18" s="18" t="s">
        <v>31</v>
      </c>
      <c r="B18" s="19">
        <v>10703040</v>
      </c>
      <c r="C18" s="43">
        <f>'[1]Worksheet '!$N$174</f>
        <v>70820</v>
      </c>
      <c r="D18" s="20"/>
      <c r="E18" s="15"/>
      <c r="F18" s="21"/>
      <c r="G18" s="10"/>
      <c r="H18" s="11"/>
      <c r="I18" s="11"/>
      <c r="Q18" s="22"/>
    </row>
    <row r="19" spans="1:17" x14ac:dyDescent="0.25">
      <c r="A19" s="18" t="s">
        <v>38</v>
      </c>
      <c r="B19" s="19">
        <v>10705110</v>
      </c>
      <c r="C19" s="43">
        <f>'[1]Worksheet '!$N$248</f>
        <v>13100</v>
      </c>
      <c r="D19" s="20"/>
      <c r="E19" s="15"/>
      <c r="F19" s="21"/>
      <c r="G19" s="10"/>
      <c r="H19" s="11"/>
      <c r="I19" s="11"/>
      <c r="Q19" s="22"/>
    </row>
    <row r="20" spans="1:17" x14ac:dyDescent="0.25">
      <c r="A20" s="18" t="s">
        <v>18</v>
      </c>
      <c r="B20" s="19">
        <v>10799990</v>
      </c>
      <c r="C20" s="43">
        <f>'[1]Worksheet '!$N$325</f>
        <v>190399.94</v>
      </c>
      <c r="D20" s="20"/>
      <c r="E20" s="15"/>
      <c r="F20" s="21"/>
      <c r="G20" s="10"/>
      <c r="H20" s="11"/>
      <c r="I20" s="11"/>
      <c r="Q20" s="22"/>
    </row>
    <row r="21" spans="1:17" hidden="1" x14ac:dyDescent="0.25">
      <c r="A21" s="18"/>
      <c r="B21" s="19"/>
      <c r="C21" s="43"/>
      <c r="D21" s="20"/>
      <c r="E21" s="15"/>
      <c r="G21" s="10"/>
      <c r="H21" s="11"/>
      <c r="I21" s="11"/>
      <c r="Q21" s="22"/>
    </row>
    <row r="22" spans="1:17" hidden="1" x14ac:dyDescent="0.25">
      <c r="A22" s="18"/>
      <c r="B22" s="19"/>
      <c r="C22" s="43"/>
      <c r="D22" s="20"/>
      <c r="E22" s="15"/>
      <c r="G22" s="10"/>
      <c r="H22" s="11"/>
      <c r="I22" s="11"/>
      <c r="Q22" s="22"/>
    </row>
    <row r="23" spans="1:17" hidden="1" x14ac:dyDescent="0.25">
      <c r="A23" s="18"/>
      <c r="B23" s="19"/>
      <c r="C23" s="43"/>
      <c r="D23" s="20"/>
      <c r="E23" s="15"/>
      <c r="G23" s="10"/>
      <c r="H23" s="11"/>
      <c r="I23" s="11"/>
      <c r="Q23" s="22"/>
    </row>
    <row r="24" spans="1:17" hidden="1" x14ac:dyDescent="0.25">
      <c r="A24" s="18"/>
      <c r="B24" s="19"/>
      <c r="C24" s="43"/>
      <c r="D24" s="20"/>
      <c r="E24" s="15"/>
      <c r="G24" s="10"/>
      <c r="H24" s="11"/>
      <c r="I24" s="11"/>
      <c r="Q24" s="22"/>
    </row>
    <row r="25" spans="1:17" hidden="1" x14ac:dyDescent="0.25">
      <c r="A25" s="18" t="s">
        <v>30</v>
      </c>
      <c r="B25" s="19">
        <v>10703010</v>
      </c>
      <c r="C25" s="43"/>
      <c r="D25" s="20"/>
      <c r="E25" s="15"/>
      <c r="G25" s="10"/>
      <c r="H25" s="11"/>
      <c r="I25" s="11"/>
      <c r="Q25" s="22"/>
    </row>
    <row r="26" spans="1:17" hidden="1" x14ac:dyDescent="0.25">
      <c r="A26" s="18" t="s">
        <v>31</v>
      </c>
      <c r="B26" s="19">
        <v>10703040</v>
      </c>
      <c r="C26" s="43"/>
      <c r="D26" s="20"/>
      <c r="E26" s="15"/>
      <c r="G26" s="10"/>
      <c r="H26" s="11"/>
      <c r="I26" s="11"/>
      <c r="Q26" s="22"/>
    </row>
    <row r="27" spans="1:17" hidden="1" x14ac:dyDescent="0.25">
      <c r="A27" s="18" t="s">
        <v>15</v>
      </c>
      <c r="B27" s="19">
        <v>10704010</v>
      </c>
      <c r="C27" s="43"/>
      <c r="D27" s="20"/>
      <c r="E27" s="15"/>
      <c r="G27" s="10"/>
      <c r="H27" s="11"/>
      <c r="I27" s="11"/>
      <c r="Q27" s="22"/>
    </row>
    <row r="28" spans="1:17" hidden="1" x14ac:dyDescent="0.25">
      <c r="A28" s="18" t="s">
        <v>18</v>
      </c>
      <c r="B28" s="19">
        <v>10799990</v>
      </c>
      <c r="C28" s="43"/>
      <c r="D28" s="20"/>
      <c r="E28" s="15"/>
      <c r="G28" s="10"/>
      <c r="H28" s="11"/>
      <c r="I28" s="11"/>
      <c r="Q28" s="22"/>
    </row>
    <row r="29" spans="1:17" hidden="1" x14ac:dyDescent="0.25">
      <c r="A29" s="18"/>
      <c r="B29" s="19"/>
      <c r="C29" s="43"/>
      <c r="D29" s="20"/>
      <c r="E29" s="15"/>
      <c r="G29" s="10"/>
      <c r="H29" s="11"/>
      <c r="I29" s="11"/>
      <c r="Q29" s="22"/>
    </row>
    <row r="30" spans="1:17" hidden="1" x14ac:dyDescent="0.25">
      <c r="A30" s="18"/>
      <c r="B30" s="19"/>
      <c r="C30" s="43"/>
      <c r="D30" s="20"/>
      <c r="E30" s="15"/>
      <c r="G30" s="10"/>
      <c r="H30" s="11"/>
      <c r="I30" s="11"/>
      <c r="Q30" s="22"/>
    </row>
    <row r="31" spans="1:17" hidden="1" x14ac:dyDescent="0.25">
      <c r="A31" s="18" t="s">
        <v>33</v>
      </c>
      <c r="B31" s="19">
        <v>10303030</v>
      </c>
      <c r="C31" s="43"/>
      <c r="D31" s="20"/>
      <c r="E31" s="15"/>
      <c r="G31" s="10"/>
      <c r="H31" s="11"/>
      <c r="I31" s="11"/>
      <c r="Q31" s="22"/>
    </row>
    <row r="32" spans="1:17" hidden="1" x14ac:dyDescent="0.25">
      <c r="A32" s="18" t="s">
        <v>11</v>
      </c>
      <c r="B32" s="19">
        <v>10402090</v>
      </c>
      <c r="C32" s="43"/>
      <c r="D32" s="20"/>
      <c r="E32" s="15"/>
      <c r="G32" s="10"/>
      <c r="H32" s="11"/>
      <c r="I32" s="11"/>
      <c r="Q32" s="22"/>
    </row>
    <row r="33" spans="1:17" hidden="1" x14ac:dyDescent="0.25">
      <c r="A33" s="18" t="s">
        <v>12</v>
      </c>
      <c r="B33" s="19">
        <v>10404070</v>
      </c>
      <c r="C33" s="43"/>
      <c r="D33" s="20"/>
      <c r="E33" s="15"/>
      <c r="G33" s="10"/>
      <c r="H33" s="11"/>
      <c r="I33" s="11"/>
      <c r="Q33" s="22"/>
    </row>
    <row r="34" spans="1:17" hidden="1" x14ac:dyDescent="0.25">
      <c r="A34" s="18" t="s">
        <v>34</v>
      </c>
      <c r="B34" s="19">
        <v>10404090</v>
      </c>
      <c r="C34" s="43"/>
      <c r="D34" s="20"/>
      <c r="E34" s="15"/>
      <c r="G34" s="10"/>
      <c r="H34" s="11"/>
      <c r="I34" s="11"/>
      <c r="Q34" s="22"/>
    </row>
    <row r="35" spans="1:17" hidden="1" x14ac:dyDescent="0.25">
      <c r="A35" s="18" t="s">
        <v>13</v>
      </c>
      <c r="B35" s="19">
        <v>10404990</v>
      </c>
      <c r="C35" s="44"/>
      <c r="D35" s="20"/>
      <c r="E35" s="15"/>
      <c r="G35" s="10"/>
      <c r="H35" s="11"/>
      <c r="I35" s="11"/>
      <c r="Q35" s="22"/>
    </row>
    <row r="36" spans="1:17" hidden="1" x14ac:dyDescent="0.25">
      <c r="A36" s="18" t="s">
        <v>35</v>
      </c>
      <c r="B36" s="19">
        <v>10703020</v>
      </c>
      <c r="C36" s="43"/>
      <c r="D36" s="20"/>
      <c r="E36" s="15"/>
      <c r="G36" s="10"/>
      <c r="H36" s="11"/>
      <c r="I36" s="11"/>
      <c r="Q36" s="22"/>
    </row>
    <row r="37" spans="1:17" hidden="1" x14ac:dyDescent="0.25">
      <c r="A37" s="18" t="s">
        <v>15</v>
      </c>
      <c r="B37" s="19">
        <v>10704010</v>
      </c>
      <c r="C37" s="43"/>
      <c r="D37" s="20"/>
      <c r="E37" s="15"/>
      <c r="G37" s="10"/>
      <c r="H37" s="11"/>
      <c r="I37" s="11"/>
      <c r="Q37" s="22"/>
    </row>
    <row r="38" spans="1:17" hidden="1" x14ac:dyDescent="0.25">
      <c r="A38" s="18" t="s">
        <v>17</v>
      </c>
      <c r="B38" s="19">
        <v>10705030</v>
      </c>
      <c r="C38" s="43"/>
      <c r="D38" s="20"/>
      <c r="E38" s="15"/>
      <c r="G38" s="10"/>
      <c r="H38" s="11"/>
      <c r="I38" s="11"/>
      <c r="Q38" s="22"/>
    </row>
    <row r="39" spans="1:17" hidden="1" x14ac:dyDescent="0.25">
      <c r="A39" s="18" t="s">
        <v>32</v>
      </c>
      <c r="B39" s="19">
        <v>10705990</v>
      </c>
      <c r="C39" s="43"/>
      <c r="D39" s="20"/>
      <c r="E39" s="15"/>
      <c r="G39" s="10"/>
      <c r="H39" s="11"/>
      <c r="I39" s="11"/>
      <c r="Q39" s="22"/>
    </row>
    <row r="40" spans="1:17" hidden="1" x14ac:dyDescent="0.25">
      <c r="A40" s="18"/>
      <c r="B40" s="19"/>
      <c r="C40" s="43"/>
      <c r="D40" s="20"/>
      <c r="E40" s="15"/>
      <c r="G40" s="10"/>
      <c r="H40" s="11"/>
      <c r="I40" s="11"/>
      <c r="Q40" s="22"/>
    </row>
    <row r="41" spans="1:17" hidden="1" x14ac:dyDescent="0.25">
      <c r="A41" s="18"/>
      <c r="B41" s="19"/>
      <c r="C41" s="43"/>
      <c r="D41" s="20"/>
      <c r="E41" s="15"/>
      <c r="G41" s="10"/>
      <c r="H41" s="11"/>
      <c r="I41" s="11"/>
      <c r="Q41" s="22"/>
    </row>
    <row r="42" spans="1:17" hidden="1" x14ac:dyDescent="0.25">
      <c r="A42" s="18"/>
      <c r="B42" s="19"/>
      <c r="C42" s="43"/>
      <c r="D42" s="20"/>
      <c r="E42" s="15"/>
      <c r="G42" s="10"/>
      <c r="H42" s="11"/>
      <c r="I42" s="11"/>
      <c r="Q42" s="22"/>
    </row>
    <row r="43" spans="1:17" hidden="1" x14ac:dyDescent="0.25">
      <c r="A43" s="18"/>
      <c r="B43" s="19"/>
      <c r="C43" s="43"/>
      <c r="D43" s="20"/>
      <c r="E43" s="15"/>
      <c r="G43" s="10"/>
      <c r="H43" s="11"/>
      <c r="I43" s="11"/>
      <c r="Q43" s="22"/>
    </row>
    <row r="44" spans="1:17" hidden="1" x14ac:dyDescent="0.25">
      <c r="A44" s="18"/>
      <c r="B44" s="19"/>
      <c r="C44" s="43"/>
      <c r="D44" s="20"/>
      <c r="E44" s="15"/>
      <c r="G44" s="10"/>
      <c r="H44" s="11"/>
      <c r="I44" s="11"/>
      <c r="Q44" s="22"/>
    </row>
    <row r="45" spans="1:17" hidden="1" x14ac:dyDescent="0.25">
      <c r="A45" s="18"/>
      <c r="B45" s="19"/>
      <c r="C45" s="43"/>
      <c r="D45" s="20"/>
      <c r="E45" s="15"/>
      <c r="G45" s="10"/>
      <c r="H45" s="11"/>
      <c r="I45" s="11"/>
      <c r="Q45" s="22"/>
    </row>
    <row r="46" spans="1:17" hidden="1" x14ac:dyDescent="0.25">
      <c r="A46" s="18" t="s">
        <v>10</v>
      </c>
      <c r="B46" s="19">
        <v>10304050</v>
      </c>
      <c r="C46" s="44"/>
      <c r="D46" s="20"/>
      <c r="E46" s="15"/>
    </row>
    <row r="47" spans="1:17" hidden="1" x14ac:dyDescent="0.25">
      <c r="A47" s="18" t="s">
        <v>11</v>
      </c>
      <c r="B47" s="19">
        <v>10402090</v>
      </c>
      <c r="C47" s="45"/>
      <c r="D47" s="20"/>
      <c r="E47" s="15"/>
    </row>
    <row r="48" spans="1:17" hidden="1" x14ac:dyDescent="0.25">
      <c r="A48" s="18" t="s">
        <v>13</v>
      </c>
      <c r="B48" s="19">
        <v>10404990</v>
      </c>
      <c r="C48" s="44"/>
      <c r="D48" s="20"/>
      <c r="E48" s="15"/>
    </row>
    <row r="49" spans="1:5" hidden="1" x14ac:dyDescent="0.25">
      <c r="A49" s="18" t="s">
        <v>30</v>
      </c>
      <c r="B49" s="19">
        <v>10703010</v>
      </c>
      <c r="C49" s="44"/>
      <c r="D49" s="20"/>
      <c r="E49" s="15"/>
    </row>
    <row r="50" spans="1:5" hidden="1" x14ac:dyDescent="0.25">
      <c r="A50" s="18" t="s">
        <v>31</v>
      </c>
      <c r="B50" s="19">
        <v>10703040</v>
      </c>
      <c r="C50" s="44"/>
      <c r="D50" s="20"/>
      <c r="E50" s="15"/>
    </row>
    <row r="51" spans="1:5" hidden="1" x14ac:dyDescent="0.25">
      <c r="A51" s="18" t="s">
        <v>17</v>
      </c>
      <c r="B51" s="19">
        <v>10705030</v>
      </c>
      <c r="C51" s="44"/>
      <c r="D51" s="20"/>
      <c r="E51" s="15"/>
    </row>
    <row r="52" spans="1:5" hidden="1" x14ac:dyDescent="0.25">
      <c r="A52" s="18" t="s">
        <v>32</v>
      </c>
      <c r="B52" s="19">
        <v>10705990</v>
      </c>
      <c r="C52" s="44"/>
      <c r="D52" s="20"/>
      <c r="E52" s="15"/>
    </row>
    <row r="53" spans="1:5" hidden="1" x14ac:dyDescent="0.25">
      <c r="A53" s="18" t="s">
        <v>14</v>
      </c>
      <c r="B53" s="19">
        <v>10707010</v>
      </c>
      <c r="C53" s="20"/>
      <c r="D53" s="20"/>
      <c r="E53" s="15"/>
    </row>
    <row r="54" spans="1:5" hidden="1" x14ac:dyDescent="0.25">
      <c r="A54" s="18" t="s">
        <v>15</v>
      </c>
      <c r="B54" s="19">
        <v>10704010</v>
      </c>
      <c r="C54" s="20"/>
      <c r="D54" s="20"/>
      <c r="E54" s="15"/>
    </row>
    <row r="55" spans="1:5" hidden="1" x14ac:dyDescent="0.25">
      <c r="A55" s="18" t="s">
        <v>16</v>
      </c>
      <c r="B55" s="19">
        <v>10704990</v>
      </c>
      <c r="C55" s="20"/>
      <c r="D55" s="20"/>
      <c r="E55" s="15"/>
    </row>
    <row r="56" spans="1:5" hidden="1" x14ac:dyDescent="0.25">
      <c r="A56" s="18" t="s">
        <v>17</v>
      </c>
      <c r="B56" s="19">
        <v>10705030</v>
      </c>
      <c r="C56" s="20"/>
      <c r="D56" s="20"/>
      <c r="E56" s="15"/>
    </row>
    <row r="57" spans="1:5" hidden="1" x14ac:dyDescent="0.25">
      <c r="A57" s="18" t="s">
        <v>18</v>
      </c>
      <c r="B57" s="19">
        <v>10799990</v>
      </c>
      <c r="C57" s="20"/>
      <c r="D57" s="20"/>
      <c r="E57" s="15"/>
    </row>
    <row r="58" spans="1:5" x14ac:dyDescent="0.25">
      <c r="A58" s="18" t="s">
        <v>19</v>
      </c>
      <c r="B58" s="19">
        <v>20201010</v>
      </c>
      <c r="C58" s="20"/>
      <c r="D58" s="20">
        <f>'[1]Worksheet '!$O$370</f>
        <v>28972.85</v>
      </c>
      <c r="E58" s="15"/>
    </row>
    <row r="59" spans="1:5" hidden="1" x14ac:dyDescent="0.25">
      <c r="A59" s="18" t="s">
        <v>20</v>
      </c>
      <c r="B59" s="19">
        <v>20201070</v>
      </c>
      <c r="C59" s="20"/>
      <c r="D59" s="41"/>
      <c r="E59" s="15"/>
    </row>
    <row r="60" spans="1:5" x14ac:dyDescent="0.25">
      <c r="A60" s="18" t="s">
        <v>21</v>
      </c>
      <c r="B60" s="19">
        <v>30101010</v>
      </c>
      <c r="C60" s="23"/>
      <c r="D60" s="20">
        <f>'[1]Worksheet '!$O$409</f>
        <v>1834521.84</v>
      </c>
      <c r="E60" s="15"/>
    </row>
    <row r="61" spans="1:5" x14ac:dyDescent="0.25">
      <c r="A61" s="24"/>
      <c r="B61" s="25" t="s">
        <v>22</v>
      </c>
      <c r="C61" s="26">
        <f>SUM(C11:C60)</f>
        <v>1916254.94</v>
      </c>
      <c r="D61" s="26">
        <f>SUM(D11:D60)</f>
        <v>1916254.9400000002</v>
      </c>
      <c r="E61" s="15">
        <f>C61-D61</f>
        <v>0</v>
      </c>
    </row>
    <row r="62" spans="1:5" s="32" customFormat="1" ht="16.5" x14ac:dyDescent="0.25">
      <c r="A62" s="27"/>
      <c r="B62" s="28"/>
      <c r="C62" s="29"/>
      <c r="D62" s="30"/>
      <c r="E62" s="31"/>
    </row>
    <row r="63" spans="1:5" s="32" customFormat="1" ht="16.5" x14ac:dyDescent="0.25">
      <c r="A63" s="33" t="s">
        <v>23</v>
      </c>
      <c r="B63" s="48" t="s">
        <v>24</v>
      </c>
      <c r="C63" s="48"/>
      <c r="D63" s="48"/>
      <c r="E63" s="34"/>
    </row>
    <row r="64" spans="1:5" s="32" customFormat="1" ht="16.5" x14ac:dyDescent="0.25">
      <c r="A64" s="33"/>
      <c r="B64" s="35"/>
      <c r="C64" s="36"/>
      <c r="D64" s="37">
        <f>C61-D61</f>
        <v>0</v>
      </c>
      <c r="E64" s="33"/>
    </row>
    <row r="65" spans="1:5" s="32" customFormat="1" ht="16.5" x14ac:dyDescent="0.25">
      <c r="A65" s="33"/>
      <c r="B65" s="35"/>
      <c r="C65" s="38"/>
      <c r="D65" s="33"/>
      <c r="E65" s="33"/>
    </row>
    <row r="66" spans="1:5" s="32" customFormat="1" ht="14.25" x14ac:dyDescent="0.25">
      <c r="A66" s="39" t="s">
        <v>25</v>
      </c>
      <c r="B66" s="52" t="s">
        <v>26</v>
      </c>
      <c r="C66" s="52"/>
      <c r="D66" s="52"/>
      <c r="E66" s="39"/>
    </row>
    <row r="67" spans="1:5" s="32" customFormat="1" ht="16.5" x14ac:dyDescent="0.25">
      <c r="A67" s="40" t="s">
        <v>27</v>
      </c>
      <c r="B67" s="53" t="s">
        <v>28</v>
      </c>
      <c r="C67" s="53"/>
      <c r="D67" s="53"/>
      <c r="E67" s="35"/>
    </row>
  </sheetData>
  <mergeCells count="14">
    <mergeCell ref="B66:D66"/>
    <mergeCell ref="B67:D67"/>
    <mergeCell ref="A8:A10"/>
    <mergeCell ref="B8:B10"/>
    <mergeCell ref="C8:C10"/>
    <mergeCell ref="D8:D10"/>
    <mergeCell ref="O11:P11"/>
    <mergeCell ref="B63:D63"/>
    <mergeCell ref="A1:D1"/>
    <mergeCell ref="A2:D2"/>
    <mergeCell ref="A3:D3"/>
    <mergeCell ref="A5:D5"/>
    <mergeCell ref="A6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2024-07-01T06:52:37Z</dcterms:modified>
</cp:coreProperties>
</file>