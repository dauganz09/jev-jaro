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rial balance\sardido\"/>
    </mc:Choice>
  </mc:AlternateContent>
  <xr:revisionPtr revIDLastSave="0" documentId="13_ncr:1_{2016E61E-31FE-48BB-BB6B-EDCE3C2C5817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1" i="1"/>
  <c r="C20" i="1"/>
  <c r="C19" i="1"/>
  <c r="C18" i="1"/>
  <c r="C17" i="1"/>
  <c r="C16" i="1"/>
  <c r="C15" i="1"/>
  <c r="C24" i="1" s="1"/>
  <c r="C14" i="1"/>
  <c r="C13" i="1"/>
  <c r="C12" i="1"/>
  <c r="F13" i="1" s="1"/>
  <c r="D11" i="1"/>
  <c r="F12" i="1"/>
  <c r="D24" i="1" l="1"/>
  <c r="D27" i="1"/>
  <c r="F10" i="1" l="1"/>
  <c r="E24" i="1"/>
</calcChain>
</file>

<file path=xl/sharedStrings.xml><?xml version="1.0" encoding="utf-8"?>
<sst xmlns="http://schemas.openxmlformats.org/spreadsheetml/2006/main" count="30" uniqueCount="30">
  <si>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</si>
  <si>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</si>
  <si>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</si>
  <si>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</si>
  <si>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</si>
  <si>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</si>
  <si>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</si>
  <si>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</si>
  <si>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</si>
  <si>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>Cash in Bank-Local Currency, Savings Account</t>
  </si>
  <si>
    <t>Due from Other Funds</t>
  </si>
  <si>
    <t>Property &amp; Equipment for Distribution</t>
  </si>
  <si>
    <t>Medical, Dental &amp; Laboratory Supplies Inventory</t>
  </si>
  <si>
    <t>Other Supplies &amp; Materials Inventory</t>
  </si>
  <si>
    <t>Other Property, Plant &amp; Equipment</t>
  </si>
  <si>
    <t>Due to BIR</t>
  </si>
  <si>
    <t>Due to LGUs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</si>
  <si>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</si>
  <si>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</si>
  <si>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</si>
  <si>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</si>
  <si>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</si>
  <si>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</si>
  <si>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</si>
  <si>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</si>
  <si>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As of December  31,2022</t>
  </si>
  <si>
    <t>Water Supply System</t>
  </si>
  <si>
    <t>Office Supplies Inventory</t>
  </si>
  <si>
    <t>Brgy. Bias-Zabala</t>
  </si>
  <si>
    <t>Medical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</si>
</sst>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6" xfId="0" applyBorder="1"/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INANCIAL%20STATEMENT%202022-%20BRGY.%20BIAS%20ZABALA.xls" TargetMode="External"/><Relationship Id="rId1" Type="http://schemas.openxmlformats.org/officeDocument/2006/relationships/externalLinkPath" Target="file:///C:\Users\PC\Downloads\FINANCIAL%20STATEMENT%202022-%20BRGY.%20BIAS%20ZABA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52760.25</v>
          </cell>
        </row>
        <row r="18">
          <cell r="N18">
            <v>994105.99999999988</v>
          </cell>
        </row>
        <row r="85">
          <cell r="N85">
            <v>485504</v>
          </cell>
        </row>
        <row r="114">
          <cell r="N114">
            <v>49850</v>
          </cell>
        </row>
        <row r="121">
          <cell r="N121">
            <v>38055</v>
          </cell>
        </row>
        <row r="127">
          <cell r="N127">
            <v>37520</v>
          </cell>
        </row>
        <row r="134">
          <cell r="N134">
            <v>36900</v>
          </cell>
        </row>
        <row r="174">
          <cell r="N174">
            <v>70820</v>
          </cell>
        </row>
        <row r="248">
          <cell r="N248">
            <v>13100</v>
          </cell>
        </row>
        <row r="325">
          <cell r="N325">
            <v>190399.94</v>
          </cell>
        </row>
        <row r="370">
          <cell r="O370">
            <v>28972.85</v>
          </cell>
        </row>
        <row r="409">
          <cell r="O409">
            <v>1834521.84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30"/>
  <sheetViews>
    <sheetView tabSelected="1" topLeftCell="A8" workbookViewId="0">
      <selection activeCell="D16" sqref="D16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52" t="s">
        <v>0</v>
      </c>
      <c r="B1" s="52"/>
      <c r="C1" s="52"/>
      <c r="D1" s="52"/>
      <c r="E1" s="2"/>
    </row>
    <row r="2" spans="1:17" x14ac:dyDescent="0.25">
      <c r="A2" s="53" t="s">
        <v>1</v>
      </c>
      <c r="B2" s="53"/>
      <c r="C2" s="53"/>
      <c r="D2" s="53"/>
      <c r="E2" s="3"/>
    </row>
    <row r="3" spans="1:17" ht="17.25" x14ac:dyDescent="0.25">
      <c r="A3" s="52" t="s">
        <v>2</v>
      </c>
      <c r="B3" s="52"/>
      <c r="C3" s="52"/>
      <c r="D3" s="52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3" t="s">
        <v>3</v>
      </c>
      <c r="B5" s="53"/>
      <c r="C5" s="53"/>
      <c r="D5" s="53"/>
      <c r="E5" s="3"/>
    </row>
    <row r="6" spans="1:17" ht="17.25" x14ac:dyDescent="0.25">
      <c r="A6" s="52" t="s">
        <v>25</v>
      </c>
      <c r="B6" s="52"/>
      <c r="C6" s="52"/>
      <c r="D6" s="52"/>
      <c r="E6" s="2"/>
    </row>
    <row r="7" spans="1:17" ht="21" customHeight="1" thickBot="1" x14ac:dyDescent="0.3">
      <c r="A7" s="54" t="s">
        <v>28</v>
      </c>
      <c r="B7" s="54"/>
      <c r="C7" s="54"/>
      <c r="D7" s="54"/>
      <c r="E7" s="3"/>
    </row>
    <row r="8" spans="1:17" ht="16.5" thickTop="1" x14ac:dyDescent="0.3">
      <c r="A8" s="46" t="s">
        <v>4</v>
      </c>
      <c r="B8" s="46" t="s">
        <v>5</v>
      </c>
      <c r="C8" s="46" t="s">
        <v>6</v>
      </c>
      <c r="D8" s="46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47"/>
      <c r="B9" s="47"/>
      <c r="C9" s="47"/>
      <c r="D9" s="47"/>
      <c r="E9" s="7"/>
    </row>
    <row r="10" spans="1:17" ht="15.75" thickBot="1" x14ac:dyDescent="0.3">
      <c r="A10" s="48"/>
      <c r="B10" s="48"/>
      <c r="C10" s="48"/>
      <c r="D10" s="48"/>
      <c r="E10" s="7"/>
      <c r="F10" s="9">
        <f>C24-D24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2"/>
      <c r="D11" s="14">
        <f>'[1]Worksheet '!$O$14</f>
        <v>52760.25</v>
      </c>
      <c r="E11" s="15"/>
      <c r="G11" s="10"/>
      <c r="H11" s="11"/>
      <c r="I11" s="11"/>
      <c r="J11" s="16"/>
      <c r="K11" s="16"/>
      <c r="L11" s="16"/>
      <c r="M11" s="16"/>
      <c r="N11" s="16"/>
      <c r="O11" s="49"/>
      <c r="P11" s="50"/>
      <c r="Q11" s="17"/>
    </row>
    <row r="12" spans="1:17" x14ac:dyDescent="0.25">
      <c r="A12" s="18" t="s">
        <v>9</v>
      </c>
      <c r="B12" s="19">
        <v>10102020</v>
      </c>
      <c r="C12" s="43">
        <f>'[1]Worksheet '!$N$18</f>
        <v>994105.99999999988</v>
      </c>
      <c r="D12" s="20"/>
      <c r="E12" s="15"/>
      <c r="F12" s="21">
        <f>C203-D203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10304050</v>
      </c>
      <c r="C13" s="43">
        <f>'[1]Worksheet '!$N$85</f>
        <v>485504</v>
      </c>
      <c r="D13" s="20"/>
      <c r="E13" s="15"/>
      <c r="F13" s="21">
        <f>C12+C13+C14+C15+C16+C17+C18+C19+C20</f>
        <v>1916254.94</v>
      </c>
      <c r="G13" s="10"/>
      <c r="H13" s="11"/>
      <c r="I13" s="11"/>
      <c r="Q13" s="22"/>
    </row>
    <row r="14" spans="1:17" x14ac:dyDescent="0.25">
      <c r="A14" s="18" t="s">
        <v>11</v>
      </c>
      <c r="B14" s="19">
        <v>10402090</v>
      </c>
      <c r="C14" s="43">
        <f>'[1]Worksheet '!$N$114</f>
        <v>49850</v>
      </c>
      <c r="D14" s="20"/>
      <c r="E14" s="15"/>
      <c r="F14" s="21"/>
      <c r="G14" s="10"/>
      <c r="H14" s="11"/>
      <c r="I14" s="11"/>
      <c r="Q14" s="22"/>
    </row>
    <row r="15" spans="1:17" x14ac:dyDescent="0.25">
      <c r="A15" s="18" t="s">
        <v>27</v>
      </c>
      <c r="B15" s="19">
        <v>10404010</v>
      </c>
      <c r="C15" s="43">
        <f>'[1]Worksheet '!$N$121</f>
        <v>38055</v>
      </c>
      <c r="D15" s="20"/>
      <c r="E15" s="15"/>
      <c r="F15" s="21"/>
      <c r="G15" s="10"/>
      <c r="H15" s="11"/>
      <c r="I15" s="11"/>
      <c r="Q15" s="22"/>
    </row>
    <row r="16" spans="1:17" x14ac:dyDescent="0.25">
      <c r="A16" s="18" t="s">
        <v>12</v>
      </c>
      <c r="B16" s="19">
        <v>10404070</v>
      </c>
      <c r="C16" s="43">
        <f>'[1]Worksheet '!$N$127</f>
        <v>37520</v>
      </c>
      <c r="D16" s="20"/>
      <c r="E16" s="15"/>
      <c r="F16" s="21"/>
      <c r="G16" s="10"/>
      <c r="H16" s="11"/>
      <c r="I16" s="11"/>
      <c r="Q16" s="22"/>
    </row>
    <row r="17" spans="1:17" x14ac:dyDescent="0.25">
      <c r="A17" s="18" t="s">
        <v>13</v>
      </c>
      <c r="B17" s="19">
        <v>10404990</v>
      </c>
      <c r="C17" s="43">
        <f>'[1]Worksheet '!$N$134</f>
        <v>36900</v>
      </c>
      <c r="D17" s="20"/>
      <c r="E17" s="15"/>
      <c r="F17" s="21"/>
      <c r="G17" s="10"/>
      <c r="H17" s="11"/>
      <c r="I17" s="11"/>
      <c r="Q17" s="22"/>
    </row>
    <row r="18" spans="1:17" x14ac:dyDescent="0.25">
      <c r="A18" s="18" t="s">
        <v>26</v>
      </c>
      <c r="B18" s="19">
        <v>10703040</v>
      </c>
      <c r="C18" s="43">
        <f>'[1]Worksheet '!$N$174</f>
        <v>70820</v>
      </c>
      <c r="D18" s="20"/>
      <c r="E18" s="15"/>
      <c r="F18" s="21"/>
      <c r="G18" s="10"/>
      <c r="H18" s="11"/>
      <c r="I18" s="11"/>
      <c r="Q18" s="22"/>
    </row>
    <row r="19" spans="1:17" x14ac:dyDescent="0.25">
      <c r="A19" s="18" t="s">
        <v>29</v>
      </c>
      <c r="B19" s="19">
        <v>10705110</v>
      </c>
      <c r="C19" s="43">
        <f>'[1]Worksheet '!$N$248</f>
        <v>13100</v>
      </c>
      <c r="D19" s="20"/>
      <c r="E19" s="15"/>
      <c r="F19" s="21"/>
      <c r="G19" s="10"/>
      <c r="H19" s="11"/>
      <c r="I19" s="11"/>
      <c r="Q19" s="22"/>
    </row>
    <row r="20" spans="1:17" x14ac:dyDescent="0.25">
      <c r="A20" s="18" t="s">
        <v>14</v>
      </c>
      <c r="B20" s="19">
        <v>10799990</v>
      </c>
      <c r="C20" s="43">
        <f>'[1]Worksheet '!$N$325</f>
        <v>190399.94</v>
      </c>
      <c r="D20" s="20"/>
      <c r="E20" s="15"/>
      <c r="F20" s="21"/>
      <c r="G20" s="10"/>
      <c r="H20" s="11"/>
      <c r="I20" s="11"/>
      <c r="Q20" s="22"/>
    </row>
    <row r="21" spans="1:17" x14ac:dyDescent="0.25">
      <c r="A21" s="18" t="s">
        <v>15</v>
      </c>
      <c r="B21" s="19">
        <v>20201010</v>
      </c>
      <c r="C21" s="20"/>
      <c r="D21" s="20">
        <f>'[1]Worksheet '!$O$370</f>
        <v>28972.85</v>
      </c>
      <c r="E21" s="15"/>
    </row>
    <row r="22" spans="1:17" x14ac:dyDescent="0.25">
      <c r="A22" s="18" t="s">
        <v>16</v>
      </c>
      <c r="B22" s="19">
        <v>20201070</v>
      </c>
      <c r="C22" s="20"/>
      <c r="D22" s="41"/>
      <c r="E22" s="15"/>
    </row>
    <row r="23" spans="1:17" x14ac:dyDescent="0.25">
      <c r="A23" s="18" t="s">
        <v>17</v>
      </c>
      <c r="B23" s="19">
        <v>30101010</v>
      </c>
      <c r="C23" s="23"/>
      <c r="D23" s="20">
        <f>'[1]Worksheet '!$O$409</f>
        <v>1834521.84</v>
      </c>
      <c r="E23" s="15"/>
    </row>
    <row r="24" spans="1:17" x14ac:dyDescent="0.25">
      <c r="A24" s="24"/>
      <c r="B24" s="25" t="s">
        <v>18</v>
      </c>
      <c r="C24" s="26">
        <f>SUM(C11:C23)</f>
        <v>1916254.94</v>
      </c>
      <c r="D24" s="26">
        <f>SUM(D11:D23)</f>
        <v>1916254.9400000002</v>
      </c>
      <c r="E24" s="15">
        <f>C24-D24</f>
        <v>0</v>
      </c>
    </row>
    <row r="25" spans="1:17" s="32" customFormat="1" ht="16.5" x14ac:dyDescent="0.25">
      <c r="A25" s="27"/>
      <c r="B25" s="28"/>
      <c r="C25" s="29"/>
      <c r="D25" s="30"/>
      <c r="E25" s="31"/>
    </row>
    <row r="26" spans="1:17" s="32" customFormat="1" ht="16.5" x14ac:dyDescent="0.25">
      <c r="A26" s="33" t="s">
        <v>19</v>
      </c>
      <c r="B26" s="51" t="s">
        <v>20</v>
      </c>
      <c r="C26" s="51"/>
      <c r="D26" s="51"/>
      <c r="E26" s="34"/>
    </row>
    <row r="27" spans="1:17" s="32" customFormat="1" ht="16.5" x14ac:dyDescent="0.25">
      <c r="A27" s="33"/>
      <c r="B27" s="35"/>
      <c r="C27" s="36"/>
      <c r="D27" s="37">
        <f>C24-D24</f>
        <v>0</v>
      </c>
      <c r="E27" s="33"/>
    </row>
    <row r="28" spans="1:17" s="32" customFormat="1" ht="16.5" x14ac:dyDescent="0.25">
      <c r="A28" s="33"/>
      <c r="B28" s="35"/>
      <c r="C28" s="38"/>
      <c r="D28" s="33"/>
      <c r="E28" s="33"/>
    </row>
    <row r="29" spans="1:17" s="32" customFormat="1" ht="14.25" x14ac:dyDescent="0.25">
      <c r="A29" s="39" t="s">
        <v>21</v>
      </c>
      <c r="B29" s="44" t="s">
        <v>22</v>
      </c>
      <c r="C29" s="44"/>
      <c r="D29" s="44"/>
      <c r="E29" s="39"/>
    </row>
    <row r="30" spans="1:17" s="32" customFormat="1" ht="16.5" x14ac:dyDescent="0.25">
      <c r="A30" s="40" t="s">
        <v>23</v>
      </c>
      <c r="B30" s="45" t="s">
        <v>24</v>
      </c>
      <c r="C30" s="45"/>
      <c r="D30" s="45"/>
      <c r="E30" s="35"/>
    </row>
  </sheetData>
  <mergeCells count="14">
    <mergeCell ref="O11:P11"/>
    <mergeCell ref="B26:D26"/>
    <mergeCell ref="A1:D1"/>
    <mergeCell ref="A2:D2"/>
    <mergeCell ref="A3:D3"/>
    <mergeCell ref="A5:D5"/>
    <mergeCell ref="A6:D6"/>
    <mergeCell ref="A7:D7"/>
    <mergeCell ref="B29:D29"/>
    <mergeCell ref="B30:D30"/>
    <mergeCell ref="A8:A10"/>
    <mergeCell ref="B8:B10"/>
    <mergeCell ref="C8:C10"/>
    <mergeCell ref="D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2024-11-15T05:02:47Z</dcterms:modified>
</cp:coreProperties>
</file>