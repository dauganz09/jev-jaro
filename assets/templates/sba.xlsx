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AC3BFE33-649D-40FF-8110-C8C252F9CA93}" xr6:coauthVersionLast="47" xr6:coauthVersionMax="47" xr10:uidLastSave="{00000000-0000-0000-0000-000000000000}"/>
  <bookViews>
    <workbookView xWindow="-120" yWindow="-120" windowWidth="29040" windowHeight="15840" tabRatio="595" firstSheet="1" activeTab="1" xr2:uid="{00000000-000D-0000-FFFF-FFFF00000000}"/>
  </bookViews>
  <sheets>
    <sheet name="TRIAL BALANCE" sheetId="19" state="hidden" r:id="rId1"/>
    <sheet name="Sheet1" sheetId="14" r:id="rId2"/>
  </sheets>
  <definedNames>
    <definedName name="_xlnm.Print_Area" localSheetId="1">Sheet1!$B$1:$F$343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4" l="1"/>
  <c r="F22" i="14"/>
  <c r="F23" i="14"/>
  <c r="F24" i="14"/>
  <c r="F25" i="14"/>
  <c r="F26" i="14"/>
  <c r="F20" i="14"/>
  <c r="F12" i="14"/>
  <c r="F13" i="14"/>
  <c r="F14" i="14"/>
  <c r="F15" i="14"/>
  <c r="F16" i="14"/>
  <c r="F17" i="14"/>
  <c r="F11" i="14"/>
  <c r="D26" i="14"/>
  <c r="E26" i="14"/>
  <c r="C26" i="14"/>
  <c r="D17" i="14"/>
  <c r="E17" i="14"/>
  <c r="C25" i="14"/>
  <c r="D25" i="14"/>
  <c r="C17" i="14"/>
  <c r="E25" i="14"/>
  <c r="D207" i="14" l="1"/>
  <c r="D256" i="14"/>
  <c r="D302" i="14"/>
  <c r="D343" i="14"/>
  <c r="D56" i="19"/>
  <c r="F56" i="19"/>
  <c r="D113" i="19"/>
  <c r="D190" i="19" s="1"/>
  <c r="F191" i="19" s="1"/>
  <c r="F113" i="19"/>
  <c r="D165" i="19"/>
  <c r="E165" i="19"/>
  <c r="F165" i="19"/>
  <c r="D189" i="19"/>
  <c r="F189" i="19"/>
  <c r="F190" i="19"/>
  <c r="G242" i="19"/>
  <c r="D265" i="19"/>
  <c r="F265" i="19"/>
  <c r="F307" i="19" s="1"/>
  <c r="G281" i="19"/>
  <c r="G282" i="19"/>
  <c r="G283" i="19" s="1"/>
  <c r="D306" i="19"/>
  <c r="D307" i="19" s="1"/>
  <c r="F308" i="19" s="1"/>
  <c r="F306" i="19"/>
</calcChain>
</file>

<file path=xl/sharedStrings.xml><?xml version="1.0" encoding="utf-8"?>
<sst xmlns="http://schemas.openxmlformats.org/spreadsheetml/2006/main" count="359" uniqueCount="216">
  <si>
    <t>Interest Income</t>
  </si>
  <si>
    <t>Administrative Officer II</t>
  </si>
  <si>
    <t>MUNICIPALITY OF PIÑAN</t>
  </si>
  <si>
    <t>Province of Zamboanga del Norte</t>
  </si>
  <si>
    <t>Account Titles</t>
  </si>
  <si>
    <t>Debit</t>
  </si>
  <si>
    <t>Credit</t>
  </si>
  <si>
    <t>Cash In Bank- LCCA</t>
  </si>
  <si>
    <t>Cash In Bank- LCTD</t>
  </si>
  <si>
    <t>Due from Officers &amp; Employees</t>
  </si>
  <si>
    <t>Other Receivables</t>
  </si>
  <si>
    <t>Land</t>
  </si>
  <si>
    <t>School Buildings</t>
  </si>
  <si>
    <t>Hospitals &amp; Health Centers</t>
  </si>
  <si>
    <t>Other Structures</t>
  </si>
  <si>
    <t>Motor Vehicles</t>
  </si>
  <si>
    <t>Accounts Payable</t>
  </si>
  <si>
    <t>Due to LGUs</t>
  </si>
  <si>
    <t>Other Payables</t>
  </si>
  <si>
    <t>Government Equity</t>
  </si>
  <si>
    <t>Certified Correct:</t>
  </si>
  <si>
    <t>MELISSA B. EMPEYNADO</t>
  </si>
  <si>
    <t>Municipal Accountant</t>
  </si>
  <si>
    <t xml:space="preserve"> Trial Balance</t>
  </si>
  <si>
    <t>Real Property Tax</t>
  </si>
  <si>
    <t>Community Tax</t>
  </si>
  <si>
    <t>Inspection Fees</t>
  </si>
  <si>
    <t>Garbage Fees</t>
  </si>
  <si>
    <t>Life &amp; Retirement Insurance Contributions</t>
  </si>
  <si>
    <t>PAG-IBIG Contributions</t>
  </si>
  <si>
    <t>ECC Contributions</t>
  </si>
  <si>
    <t>Registration Fees</t>
  </si>
  <si>
    <t xml:space="preserve"> </t>
  </si>
  <si>
    <t>Due from Other Funds</t>
  </si>
  <si>
    <t>Page 4</t>
  </si>
  <si>
    <t>GENERAL FUND</t>
  </si>
  <si>
    <t>Terminal Leave Benefits</t>
  </si>
  <si>
    <t>Cash in Vault</t>
  </si>
  <si>
    <t>Markets &amp; Slaughterhouses</t>
  </si>
  <si>
    <t>Library Books</t>
  </si>
  <si>
    <t>Firefighting Equipment &amp; Accessories</t>
  </si>
  <si>
    <t>Construction in Progress-Agency Assets</t>
  </si>
  <si>
    <t>Works / Other Animals</t>
  </si>
  <si>
    <t>Due to BIR</t>
  </si>
  <si>
    <t>Due to GSIS</t>
  </si>
  <si>
    <t>Due to Pag-Ibig</t>
  </si>
  <si>
    <t>Due to PHILHEALTH</t>
  </si>
  <si>
    <t>Due to Other Funds</t>
  </si>
  <si>
    <t>Business Tax ( Local Tax )</t>
  </si>
  <si>
    <t>Fines &amp; Penalties- Local Taxes</t>
  </si>
  <si>
    <t>Income from Markets</t>
  </si>
  <si>
    <t>Income from Slaughterhouse</t>
  </si>
  <si>
    <t>Income from Waterworks System</t>
  </si>
  <si>
    <t>Rent Income</t>
  </si>
  <si>
    <t>Internal Revenue Allotment</t>
  </si>
  <si>
    <t>Salaries &amp; Wages-Regular</t>
  </si>
  <si>
    <t>Subsistence, Laundry &amp; Quarters' Allowance</t>
  </si>
  <si>
    <t>Office Buildings</t>
  </si>
  <si>
    <t>Office Equipments</t>
  </si>
  <si>
    <t>Furnitures &amp; Fixtures</t>
  </si>
  <si>
    <t>IT Equipments &amp; Software</t>
  </si>
  <si>
    <t>Communication Equipments</t>
  </si>
  <si>
    <t>Construction &amp; Heavy Equipments</t>
  </si>
  <si>
    <t>Military &amp; Police Equipments</t>
  </si>
  <si>
    <t>Technical &amp; Scientific Equipments</t>
  </si>
  <si>
    <t>Other Property, Plant &amp; Equipments</t>
  </si>
  <si>
    <t>Due to Other NGAs</t>
  </si>
  <si>
    <t>Clearance &amp; Certification Fees</t>
  </si>
  <si>
    <t>Prior Years' Adjustments</t>
  </si>
  <si>
    <t>Fees on Weights &amp; Measures</t>
  </si>
  <si>
    <t>Office Supplies Expenses</t>
  </si>
  <si>
    <t>Personnel Economic Relief Allowance (PERA)</t>
  </si>
  <si>
    <t>Accumulated Depreciation-Office Equipments</t>
  </si>
  <si>
    <t>Accumulated Depreciation-Motor Vehicles</t>
  </si>
  <si>
    <t>Accumulated  Depreciation-Furnitures &amp; Fixtures</t>
  </si>
  <si>
    <t>Accumulated Depreciation-IT Equipment</t>
  </si>
  <si>
    <t xml:space="preserve">Accumulated Depreciation-Communication Equipment </t>
  </si>
  <si>
    <t>Accumulated Depreciation-Construction &amp; Heavy Equipments</t>
  </si>
  <si>
    <t>Livestock Inventory</t>
  </si>
  <si>
    <t>Clothing/Uniform Allowance</t>
  </si>
  <si>
    <t>Landing and Parking Fees</t>
  </si>
  <si>
    <t>Discount on Real Property Taxes</t>
  </si>
  <si>
    <t>SUB-TOTAL</t>
  </si>
  <si>
    <t>GRAND TOTAL</t>
  </si>
  <si>
    <t>Petty Cash Fund</t>
  </si>
  <si>
    <t>Real Property Tax Receivable</t>
  </si>
  <si>
    <t>Deferred Real Property Tax Income</t>
  </si>
  <si>
    <t>Other Maintenance and Operating Expenses</t>
  </si>
  <si>
    <t>Accumulated Depreciation-Other Structures</t>
  </si>
  <si>
    <t>Accumulated Depreciation-Firefighting Equipment and Accessories</t>
  </si>
  <si>
    <t>Due to Regional Offices/Staff Bureaus</t>
  </si>
  <si>
    <t>Traveling Expenses-Local</t>
  </si>
  <si>
    <t>Prepared by:</t>
  </si>
  <si>
    <t>Electrification, Power and Energy Structures</t>
  </si>
  <si>
    <t>PIMPCO</t>
  </si>
  <si>
    <t>Electricity Expenses</t>
  </si>
  <si>
    <t>Miscellaneous Expenses</t>
  </si>
  <si>
    <t>Payroll Fund</t>
  </si>
  <si>
    <t>Fidelity Bond Premiums</t>
  </si>
  <si>
    <t>Donations</t>
  </si>
  <si>
    <t>Other Machineries and Equipment</t>
  </si>
  <si>
    <t>Accumulated Depreciation-Library Books</t>
  </si>
  <si>
    <t>Miscellaneous Income</t>
  </si>
  <si>
    <t>Auditing Services</t>
  </si>
  <si>
    <t>Accountable Forms Inventory</t>
  </si>
  <si>
    <t>Page 2</t>
  </si>
  <si>
    <t xml:space="preserve">      MUNICIPALITY OF PIÑAN</t>
  </si>
  <si>
    <t>Account Code</t>
  </si>
  <si>
    <t xml:space="preserve">           Province of Zamboanga del Norte</t>
  </si>
  <si>
    <t>Advances to Officers &amp; Employees</t>
  </si>
  <si>
    <t>Gasoline, Oil, &amp; Lubricants Inventory</t>
  </si>
  <si>
    <t>Medical,Dental and Laboratory Equipment</t>
  </si>
  <si>
    <t>Income from Cemetery Operations</t>
  </si>
  <si>
    <t>Honoraria</t>
  </si>
  <si>
    <t>Hazard Pay</t>
  </si>
  <si>
    <t>Overtime and Night Pay</t>
  </si>
  <si>
    <t>Training Expenses</t>
  </si>
  <si>
    <t>Gasoline,Oil and Lubricants Expenses</t>
  </si>
  <si>
    <t>Postage and Deliveries</t>
  </si>
  <si>
    <t>Internet Expenses</t>
  </si>
  <si>
    <t>Repairs and Maintenance-Construction &amp; Heavy Equipment</t>
  </si>
  <si>
    <t>Cash Gift</t>
  </si>
  <si>
    <t>Year End Bonus</t>
  </si>
  <si>
    <t>Office Supplies Inventory</t>
  </si>
  <si>
    <t>Accounts Receivable</t>
  </si>
  <si>
    <t>Receivables-Disallowances/Charges</t>
  </si>
  <si>
    <t>Accumulated Depreciation-Hospitals &amp; Health Centers</t>
  </si>
  <si>
    <t>Accumulated Depreciation-Markets &amp; Slaughterhouses</t>
  </si>
  <si>
    <t>Accumulated Depreciation-Medical, Dental and Laboratory Equipment</t>
  </si>
  <si>
    <t>Accumulated Depreciation-Other Machineries &amp; Equipment</t>
  </si>
  <si>
    <t>Accumulated Depreciation-Other Property, Plant &amp; Equipment</t>
  </si>
  <si>
    <t>PHILHEALTH Contribution</t>
  </si>
  <si>
    <t>Other Personnel Benefits</t>
  </si>
  <si>
    <t>Drugs and Medicines Inventory</t>
  </si>
  <si>
    <t xml:space="preserve">       Credit</t>
  </si>
  <si>
    <t>Premit Fees</t>
  </si>
  <si>
    <t>Telephone Expenses-mobile</t>
  </si>
  <si>
    <t>Repairs and Maintenance-Electrification,Power and Energy Structures</t>
  </si>
  <si>
    <t>Repairs and Maintenance-Motor Vehicles</t>
  </si>
  <si>
    <t>Repairs and Maintenance-Roads,Highways and Bridges</t>
  </si>
  <si>
    <t>Repairs and Maintenance-Parks,Plazas and Monuments</t>
  </si>
  <si>
    <t>Repairs and Maintenance-Artesian Wells,Reservoirs,Pumping stations and Conduits</t>
  </si>
  <si>
    <t>Productivity Incentive Allowance</t>
  </si>
  <si>
    <t>Awards and Indemnities</t>
  </si>
  <si>
    <t xml:space="preserve">       MUNICIPALITY OF PIÑAN</t>
  </si>
  <si>
    <t xml:space="preserve">     Trial Balance</t>
  </si>
  <si>
    <t xml:space="preserve">      Trial Balance</t>
  </si>
  <si>
    <t xml:space="preserve">    PRE-CLOSING</t>
  </si>
  <si>
    <t xml:space="preserve">          Page 1</t>
  </si>
  <si>
    <t>Agricultural Supply Inventory</t>
  </si>
  <si>
    <t>Other Assets</t>
  </si>
  <si>
    <t>PRE-CLOSING</t>
  </si>
  <si>
    <t>Subsidy to Local Government Units</t>
  </si>
  <si>
    <t>Page 3</t>
  </si>
  <si>
    <t>Interest Expenses</t>
  </si>
  <si>
    <t>Accumulated Depreciation-Office Buildings</t>
  </si>
  <si>
    <t>Accumulated Depreciation-School Buildings</t>
  </si>
  <si>
    <t>Sub-Total</t>
  </si>
  <si>
    <t>Prepaid Insurance</t>
  </si>
  <si>
    <t>Security Services</t>
  </si>
  <si>
    <t>Construction in Progress-Roads, Highways, &amp; Bridges</t>
  </si>
  <si>
    <t>Ignacio Galan</t>
  </si>
  <si>
    <t xml:space="preserve">    POST-CLOSING</t>
  </si>
  <si>
    <t>POST-CLOSING</t>
  </si>
  <si>
    <t xml:space="preserve">               Municipal Accountant</t>
  </si>
  <si>
    <t xml:space="preserve">        GENERAL FUND</t>
  </si>
  <si>
    <t>Accumulated Depreciation-Electrifications, Power</t>
  </si>
  <si>
    <t>Accumulated Depreciation-Technical &amp; Scientific Equipment</t>
  </si>
  <si>
    <t>Other Permits &amp; Licenses</t>
  </si>
  <si>
    <t>Other Service Income</t>
  </si>
  <si>
    <t>Cable, Satelite, Telegraph &amp; Radio Expenses</t>
  </si>
  <si>
    <t>Repairs and Maintenance-Office Buildings</t>
  </si>
  <si>
    <t>Repairs and Maintenance-IT Equipment &amp; Software</t>
  </si>
  <si>
    <t>Repairs and Maintenance-Property, Plants &amp; Equipt.</t>
  </si>
  <si>
    <t>FINAL</t>
  </si>
  <si>
    <t xml:space="preserve">         As of  December 31, 2012</t>
  </si>
  <si>
    <t>₧</t>
  </si>
  <si>
    <t xml:space="preserve">      As of December 31, 2012</t>
  </si>
  <si>
    <t>Other Local Taxes</t>
  </si>
  <si>
    <t>As of  December  31, 2012</t>
  </si>
  <si>
    <t>Share from Pagcor/PCSO</t>
  </si>
  <si>
    <t>Legal Services</t>
  </si>
  <si>
    <t>Repairs and Maintenance-Market &amp; Slaughterhouse</t>
  </si>
  <si>
    <t>Repairs and Maintenance-Other Structures</t>
  </si>
  <si>
    <t>Repairs and Maintenance-Office Equipment</t>
  </si>
  <si>
    <t>Subsidy to Other Funds</t>
  </si>
  <si>
    <t>ATTY.  ELMA L. AWIT, CPA</t>
  </si>
  <si>
    <t xml:space="preserve">         As of  December 31, 2013</t>
  </si>
  <si>
    <t>Roads, Higways and Bridges</t>
  </si>
  <si>
    <t>Dec. 2015</t>
  </si>
  <si>
    <t>Pacita Egay</t>
  </si>
  <si>
    <t>MUNICIPALITY OF JARO</t>
  </si>
  <si>
    <t>Province of Leyte</t>
  </si>
  <si>
    <t xml:space="preserve">     JUDY G. PARADO, CPA</t>
  </si>
  <si>
    <t>Budgeted Amounts</t>
  </si>
  <si>
    <t>Actual Amounts on Comparable Basis</t>
  </si>
  <si>
    <t>Difference in Final Budget and Actual</t>
  </si>
  <si>
    <t>Receipts</t>
  </si>
  <si>
    <t>Particulars</t>
  </si>
  <si>
    <t>Tax Revenue</t>
  </si>
  <si>
    <t>Assistance and Subsidy</t>
  </si>
  <si>
    <t>Shares, Grants and Donations</t>
  </si>
  <si>
    <t>Gains</t>
  </si>
  <si>
    <t>Others</t>
  </si>
  <si>
    <t>Total Receipts</t>
  </si>
  <si>
    <t>Payments</t>
  </si>
  <si>
    <t>Personnel Services</t>
  </si>
  <si>
    <t>Maintenance and Other Operating Expenses</t>
  </si>
  <si>
    <t>Capital Outlay</t>
  </si>
  <si>
    <t>Financial Expenses</t>
  </si>
  <si>
    <t>Total Payments</t>
  </si>
  <si>
    <t>Original</t>
  </si>
  <si>
    <t>Final</t>
  </si>
  <si>
    <t>Statement of  Comparison of Budget and Actual Amount</t>
  </si>
  <si>
    <t>Prepared By:</t>
  </si>
  <si>
    <t>Services and Business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</si>
</sst>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Palatino Linotype"/>
      <family val="1"/>
    </font>
    <font>
      <sz val="12"/>
      <name val="Palatino Linotype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115">
    <xf numFmtId="0" fontId="0" fillId="0" borderId="0" xfId="0"/>
    <xf numFmtId="43" fontId="0" fillId="0" borderId="0" xfId="1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5" fillId="0" borderId="0" xfId="0" applyFont="1"/>
    <xf numFmtId="43" fontId="0" fillId="0" borderId="0" xfId="0" applyNumberFormat="1"/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 shrinkToFi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3" fontId="7" fillId="0" borderId="0" xfId="1" applyFont="1" applyFill="1" applyBorder="1"/>
    <xf numFmtId="43" fontId="7" fillId="0" borderId="6" xfId="1" applyFont="1" applyFill="1" applyBorder="1"/>
    <xf numFmtId="43" fontId="7" fillId="0" borderId="7" xfId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shrinkToFit="1"/>
    </xf>
    <xf numFmtId="43" fontId="7" fillId="0" borderId="0" xfId="1" applyFont="1" applyFill="1"/>
    <xf numFmtId="0" fontId="6" fillId="0" borderId="1" xfId="0" applyFont="1" applyBorder="1" applyAlignment="1">
      <alignment shrinkToFit="1"/>
    </xf>
    <xf numFmtId="43" fontId="6" fillId="0" borderId="8" xfId="1" applyFont="1" applyFill="1" applyBorder="1"/>
    <xf numFmtId="43" fontId="7" fillId="0" borderId="2" xfId="1" applyFont="1" applyFill="1" applyBorder="1"/>
    <xf numFmtId="0" fontId="7" fillId="0" borderId="0" xfId="0" applyFont="1" applyAlignment="1">
      <alignment horizontal="center"/>
    </xf>
    <xf numFmtId="0" fontId="7" fillId="0" borderId="0" xfId="0" applyFont="1"/>
    <xf numFmtId="49" fontId="7" fillId="0" borderId="1" xfId="0" applyNumberFormat="1" applyFont="1" applyBorder="1" applyAlignment="1">
      <alignment horizontal="left" shrinkToFit="1"/>
    </xf>
    <xf numFmtId="0" fontId="7" fillId="0" borderId="4" xfId="0" applyFont="1" applyBorder="1" applyAlignment="1">
      <alignment horizontal="left"/>
    </xf>
    <xf numFmtId="43" fontId="7" fillId="0" borderId="0" xfId="1" applyFont="1" applyFill="1" applyBorder="1" applyAlignment="1">
      <alignment horizontal="center"/>
    </xf>
    <xf numFmtId="43" fontId="7" fillId="0" borderId="6" xfId="1" applyFont="1" applyFill="1" applyBorder="1" applyAlignment="1">
      <alignment horizontal="center"/>
    </xf>
    <xf numFmtId="43" fontId="7" fillId="0" borderId="7" xfId="1" applyFont="1" applyFill="1" applyBorder="1" applyAlignment="1">
      <alignment horizontal="center"/>
    </xf>
    <xf numFmtId="43" fontId="7" fillId="0" borderId="0" xfId="1" applyFont="1" applyFill="1" applyBorder="1" applyAlignment="1">
      <alignment horizontal="center" vertical="center"/>
    </xf>
    <xf numFmtId="43" fontId="7" fillId="0" borderId="7" xfId="1" applyFont="1" applyFill="1" applyBorder="1" applyAlignment="1">
      <alignment horizontal="right" vertical="center"/>
    </xf>
    <xf numFmtId="43" fontId="7" fillId="0" borderId="7" xfId="1" applyFont="1" applyFill="1" applyBorder="1" applyAlignment="1">
      <alignment horizontal="right"/>
    </xf>
    <xf numFmtId="0" fontId="6" fillId="0" borderId="2" xfId="0" applyFont="1" applyBorder="1"/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3" fontId="6" fillId="0" borderId="3" xfId="1" applyFont="1" applyFill="1" applyBorder="1"/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7" fillId="0" borderId="6" xfId="0" applyFont="1" applyBorder="1"/>
    <xf numFmtId="0" fontId="7" fillId="0" borderId="6" xfId="0" applyFont="1" applyBorder="1" applyAlignment="1">
      <alignment horizontal="center" shrinkToFit="1"/>
    </xf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43" fontId="7" fillId="0" borderId="9" xfId="1" applyFont="1" applyFill="1" applyBorder="1"/>
    <xf numFmtId="0" fontId="6" fillId="0" borderId="1" xfId="0" applyFont="1" applyBorder="1" applyAlignment="1">
      <alignment horizontal="left"/>
    </xf>
    <xf numFmtId="0" fontId="7" fillId="0" borderId="8" xfId="0" applyFont="1" applyBorder="1"/>
    <xf numFmtId="43" fontId="7" fillId="0" borderId="3" xfId="1" applyFont="1" applyFill="1" applyBorder="1"/>
    <xf numFmtId="43" fontId="7" fillId="0" borderId="2" xfId="1" applyFont="1" applyFill="1" applyBorder="1" applyAlignment="1">
      <alignment horizontal="center"/>
    </xf>
    <xf numFmtId="0" fontId="7" fillId="0" borderId="1" xfId="0" applyFont="1" applyBorder="1"/>
    <xf numFmtId="43" fontId="6" fillId="0" borderId="12" xfId="1" applyFont="1" applyFill="1" applyBorder="1" applyAlignment="1">
      <alignment shrinkToFit="1"/>
    </xf>
    <xf numFmtId="0" fontId="6" fillId="0" borderId="0" xfId="0" applyFont="1" applyAlignment="1">
      <alignment horizontal="center"/>
    </xf>
    <xf numFmtId="43" fontId="6" fillId="0" borderId="0" xfId="1" applyFont="1" applyFill="1" applyBorder="1" applyAlignment="1">
      <alignment horizontal="center"/>
    </xf>
    <xf numFmtId="43" fontId="6" fillId="0" borderId="0" xfId="1" applyFont="1" applyFill="1" applyBorder="1"/>
    <xf numFmtId="0" fontId="6" fillId="0" borderId="0" xfId="0" applyFont="1"/>
    <xf numFmtId="0" fontId="7" fillId="0" borderId="2" xfId="0" applyFont="1" applyBorder="1" applyAlignment="1">
      <alignment horizontal="center" shrinkToFit="1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/>
    <xf numFmtId="0" fontId="7" fillId="0" borderId="13" xfId="0" applyFont="1" applyBorder="1"/>
    <xf numFmtId="0" fontId="6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43" fontId="7" fillId="0" borderId="7" xfId="1" applyFont="1" applyFill="1" applyBorder="1" applyAlignment="1">
      <alignment horizontal="center" vertical="center"/>
    </xf>
    <xf numFmtId="43" fontId="7" fillId="0" borderId="11" xfId="1" applyFont="1" applyFill="1" applyBorder="1"/>
    <xf numFmtId="43" fontId="7" fillId="0" borderId="14" xfId="1" applyFont="1" applyFill="1" applyBorder="1"/>
    <xf numFmtId="43" fontId="7" fillId="0" borderId="0" xfId="1" applyFont="1" applyFill="1" applyBorder="1" applyAlignment="1">
      <alignment horizontal="right" vertical="center"/>
    </xf>
    <xf numFmtId="0" fontId="6" fillId="0" borderId="0" xfId="0" applyFont="1" applyAlignment="1">
      <alignment horizontal="left"/>
    </xf>
    <xf numFmtId="43" fontId="6" fillId="0" borderId="0" xfId="1" applyFont="1" applyFill="1" applyBorder="1" applyAlignment="1">
      <alignment shrinkToFit="1"/>
    </xf>
    <xf numFmtId="43" fontId="7" fillId="0" borderId="0" xfId="1" applyFont="1"/>
    <xf numFmtId="43" fontId="7" fillId="0" borderId="0" xfId="1" applyFont="1" applyBorder="1"/>
    <xf numFmtId="43" fontId="6" fillId="0" borderId="0" xfId="1" applyFont="1" applyBorder="1"/>
    <xf numFmtId="43" fontId="7" fillId="0" borderId="0" xfId="1" applyFont="1" applyAlignment="1"/>
    <xf numFmtId="43" fontId="7" fillId="0" borderId="1" xfId="1" applyFont="1" applyBorder="1"/>
    <xf numFmtId="0" fontId="6" fillId="0" borderId="0" xfId="0" applyFont="1" applyAlignment="1">
      <alignment shrinkToFit="1"/>
    </xf>
    <xf numFmtId="14" fontId="3" fillId="0" borderId="0" xfId="0" quotePrefix="1" applyNumberFormat="1" applyFont="1"/>
    <xf numFmtId="0" fontId="10" fillId="0" borderId="6" xfId="0" applyFont="1" applyBorder="1" applyAlignment="1">
      <alignment horizontal="center"/>
    </xf>
    <xf numFmtId="43" fontId="7" fillId="0" borderId="14" xfId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 shrinkToFit="1"/>
    </xf>
    <xf numFmtId="0" fontId="11" fillId="0" borderId="6" xfId="0" applyFont="1" applyBorder="1" applyAlignment="1">
      <alignment horizontal="center"/>
    </xf>
    <xf numFmtId="43" fontId="8" fillId="0" borderId="7" xfId="1" applyFont="1" applyFill="1" applyBorder="1"/>
    <xf numFmtId="43" fontId="8" fillId="0" borderId="6" xfId="1" applyFont="1" applyFill="1" applyBorder="1"/>
    <xf numFmtId="43" fontId="8" fillId="0" borderId="2" xfId="1" applyFont="1" applyFill="1" applyBorder="1"/>
    <xf numFmtId="0" fontId="6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3" fontId="7" fillId="0" borderId="1" xfId="0" applyNumberFormat="1" applyFont="1" applyBorder="1" applyAlignment="1">
      <alignment horizontal="center" shrinkToFit="1"/>
    </xf>
    <xf numFmtId="43" fontId="7" fillId="0" borderId="1" xfId="0" applyNumberFormat="1" applyFont="1" applyBorder="1" applyAlignment="1">
      <alignment shrinkToFit="1"/>
    </xf>
    <xf numFmtId="43" fontId="7" fillId="0" borderId="0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shrinkToFit="1"/>
    </xf>
    <xf numFmtId="43" fontId="6" fillId="0" borderId="0" xfId="1" applyFont="1" applyFill="1" applyBorder="1" applyAlignment="1">
      <alignment horizontal="center"/>
    </xf>
    <xf numFmtId="15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shrinkToFit="1"/>
    </xf>
    <xf numFmtId="0" fontId="8" fillId="0" borderId="13" xfId="0" applyFont="1" applyBorder="1" applyAlignment="1">
      <alignment horizontal="center" shrinkToFit="1"/>
    </xf>
  </cellXfs>
  <cellStyles count="5">
    <cellStyle name="Comma" xfId="1" builtinId="3"/>
    <cellStyle name="Comma 2" xfId="2" xr:uid="{00000000-0005-0000-0000-000001000000}"/>
    <cellStyle name="Currency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opLeftCell="A31" workbookViewId="0">
      <selection activeCell="A14" sqref="A14"/>
    </sheetView>
  </sheetViews>
  <sheetFormatPr defaultRowHeight="12.75" x14ac:dyDescent="0.2"/>
  <cols>
    <col min="1" max="1" width="39.85546875" customWidth="1"/>
    <col min="2" max="2" width="10.7109375" customWidth="1"/>
    <col min="3" max="3" width="2.28515625" customWidth="1"/>
    <col min="4" max="4" width="16.85546875" customWidth="1"/>
    <col min="5" max="5" width="2.42578125" customWidth="1"/>
    <col min="6" max="6" width="16.85546875" customWidth="1"/>
    <col min="7" max="7" width="15.140625" customWidth="1"/>
  </cols>
  <sheetData>
    <row r="1" spans="1:8" ht="19.5" customHeight="1" x14ac:dyDescent="0.25">
      <c r="A1" s="99" t="s">
        <v>106</v>
      </c>
      <c r="B1" s="99"/>
      <c r="C1" s="99"/>
      <c r="D1" s="99"/>
      <c r="E1" s="99"/>
      <c r="F1" s="99"/>
      <c r="G1" s="2"/>
      <c r="H1" s="2">
        <v>1</v>
      </c>
    </row>
    <row r="2" spans="1:8" ht="16.5" customHeight="1" x14ac:dyDescent="0.2">
      <c r="A2" s="95" t="s">
        <v>108</v>
      </c>
      <c r="B2" s="95"/>
      <c r="C2" s="95"/>
      <c r="D2" s="95"/>
      <c r="E2" s="95"/>
      <c r="F2" s="95"/>
      <c r="H2" s="2"/>
    </row>
    <row r="3" spans="1:8" ht="16.5" customHeight="1" x14ac:dyDescent="0.2">
      <c r="A3" s="95" t="s">
        <v>146</v>
      </c>
      <c r="B3" s="95"/>
      <c r="C3" s="95"/>
      <c r="D3" s="95"/>
      <c r="E3" s="95"/>
      <c r="F3" s="95"/>
      <c r="H3" s="2"/>
    </row>
    <row r="4" spans="1:8" ht="14.25" x14ac:dyDescent="0.2">
      <c r="A4" s="98" t="s">
        <v>187</v>
      </c>
      <c r="B4" s="95"/>
      <c r="C4" s="95"/>
      <c r="D4" s="95"/>
      <c r="E4" s="95"/>
      <c r="F4" s="95"/>
      <c r="H4" s="2"/>
    </row>
    <row r="5" spans="1:8" ht="14.25" x14ac:dyDescent="0.2">
      <c r="A5" s="95" t="s">
        <v>165</v>
      </c>
      <c r="B5" s="95"/>
      <c r="C5" s="95"/>
      <c r="D5" s="95"/>
      <c r="E5" s="95"/>
      <c r="F5" s="95"/>
      <c r="H5" s="2"/>
    </row>
    <row r="6" spans="1:8" ht="17.25" customHeight="1" x14ac:dyDescent="0.25">
      <c r="A6" s="24"/>
      <c r="B6" s="24"/>
      <c r="C6" s="55" t="s">
        <v>147</v>
      </c>
      <c r="D6" s="24"/>
      <c r="E6" s="24"/>
      <c r="F6" s="24" t="s">
        <v>148</v>
      </c>
      <c r="H6" s="2"/>
    </row>
    <row r="7" spans="1:8" ht="15.75" customHeight="1" x14ac:dyDescent="0.25">
      <c r="A7" s="7" t="s">
        <v>4</v>
      </c>
      <c r="B7" s="8" t="s">
        <v>107</v>
      </c>
      <c r="C7" s="9"/>
      <c r="D7" s="10" t="s">
        <v>5</v>
      </c>
      <c r="E7" s="9"/>
      <c r="F7" s="10" t="s">
        <v>6</v>
      </c>
      <c r="H7" s="2"/>
    </row>
    <row r="8" spans="1:8" ht="13.5" customHeight="1" x14ac:dyDescent="0.35">
      <c r="A8" s="11" t="s">
        <v>37</v>
      </c>
      <c r="B8" s="12">
        <v>101</v>
      </c>
      <c r="C8" s="75" t="s">
        <v>176</v>
      </c>
      <c r="D8" s="14">
        <v>620.77</v>
      </c>
      <c r="E8" s="82" t="s">
        <v>176</v>
      </c>
      <c r="F8" s="83"/>
      <c r="H8" s="2"/>
    </row>
    <row r="9" spans="1:8" ht="15.75" customHeight="1" x14ac:dyDescent="0.25">
      <c r="A9" s="11" t="s">
        <v>84</v>
      </c>
      <c r="B9" s="17">
        <v>104</v>
      </c>
      <c r="C9" s="13"/>
      <c r="D9" s="14">
        <v>2466.34</v>
      </c>
      <c r="E9" s="84"/>
      <c r="F9" s="83"/>
      <c r="G9" s="3" t="s">
        <v>174</v>
      </c>
      <c r="H9" s="2"/>
    </row>
    <row r="10" spans="1:8" ht="15" customHeight="1" x14ac:dyDescent="0.25">
      <c r="A10" s="11" t="s">
        <v>97</v>
      </c>
      <c r="B10" s="17">
        <v>106</v>
      </c>
      <c r="C10" s="13"/>
      <c r="D10" s="14">
        <v>171614.56</v>
      </c>
      <c r="E10" s="84"/>
      <c r="F10" s="83"/>
      <c r="G10" s="74">
        <v>40947</v>
      </c>
      <c r="H10" s="2"/>
    </row>
    <row r="11" spans="1:8" ht="15" customHeight="1" x14ac:dyDescent="0.25">
      <c r="A11" s="11" t="s">
        <v>7</v>
      </c>
      <c r="B11" s="17">
        <v>111</v>
      </c>
      <c r="C11" s="13"/>
      <c r="D11" s="14">
        <v>7295578.4000000004</v>
      </c>
      <c r="E11" s="84"/>
      <c r="F11" s="83"/>
      <c r="H11" s="2"/>
    </row>
    <row r="12" spans="1:8" ht="15" customHeight="1" x14ac:dyDescent="0.25">
      <c r="A12" s="11" t="s">
        <v>8</v>
      </c>
      <c r="B12" s="17">
        <v>113</v>
      </c>
      <c r="C12" s="13"/>
      <c r="D12" s="14">
        <v>12356.81</v>
      </c>
      <c r="E12" s="84"/>
      <c r="F12" s="83"/>
      <c r="H12" s="2"/>
    </row>
    <row r="13" spans="1:8" ht="15" customHeight="1" x14ac:dyDescent="0.25">
      <c r="A13" s="11" t="s">
        <v>124</v>
      </c>
      <c r="B13" s="17">
        <v>121</v>
      </c>
      <c r="C13" s="13"/>
      <c r="D13" s="14">
        <v>270482.61</v>
      </c>
      <c r="E13" s="84"/>
      <c r="F13" s="83"/>
      <c r="H13" s="2"/>
    </row>
    <row r="14" spans="1:8" ht="13.5" customHeight="1" x14ac:dyDescent="0.25">
      <c r="A14" s="11" t="s">
        <v>9</v>
      </c>
      <c r="B14" s="17">
        <v>123</v>
      </c>
      <c r="C14" s="13"/>
      <c r="D14" s="14">
        <v>58354.29</v>
      </c>
      <c r="E14" s="84"/>
      <c r="F14" s="83"/>
      <c r="H14" s="2"/>
    </row>
    <row r="15" spans="1:8" ht="12.75" customHeight="1" x14ac:dyDescent="0.25">
      <c r="A15" s="11" t="s">
        <v>85</v>
      </c>
      <c r="B15" s="17">
        <v>127</v>
      </c>
      <c r="C15" s="13"/>
      <c r="D15" s="14">
        <v>661913.74</v>
      </c>
      <c r="E15" s="84"/>
      <c r="F15" s="83"/>
      <c r="H15" s="2"/>
    </row>
    <row r="16" spans="1:8" ht="12.75" customHeight="1" x14ac:dyDescent="0.25">
      <c r="A16" s="11" t="s">
        <v>33</v>
      </c>
      <c r="B16" s="17">
        <v>144</v>
      </c>
      <c r="C16" s="13"/>
      <c r="D16" s="14">
        <v>35188.42</v>
      </c>
      <c r="E16" s="84"/>
      <c r="F16" s="83"/>
      <c r="H16" s="2"/>
    </row>
    <row r="17" spans="1:8" ht="12.75" customHeight="1" x14ac:dyDescent="0.25">
      <c r="A17" s="11" t="s">
        <v>125</v>
      </c>
      <c r="B17" s="17">
        <v>146</v>
      </c>
      <c r="C17" s="13"/>
      <c r="D17" s="14">
        <v>1006730.46</v>
      </c>
      <c r="E17" s="84"/>
      <c r="F17" s="83"/>
      <c r="H17" s="2"/>
    </row>
    <row r="18" spans="1:8" ht="13.5" customHeight="1" x14ac:dyDescent="0.25">
      <c r="A18" s="11" t="s">
        <v>109</v>
      </c>
      <c r="B18" s="17">
        <v>148</v>
      </c>
      <c r="C18" s="13"/>
      <c r="D18" s="14">
        <v>1673415</v>
      </c>
      <c r="E18" s="84"/>
      <c r="F18" s="83"/>
      <c r="H18" s="2"/>
    </row>
    <row r="19" spans="1:8" ht="12.75" customHeight="1" x14ac:dyDescent="0.25">
      <c r="A19" s="11" t="s">
        <v>10</v>
      </c>
      <c r="B19" s="17">
        <v>149</v>
      </c>
      <c r="C19" s="13"/>
      <c r="D19" s="14">
        <v>614984.92000000004</v>
      </c>
      <c r="E19" s="84"/>
      <c r="F19" s="83"/>
      <c r="H19" s="2"/>
    </row>
    <row r="20" spans="1:8" ht="12.75" customHeight="1" x14ac:dyDescent="0.25">
      <c r="A20" s="11" t="s">
        <v>123</v>
      </c>
      <c r="B20" s="17">
        <v>155</v>
      </c>
      <c r="C20" s="13"/>
      <c r="D20" s="14">
        <v>91076.7</v>
      </c>
      <c r="E20" s="84"/>
      <c r="F20" s="83"/>
      <c r="H20" s="2"/>
    </row>
    <row r="21" spans="1:8" ht="12.75" customHeight="1" x14ac:dyDescent="0.25">
      <c r="A21" s="11" t="s">
        <v>104</v>
      </c>
      <c r="B21" s="17">
        <v>156</v>
      </c>
      <c r="C21" s="13"/>
      <c r="D21" s="14">
        <v>139213.6</v>
      </c>
      <c r="E21" s="84"/>
      <c r="F21" s="83"/>
      <c r="H21" s="2"/>
    </row>
    <row r="22" spans="1:8" ht="12.75" customHeight="1" x14ac:dyDescent="0.25">
      <c r="A22" s="11" t="s">
        <v>133</v>
      </c>
      <c r="B22" s="17">
        <v>159</v>
      </c>
      <c r="C22" s="13"/>
      <c r="D22" s="14">
        <v>537650.44999999995</v>
      </c>
      <c r="E22" s="84"/>
      <c r="F22" s="83"/>
      <c r="H22" s="2"/>
    </row>
    <row r="23" spans="1:8" ht="12.75" customHeight="1" x14ac:dyDescent="0.25">
      <c r="A23" s="11" t="s">
        <v>110</v>
      </c>
      <c r="B23" s="17">
        <v>161</v>
      </c>
      <c r="C23" s="13"/>
      <c r="D23" s="14">
        <v>310956.26</v>
      </c>
      <c r="E23" s="84"/>
      <c r="F23" s="83"/>
      <c r="H23" s="2"/>
    </row>
    <row r="24" spans="1:8" ht="12.75" customHeight="1" x14ac:dyDescent="0.25">
      <c r="A24" s="11" t="s">
        <v>149</v>
      </c>
      <c r="B24" s="17">
        <v>162</v>
      </c>
      <c r="C24" s="13"/>
      <c r="D24" s="14">
        <v>77858</v>
      </c>
      <c r="E24" s="84"/>
      <c r="F24" s="83"/>
      <c r="H24" s="2"/>
    </row>
    <row r="25" spans="1:8" ht="12.75" customHeight="1" x14ac:dyDescent="0.25">
      <c r="A25" s="11" t="s">
        <v>78</v>
      </c>
      <c r="B25" s="17">
        <v>169</v>
      </c>
      <c r="C25" s="13"/>
      <c r="D25" s="14">
        <v>170497</v>
      </c>
      <c r="E25" s="84"/>
      <c r="F25" s="83"/>
      <c r="H25" s="2"/>
    </row>
    <row r="26" spans="1:8" ht="12.75" customHeight="1" x14ac:dyDescent="0.25">
      <c r="A26" s="11" t="s">
        <v>158</v>
      </c>
      <c r="B26" s="17">
        <v>178</v>
      </c>
      <c r="C26" s="13"/>
      <c r="D26" s="14">
        <v>7178.61</v>
      </c>
      <c r="E26" s="84"/>
      <c r="F26" s="83"/>
      <c r="H26" s="2"/>
    </row>
    <row r="27" spans="1:8" ht="12.75" customHeight="1" x14ac:dyDescent="0.25">
      <c r="A27" s="11" t="s">
        <v>11</v>
      </c>
      <c r="B27" s="17">
        <v>201</v>
      </c>
      <c r="C27" s="13"/>
      <c r="D27" s="14">
        <v>3169594.18</v>
      </c>
      <c r="E27" s="84"/>
      <c r="F27" s="83"/>
      <c r="H27" s="2"/>
    </row>
    <row r="28" spans="1:8" ht="12.75" customHeight="1" x14ac:dyDescent="0.25">
      <c r="A28" s="18" t="s">
        <v>93</v>
      </c>
      <c r="B28" s="17">
        <v>205</v>
      </c>
      <c r="C28" s="13"/>
      <c r="D28" s="14">
        <v>5440917.6100000003</v>
      </c>
      <c r="E28" s="84"/>
      <c r="F28" s="83"/>
      <c r="H28" s="2"/>
    </row>
    <row r="29" spans="1:8" ht="12.75" customHeight="1" x14ac:dyDescent="0.25">
      <c r="A29" s="11" t="s">
        <v>57</v>
      </c>
      <c r="B29" s="17">
        <v>211</v>
      </c>
      <c r="C29" s="13"/>
      <c r="D29" s="14">
        <v>20588113.280000001</v>
      </c>
      <c r="E29" s="84"/>
      <c r="F29" s="83"/>
      <c r="H29" s="2"/>
    </row>
    <row r="30" spans="1:8" ht="12.75" customHeight="1" x14ac:dyDescent="0.25">
      <c r="A30" s="11" t="s">
        <v>12</v>
      </c>
      <c r="B30" s="17">
        <v>212</v>
      </c>
      <c r="C30" s="13"/>
      <c r="D30" s="14">
        <v>402953.12</v>
      </c>
      <c r="E30" s="84"/>
      <c r="F30" s="83"/>
      <c r="H30" s="2"/>
    </row>
    <row r="31" spans="1:8" ht="12.75" customHeight="1" x14ac:dyDescent="0.25">
      <c r="A31" s="11" t="s">
        <v>13</v>
      </c>
      <c r="B31" s="17">
        <v>213</v>
      </c>
      <c r="C31" s="13"/>
      <c r="D31" s="14">
        <v>807010.99</v>
      </c>
      <c r="E31" s="84"/>
      <c r="F31" s="83"/>
      <c r="H31" s="2"/>
    </row>
    <row r="32" spans="1:8" ht="12.75" customHeight="1" x14ac:dyDescent="0.25">
      <c r="A32" s="11" t="s">
        <v>38</v>
      </c>
      <c r="B32" s="17">
        <v>214</v>
      </c>
      <c r="C32" s="13"/>
      <c r="D32" s="14">
        <v>4099045.65</v>
      </c>
      <c r="E32" s="84"/>
      <c r="F32" s="83"/>
      <c r="H32" s="2"/>
    </row>
    <row r="33" spans="1:8" ht="12.75" customHeight="1" x14ac:dyDescent="0.25">
      <c r="A33" s="11" t="s">
        <v>14</v>
      </c>
      <c r="B33" s="17">
        <v>215</v>
      </c>
      <c r="C33" s="13"/>
      <c r="D33" s="14">
        <v>5374471.8899999997</v>
      </c>
      <c r="E33" s="84"/>
      <c r="F33" s="83"/>
      <c r="H33" s="2"/>
    </row>
    <row r="34" spans="1:8" ht="12.75" customHeight="1" x14ac:dyDescent="0.25">
      <c r="A34" s="11" t="s">
        <v>58</v>
      </c>
      <c r="B34" s="17">
        <v>221</v>
      </c>
      <c r="C34" s="13"/>
      <c r="D34" s="14">
        <v>3244229.88</v>
      </c>
      <c r="E34" s="84"/>
      <c r="F34" s="83"/>
      <c r="H34" s="2"/>
    </row>
    <row r="35" spans="1:8" ht="12.75" customHeight="1" x14ac:dyDescent="0.25">
      <c r="A35" s="11" t="s">
        <v>59</v>
      </c>
      <c r="B35" s="17">
        <v>222</v>
      </c>
      <c r="C35" s="13"/>
      <c r="D35" s="14">
        <v>878683.47</v>
      </c>
      <c r="E35" s="84"/>
      <c r="F35" s="83"/>
      <c r="H35" s="2"/>
    </row>
    <row r="36" spans="1:8" ht="12.75" customHeight="1" x14ac:dyDescent="0.25">
      <c r="A36" s="11" t="s">
        <v>60</v>
      </c>
      <c r="B36" s="17">
        <v>223</v>
      </c>
      <c r="C36" s="13"/>
      <c r="D36" s="14">
        <v>2645791</v>
      </c>
      <c r="E36" s="84"/>
      <c r="F36" s="83"/>
      <c r="H36" s="2"/>
    </row>
    <row r="37" spans="1:8" ht="12.75" customHeight="1" x14ac:dyDescent="0.25">
      <c r="A37" s="11" t="s">
        <v>39</v>
      </c>
      <c r="B37" s="17">
        <v>224</v>
      </c>
      <c r="C37" s="13"/>
      <c r="D37" s="14">
        <v>52707.8</v>
      </c>
      <c r="E37" s="84"/>
      <c r="F37" s="83"/>
      <c r="H37" s="2"/>
    </row>
    <row r="38" spans="1:8" ht="12.75" customHeight="1" x14ac:dyDescent="0.25">
      <c r="A38" s="11" t="s">
        <v>61</v>
      </c>
      <c r="B38" s="17">
        <v>229</v>
      </c>
      <c r="C38" s="13"/>
      <c r="D38" s="14">
        <v>900627.71</v>
      </c>
      <c r="E38" s="84"/>
      <c r="F38" s="83"/>
      <c r="H38" s="2"/>
    </row>
    <row r="39" spans="1:8" ht="12.75" customHeight="1" x14ac:dyDescent="0.25">
      <c r="A39" s="18" t="s">
        <v>62</v>
      </c>
      <c r="B39" s="17">
        <v>230</v>
      </c>
      <c r="C39" s="13"/>
      <c r="D39" s="14">
        <v>6787104.4299999997</v>
      </c>
      <c r="E39" s="84"/>
      <c r="F39" s="83"/>
      <c r="H39" s="2"/>
    </row>
    <row r="40" spans="1:8" ht="12.75" customHeight="1" x14ac:dyDescent="0.25">
      <c r="A40" s="18" t="s">
        <v>40</v>
      </c>
      <c r="B40" s="17">
        <v>231</v>
      </c>
      <c r="C40" s="13"/>
      <c r="D40" s="14">
        <v>57590.85</v>
      </c>
      <c r="E40" s="84"/>
      <c r="F40" s="83"/>
      <c r="H40" s="2"/>
    </row>
    <row r="41" spans="1:8" ht="12.75" customHeight="1" x14ac:dyDescent="0.25">
      <c r="A41" s="18" t="s">
        <v>111</v>
      </c>
      <c r="B41" s="17">
        <v>233</v>
      </c>
      <c r="C41" s="13"/>
      <c r="D41" s="14">
        <v>196171</v>
      </c>
      <c r="E41" s="84"/>
      <c r="F41" s="83"/>
      <c r="H41" s="2"/>
    </row>
    <row r="42" spans="1:8" ht="12.75" customHeight="1" x14ac:dyDescent="0.25">
      <c r="A42" s="11" t="s">
        <v>63</v>
      </c>
      <c r="B42" s="17">
        <v>234</v>
      </c>
      <c r="C42" s="13"/>
      <c r="D42" s="14">
        <v>15187.52</v>
      </c>
      <c r="E42" s="84"/>
      <c r="F42" s="83"/>
      <c r="H42" s="2"/>
    </row>
    <row r="43" spans="1:8" ht="12.75" customHeight="1" x14ac:dyDescent="0.25">
      <c r="A43" s="11" t="s">
        <v>64</v>
      </c>
      <c r="B43" s="17">
        <v>236</v>
      </c>
      <c r="C43" s="13"/>
      <c r="D43" s="14">
        <v>71908</v>
      </c>
      <c r="E43" s="84"/>
      <c r="F43" s="83"/>
      <c r="H43" s="2"/>
    </row>
    <row r="44" spans="1:8" ht="12.75" customHeight="1" x14ac:dyDescent="0.25">
      <c r="A44" s="11" t="s">
        <v>100</v>
      </c>
      <c r="B44" s="17">
        <v>240</v>
      </c>
      <c r="C44" s="13"/>
      <c r="D44" s="14">
        <v>137800</v>
      </c>
      <c r="E44" s="84"/>
      <c r="F44" s="83"/>
      <c r="H44" s="2"/>
    </row>
    <row r="45" spans="1:8" ht="12.75" customHeight="1" x14ac:dyDescent="0.25">
      <c r="A45" s="11" t="s">
        <v>15</v>
      </c>
      <c r="B45" s="17">
        <v>241</v>
      </c>
      <c r="C45" s="13"/>
      <c r="D45" s="14">
        <v>4058957.8</v>
      </c>
      <c r="E45" s="84"/>
      <c r="F45" s="83"/>
      <c r="H45" s="2"/>
    </row>
    <row r="46" spans="1:8" ht="12.75" customHeight="1" x14ac:dyDescent="0.25">
      <c r="A46" s="11" t="s">
        <v>65</v>
      </c>
      <c r="B46" s="17">
        <v>250</v>
      </c>
      <c r="C46" s="13"/>
      <c r="D46" s="14">
        <v>7653855.7400000002</v>
      </c>
      <c r="E46" s="84"/>
      <c r="F46" s="83"/>
      <c r="H46" s="2"/>
    </row>
    <row r="47" spans="1:8" ht="12.75" customHeight="1" x14ac:dyDescent="0.25">
      <c r="A47" s="11" t="s">
        <v>188</v>
      </c>
      <c r="B47" s="17">
        <v>251</v>
      </c>
      <c r="C47" s="13"/>
      <c r="D47" s="14">
        <v>286952</v>
      </c>
      <c r="E47" s="84"/>
      <c r="F47" s="83"/>
      <c r="H47" s="2"/>
    </row>
    <row r="48" spans="1:8" ht="12.75" customHeight="1" x14ac:dyDescent="0.25">
      <c r="A48" s="11" t="s">
        <v>41</v>
      </c>
      <c r="B48" s="17">
        <v>264</v>
      </c>
      <c r="C48" s="42"/>
      <c r="D48" s="30">
        <v>5610348</v>
      </c>
      <c r="E48" s="84"/>
      <c r="F48" s="83"/>
      <c r="H48" s="2"/>
    </row>
    <row r="49" spans="1:8" ht="12.75" customHeight="1" x14ac:dyDescent="0.25">
      <c r="A49" s="18" t="s">
        <v>160</v>
      </c>
      <c r="B49" s="17">
        <v>266</v>
      </c>
      <c r="C49" s="42"/>
      <c r="D49" s="30">
        <v>453972</v>
      </c>
      <c r="E49" s="84"/>
      <c r="F49" s="83"/>
      <c r="H49" s="2"/>
    </row>
    <row r="50" spans="1:8" ht="12.75" customHeight="1" x14ac:dyDescent="0.25">
      <c r="A50" s="18" t="s">
        <v>42</v>
      </c>
      <c r="B50" s="17">
        <v>281</v>
      </c>
      <c r="C50" s="13"/>
      <c r="D50" s="14">
        <v>90280</v>
      </c>
      <c r="E50" s="84"/>
      <c r="F50" s="83"/>
      <c r="H50" s="2"/>
    </row>
    <row r="51" spans="1:8" ht="12.75" customHeight="1" x14ac:dyDescent="0.25">
      <c r="A51" s="18" t="s">
        <v>150</v>
      </c>
      <c r="B51" s="17">
        <v>290</v>
      </c>
      <c r="C51" s="13"/>
      <c r="D51" s="14">
        <v>16585</v>
      </c>
      <c r="E51" s="84"/>
      <c r="F51" s="83"/>
      <c r="H51" s="2"/>
    </row>
    <row r="52" spans="1:8" ht="12.75" customHeight="1" x14ac:dyDescent="0.25">
      <c r="A52" s="18" t="s">
        <v>166</v>
      </c>
      <c r="B52" s="17">
        <v>305</v>
      </c>
      <c r="C52" s="13"/>
      <c r="D52" s="14"/>
      <c r="E52" s="84"/>
      <c r="F52" s="16">
        <v>2766159.41</v>
      </c>
      <c r="H52" s="2"/>
    </row>
    <row r="53" spans="1:8" ht="12.75" customHeight="1" x14ac:dyDescent="0.25">
      <c r="A53" s="18" t="s">
        <v>155</v>
      </c>
      <c r="B53" s="17">
        <v>311</v>
      </c>
      <c r="C53" s="13"/>
      <c r="D53" s="14"/>
      <c r="E53" s="84"/>
      <c r="F53" s="16">
        <v>2372500.1800000002</v>
      </c>
      <c r="H53" s="2"/>
    </row>
    <row r="54" spans="1:8" ht="12.75" customHeight="1" x14ac:dyDescent="0.35">
      <c r="A54" s="18" t="s">
        <v>156</v>
      </c>
      <c r="B54" s="17">
        <v>312</v>
      </c>
      <c r="C54" s="75"/>
      <c r="D54" s="14"/>
      <c r="E54" s="82"/>
      <c r="F54" s="16">
        <v>61622.31</v>
      </c>
      <c r="H54" s="2"/>
    </row>
    <row r="55" spans="1:8" ht="12.75" customHeight="1" x14ac:dyDescent="0.25">
      <c r="A55" s="18" t="s">
        <v>126</v>
      </c>
      <c r="B55" s="17">
        <v>313</v>
      </c>
      <c r="C55" s="13"/>
      <c r="D55" s="14"/>
      <c r="E55" s="84"/>
      <c r="F55" s="16">
        <v>130160.43</v>
      </c>
      <c r="H55" s="2"/>
    </row>
    <row r="56" spans="1:8" ht="12.75" customHeight="1" x14ac:dyDescent="0.25">
      <c r="A56" s="20" t="s">
        <v>82</v>
      </c>
      <c r="B56" s="9"/>
      <c r="C56" s="9"/>
      <c r="D56" s="21">
        <f>SUM(D8:D55)</f>
        <v>86178995.85999997</v>
      </c>
      <c r="E56" s="85"/>
      <c r="F56" s="36">
        <f>SUM(F8:F55)</f>
        <v>5330442.3299999991</v>
      </c>
      <c r="H56" s="2"/>
    </row>
    <row r="57" spans="1:8" ht="12.75" customHeight="1" x14ac:dyDescent="0.25">
      <c r="A57" s="73"/>
      <c r="B57" s="23"/>
      <c r="C57" s="23"/>
      <c r="D57" s="54"/>
      <c r="E57" s="14"/>
      <c r="F57" s="54"/>
      <c r="H57" s="2"/>
    </row>
    <row r="58" spans="1:8" ht="12.75" customHeight="1" x14ac:dyDescent="0.25">
      <c r="A58" s="73"/>
      <c r="B58" s="23"/>
      <c r="C58" s="23"/>
      <c r="D58" s="54"/>
      <c r="E58" s="14"/>
      <c r="F58" s="54"/>
      <c r="H58" s="2"/>
    </row>
    <row r="59" spans="1:8" ht="12.75" customHeight="1" x14ac:dyDescent="0.25">
      <c r="A59" s="73"/>
      <c r="B59" s="23"/>
      <c r="C59" s="23"/>
      <c r="D59" s="54"/>
      <c r="E59" s="14"/>
      <c r="F59" s="54"/>
      <c r="H59" s="2"/>
    </row>
    <row r="60" spans="1:8" ht="12.75" customHeight="1" x14ac:dyDescent="0.25">
      <c r="A60" s="96" t="s">
        <v>144</v>
      </c>
      <c r="B60" s="96"/>
      <c r="C60" s="96"/>
      <c r="D60" s="96"/>
      <c r="E60" s="96"/>
      <c r="F60" s="96"/>
      <c r="H60" s="2"/>
    </row>
    <row r="61" spans="1:8" ht="12.75" customHeight="1" x14ac:dyDescent="0.2">
      <c r="A61" s="95" t="s">
        <v>108</v>
      </c>
      <c r="B61" s="95"/>
      <c r="C61" s="95"/>
      <c r="D61" s="95"/>
      <c r="E61" s="95"/>
      <c r="F61" s="95"/>
      <c r="H61" s="2"/>
    </row>
    <row r="62" spans="1:8" ht="12.75" customHeight="1" x14ac:dyDescent="0.2">
      <c r="A62" s="95" t="s">
        <v>145</v>
      </c>
      <c r="B62" s="95"/>
      <c r="C62" s="95"/>
      <c r="D62" s="95"/>
      <c r="E62" s="95"/>
      <c r="F62" s="95"/>
      <c r="H62" s="2"/>
    </row>
    <row r="63" spans="1:8" ht="12.75" customHeight="1" x14ac:dyDescent="0.2">
      <c r="A63" s="98" t="s">
        <v>177</v>
      </c>
      <c r="B63" s="95"/>
      <c r="C63" s="95"/>
      <c r="D63" s="95"/>
      <c r="E63" s="95"/>
      <c r="F63" s="95"/>
      <c r="H63" s="2"/>
    </row>
    <row r="64" spans="1:8" ht="12.75" customHeight="1" x14ac:dyDescent="0.2">
      <c r="A64" s="95" t="s">
        <v>165</v>
      </c>
      <c r="B64" s="95"/>
      <c r="C64" s="95"/>
      <c r="D64" s="95"/>
      <c r="E64" s="95"/>
      <c r="F64" s="95"/>
      <c r="H64" s="2"/>
    </row>
    <row r="65" spans="1:8" ht="12.75" customHeight="1" x14ac:dyDescent="0.25">
      <c r="A65" s="24"/>
      <c r="B65" s="24"/>
      <c r="C65" s="24"/>
      <c r="D65" s="55" t="s">
        <v>151</v>
      </c>
      <c r="E65" s="55"/>
      <c r="F65" s="23" t="s">
        <v>105</v>
      </c>
      <c r="H65" s="2"/>
    </row>
    <row r="66" spans="1:8" ht="12.75" customHeight="1" x14ac:dyDescent="0.25">
      <c r="A66" s="7" t="s">
        <v>4</v>
      </c>
      <c r="B66" s="25" t="s">
        <v>107</v>
      </c>
      <c r="C66" s="56"/>
      <c r="D66" s="57" t="s">
        <v>5</v>
      </c>
      <c r="E66" s="47"/>
      <c r="F66" s="57" t="s">
        <v>134</v>
      </c>
      <c r="H66" s="2"/>
    </row>
    <row r="67" spans="1:8" ht="12.75" customHeight="1" x14ac:dyDescent="0.3">
      <c r="A67" s="18" t="s">
        <v>127</v>
      </c>
      <c r="B67" s="17">
        <v>314</v>
      </c>
      <c r="C67" s="75" t="s">
        <v>176</v>
      </c>
      <c r="D67" s="14"/>
      <c r="E67" s="75" t="s">
        <v>176</v>
      </c>
      <c r="F67" s="16">
        <v>490568.93</v>
      </c>
      <c r="H67" s="2"/>
    </row>
    <row r="68" spans="1:8" ht="12.75" customHeight="1" x14ac:dyDescent="0.25">
      <c r="A68" s="18" t="s">
        <v>88</v>
      </c>
      <c r="B68" s="17">
        <v>315</v>
      </c>
      <c r="C68" s="13"/>
      <c r="D68" s="14"/>
      <c r="E68" s="15"/>
      <c r="F68" s="16">
        <v>814484.44</v>
      </c>
      <c r="H68" s="2"/>
    </row>
    <row r="69" spans="1:8" ht="12.75" customHeight="1" x14ac:dyDescent="0.25">
      <c r="A69" s="18" t="s">
        <v>72</v>
      </c>
      <c r="B69" s="17">
        <v>321</v>
      </c>
      <c r="C69" s="13"/>
      <c r="D69" s="19"/>
      <c r="E69" s="15"/>
      <c r="F69" s="16">
        <v>753862.57</v>
      </c>
      <c r="H69" s="2"/>
    </row>
    <row r="70" spans="1:8" ht="12.75" customHeight="1" x14ac:dyDescent="0.25">
      <c r="A70" s="18" t="s">
        <v>74</v>
      </c>
      <c r="B70" s="17">
        <v>322</v>
      </c>
      <c r="C70" s="13"/>
      <c r="D70" s="19"/>
      <c r="E70" s="15"/>
      <c r="F70" s="16">
        <v>323809.53999999998</v>
      </c>
      <c r="H70" s="2"/>
    </row>
    <row r="71" spans="1:8" ht="12.75" customHeight="1" x14ac:dyDescent="0.25">
      <c r="A71" s="18" t="s">
        <v>75</v>
      </c>
      <c r="B71" s="17">
        <v>323</v>
      </c>
      <c r="C71" s="13"/>
      <c r="D71" s="14"/>
      <c r="E71" s="15"/>
      <c r="F71" s="16">
        <v>1503884.96</v>
      </c>
      <c r="H71" s="2"/>
    </row>
    <row r="72" spans="1:8" ht="12.75" customHeight="1" x14ac:dyDescent="0.25">
      <c r="A72" s="18" t="s">
        <v>101</v>
      </c>
      <c r="B72" s="17">
        <v>324</v>
      </c>
      <c r="C72" s="13"/>
      <c r="D72" s="14"/>
      <c r="E72" s="15"/>
      <c r="F72" s="16">
        <v>30522.86</v>
      </c>
      <c r="H72" s="2"/>
    </row>
    <row r="73" spans="1:8" ht="13.5" customHeight="1" x14ac:dyDescent="0.25">
      <c r="A73" s="18" t="s">
        <v>76</v>
      </c>
      <c r="B73" s="17">
        <v>329</v>
      </c>
      <c r="C73" s="13"/>
      <c r="D73" s="14"/>
      <c r="E73" s="15"/>
      <c r="F73" s="16">
        <v>366953.97</v>
      </c>
      <c r="H73" s="2"/>
    </row>
    <row r="74" spans="1:8" ht="13.5" customHeight="1" x14ac:dyDescent="0.25">
      <c r="A74" s="18" t="s">
        <v>77</v>
      </c>
      <c r="B74" s="17">
        <v>330</v>
      </c>
      <c r="C74" s="13"/>
      <c r="D74" s="14"/>
      <c r="E74" s="15"/>
      <c r="F74" s="16">
        <v>2040990.02</v>
      </c>
      <c r="H74" s="2"/>
    </row>
    <row r="75" spans="1:8" ht="13.5" customHeight="1" x14ac:dyDescent="0.25">
      <c r="A75" s="18" t="s">
        <v>89</v>
      </c>
      <c r="B75" s="17">
        <v>331</v>
      </c>
      <c r="C75" s="13"/>
      <c r="D75" s="14"/>
      <c r="E75" s="15"/>
      <c r="F75" s="16">
        <v>32546.76</v>
      </c>
      <c r="H75" s="2"/>
    </row>
    <row r="76" spans="1:8" ht="13.5" customHeight="1" x14ac:dyDescent="0.25">
      <c r="A76" s="18" t="s">
        <v>128</v>
      </c>
      <c r="B76" s="17">
        <v>333</v>
      </c>
      <c r="C76" s="13"/>
      <c r="D76" s="14"/>
      <c r="E76" s="15"/>
      <c r="F76" s="16">
        <v>9538.02</v>
      </c>
      <c r="H76" s="2"/>
    </row>
    <row r="77" spans="1:8" ht="13.5" customHeight="1" x14ac:dyDescent="0.25">
      <c r="A77" s="18" t="s">
        <v>167</v>
      </c>
      <c r="B77" s="17">
        <v>336</v>
      </c>
      <c r="C77" s="13"/>
      <c r="D77" s="14"/>
      <c r="E77" s="15"/>
      <c r="F77" s="16">
        <v>8755.5</v>
      </c>
      <c r="H77" s="2"/>
    </row>
    <row r="78" spans="1:8" ht="13.5" customHeight="1" x14ac:dyDescent="0.25">
      <c r="A78" s="18" t="s">
        <v>129</v>
      </c>
      <c r="B78" s="17">
        <v>340</v>
      </c>
      <c r="C78" s="13"/>
      <c r="D78" s="14"/>
      <c r="E78" s="15"/>
      <c r="F78" s="16">
        <v>34810.5</v>
      </c>
      <c r="H78" s="2"/>
    </row>
    <row r="79" spans="1:8" ht="13.5" customHeight="1" x14ac:dyDescent="0.25">
      <c r="A79" s="18" t="s">
        <v>73</v>
      </c>
      <c r="B79" s="17">
        <v>341</v>
      </c>
      <c r="C79" s="13"/>
      <c r="D79" s="16"/>
      <c r="E79" s="14"/>
      <c r="F79" s="16">
        <v>1367209.03</v>
      </c>
      <c r="H79" s="2"/>
    </row>
    <row r="80" spans="1:8" ht="13.5" customHeight="1" x14ac:dyDescent="0.25">
      <c r="A80" s="18" t="s">
        <v>130</v>
      </c>
      <c r="B80" s="17">
        <v>350</v>
      </c>
      <c r="C80" s="13"/>
      <c r="D80" s="16"/>
      <c r="E80" s="14"/>
      <c r="F80" s="16">
        <v>2097837.0699999998</v>
      </c>
      <c r="H80" s="2"/>
    </row>
    <row r="81" spans="1:8" ht="13.5" customHeight="1" x14ac:dyDescent="0.25">
      <c r="A81" s="18" t="s">
        <v>16</v>
      </c>
      <c r="B81" s="17">
        <v>401</v>
      </c>
      <c r="C81" s="23"/>
      <c r="D81" s="16"/>
      <c r="E81" s="14"/>
      <c r="F81" s="16">
        <v>1024704.22</v>
      </c>
      <c r="H81" s="2"/>
    </row>
    <row r="82" spans="1:8" ht="13.5" customHeight="1" x14ac:dyDescent="0.25">
      <c r="A82" s="18" t="s">
        <v>43</v>
      </c>
      <c r="B82" s="17">
        <v>412</v>
      </c>
      <c r="C82" s="23"/>
      <c r="D82" s="16"/>
      <c r="E82" s="14"/>
      <c r="F82" s="16">
        <v>73463.44</v>
      </c>
      <c r="H82" s="2"/>
    </row>
    <row r="83" spans="1:8" ht="13.5" customHeight="1" x14ac:dyDescent="0.25">
      <c r="A83" s="18" t="s">
        <v>44</v>
      </c>
      <c r="B83" s="17">
        <v>413</v>
      </c>
      <c r="C83" s="23"/>
      <c r="D83" s="16"/>
      <c r="E83" s="14"/>
      <c r="F83" s="16">
        <v>381412.48</v>
      </c>
      <c r="H83" s="2"/>
    </row>
    <row r="84" spans="1:8" ht="13.5" customHeight="1" x14ac:dyDescent="0.25">
      <c r="A84" s="18" t="s">
        <v>45</v>
      </c>
      <c r="B84" s="17">
        <v>414</v>
      </c>
      <c r="C84" s="13"/>
      <c r="D84" s="16"/>
      <c r="E84" s="14"/>
      <c r="F84" s="16">
        <v>89033.8</v>
      </c>
      <c r="H84" s="2"/>
    </row>
    <row r="85" spans="1:8" ht="13.5" customHeight="1" x14ac:dyDescent="0.25">
      <c r="A85" s="18" t="s">
        <v>46</v>
      </c>
      <c r="B85" s="17">
        <v>415</v>
      </c>
      <c r="C85" s="13"/>
      <c r="D85" s="16"/>
      <c r="E85" s="14"/>
      <c r="F85" s="16">
        <v>33235.5</v>
      </c>
      <c r="H85" s="2"/>
    </row>
    <row r="86" spans="1:8" ht="13.5" customHeight="1" x14ac:dyDescent="0.25">
      <c r="A86" s="18" t="s">
        <v>66</v>
      </c>
      <c r="B86" s="17">
        <v>416</v>
      </c>
      <c r="C86" s="23"/>
      <c r="D86" s="16"/>
      <c r="E86" s="14"/>
      <c r="F86" s="16">
        <v>95721.64</v>
      </c>
      <c r="H86" s="2"/>
    </row>
    <row r="87" spans="1:8" ht="13.5" customHeight="1" x14ac:dyDescent="0.25">
      <c r="A87" s="18" t="s">
        <v>17</v>
      </c>
      <c r="B87" s="17">
        <v>418</v>
      </c>
      <c r="C87" s="13"/>
      <c r="D87" s="14"/>
      <c r="E87" s="15"/>
      <c r="F87" s="16">
        <v>577352.81999999995</v>
      </c>
      <c r="H87" s="2"/>
    </row>
    <row r="88" spans="1:8" ht="13.5" customHeight="1" x14ac:dyDescent="0.25">
      <c r="A88" s="18" t="s">
        <v>90</v>
      </c>
      <c r="B88" s="17">
        <v>422</v>
      </c>
      <c r="C88" s="13"/>
      <c r="D88" s="14"/>
      <c r="E88" s="15"/>
      <c r="F88" s="16">
        <v>1016723.63</v>
      </c>
      <c r="H88" s="2"/>
    </row>
    <row r="89" spans="1:8" ht="13.5" customHeight="1" x14ac:dyDescent="0.25">
      <c r="A89" s="11" t="s">
        <v>47</v>
      </c>
      <c r="B89" s="17">
        <v>424</v>
      </c>
      <c r="C89" s="13"/>
      <c r="D89" s="14"/>
      <c r="E89" s="15"/>
      <c r="F89" s="16">
        <v>446769.73</v>
      </c>
      <c r="H89" s="2"/>
    </row>
    <row r="90" spans="1:8" ht="13.5" customHeight="1" x14ac:dyDescent="0.25">
      <c r="A90" s="26" t="s">
        <v>18</v>
      </c>
      <c r="B90" s="17">
        <v>439</v>
      </c>
      <c r="C90" s="13"/>
      <c r="D90" s="27"/>
      <c r="E90" s="28"/>
      <c r="F90" s="29">
        <v>58257.48</v>
      </c>
      <c r="H90" s="2"/>
    </row>
    <row r="91" spans="1:8" ht="13.5" customHeight="1" x14ac:dyDescent="0.25">
      <c r="A91" s="11" t="s">
        <v>86</v>
      </c>
      <c r="B91" s="17">
        <v>451</v>
      </c>
      <c r="C91" s="13"/>
      <c r="D91" s="14"/>
      <c r="E91" s="15"/>
      <c r="F91" s="16">
        <v>799984.82</v>
      </c>
      <c r="H91" s="2"/>
    </row>
    <row r="92" spans="1:8" ht="13.5" customHeight="1" x14ac:dyDescent="0.25">
      <c r="A92" s="11" t="s">
        <v>19</v>
      </c>
      <c r="B92" s="17">
        <v>501</v>
      </c>
      <c r="C92" s="13"/>
      <c r="D92" s="14"/>
      <c r="E92" s="15"/>
      <c r="F92" s="16">
        <v>61236102.850000001</v>
      </c>
      <c r="H92" s="2"/>
    </row>
    <row r="93" spans="1:8" ht="13.5" customHeight="1" x14ac:dyDescent="0.25">
      <c r="A93" s="11" t="s">
        <v>48</v>
      </c>
      <c r="B93" s="17">
        <v>582</v>
      </c>
      <c r="C93" s="23"/>
      <c r="D93" s="14"/>
      <c r="E93" s="15"/>
      <c r="F93" s="16">
        <v>635277.75</v>
      </c>
      <c r="G93" s="6"/>
      <c r="H93" s="2"/>
    </row>
    <row r="94" spans="1:8" ht="13.5" customHeight="1" x14ac:dyDescent="0.25">
      <c r="A94" s="26" t="s">
        <v>25</v>
      </c>
      <c r="B94" s="23">
        <v>583</v>
      </c>
      <c r="C94" s="13"/>
      <c r="D94" s="30"/>
      <c r="E94" s="28"/>
      <c r="F94" s="31">
        <v>211567.02</v>
      </c>
      <c r="H94" s="2"/>
    </row>
    <row r="95" spans="1:8" ht="13.5" customHeight="1" x14ac:dyDescent="0.25">
      <c r="A95" s="11" t="s">
        <v>24</v>
      </c>
      <c r="B95" s="23">
        <v>588</v>
      </c>
      <c r="C95" s="13"/>
      <c r="D95" s="14"/>
      <c r="E95" s="28"/>
      <c r="F95" s="31">
        <v>404992.9</v>
      </c>
      <c r="H95" s="2"/>
    </row>
    <row r="96" spans="1:8" ht="13.5" customHeight="1" x14ac:dyDescent="0.25">
      <c r="A96" s="11" t="s">
        <v>178</v>
      </c>
      <c r="B96" s="23">
        <v>598</v>
      </c>
      <c r="C96" s="13"/>
      <c r="D96" s="14"/>
      <c r="E96" s="28"/>
      <c r="F96" s="31">
        <v>22775</v>
      </c>
      <c r="H96" s="2"/>
    </row>
    <row r="97" spans="1:8" ht="13.5" customHeight="1" x14ac:dyDescent="0.25">
      <c r="A97" s="11" t="s">
        <v>49</v>
      </c>
      <c r="B97" s="13">
        <v>599</v>
      </c>
      <c r="C97" s="13"/>
      <c r="D97" s="14"/>
      <c r="E97" s="15"/>
      <c r="F97" s="16">
        <v>22819.01</v>
      </c>
      <c r="H97" s="2"/>
    </row>
    <row r="98" spans="1:8" ht="13.5" customHeight="1" x14ac:dyDescent="0.25">
      <c r="A98" s="11" t="s">
        <v>69</v>
      </c>
      <c r="B98" s="13">
        <v>601</v>
      </c>
      <c r="C98" s="13"/>
      <c r="D98" s="14"/>
      <c r="E98" s="15"/>
      <c r="F98" s="16">
        <v>7097.3</v>
      </c>
      <c r="H98" s="2"/>
    </row>
    <row r="99" spans="1:8" ht="13.5" customHeight="1" x14ac:dyDescent="0.25">
      <c r="A99" s="11" t="s">
        <v>135</v>
      </c>
      <c r="B99" s="13">
        <v>605</v>
      </c>
      <c r="C99" s="13"/>
      <c r="D99" s="14"/>
      <c r="E99" s="15"/>
      <c r="F99" s="16">
        <v>87113</v>
      </c>
      <c r="H99" s="2"/>
    </row>
    <row r="100" spans="1:8" ht="13.5" customHeight="1" x14ac:dyDescent="0.25">
      <c r="A100" s="11" t="s">
        <v>31</v>
      </c>
      <c r="B100" s="17">
        <v>606</v>
      </c>
      <c r="C100" s="13"/>
      <c r="D100" s="14"/>
      <c r="E100" s="15"/>
      <c r="F100" s="16">
        <v>40800.01</v>
      </c>
      <c r="H100" s="2"/>
    </row>
    <row r="101" spans="1:8" ht="13.5" customHeight="1" x14ac:dyDescent="0.25">
      <c r="A101" s="26" t="s">
        <v>168</v>
      </c>
      <c r="B101" s="40">
        <v>608</v>
      </c>
      <c r="C101" s="13"/>
      <c r="D101" s="30"/>
      <c r="E101" s="28"/>
      <c r="F101" s="62">
        <v>26499.91</v>
      </c>
      <c r="H101" s="2"/>
    </row>
    <row r="102" spans="1:8" ht="13.5" customHeight="1" x14ac:dyDescent="0.25">
      <c r="A102" s="26" t="s">
        <v>67</v>
      </c>
      <c r="B102" s="23">
        <v>613</v>
      </c>
      <c r="C102" s="13"/>
      <c r="D102" s="30"/>
      <c r="E102" s="28"/>
      <c r="F102" s="62">
        <v>283298.8</v>
      </c>
      <c r="H102" s="2"/>
    </row>
    <row r="103" spans="1:8" ht="13.5" customHeight="1" x14ac:dyDescent="0.25">
      <c r="A103" s="11" t="s">
        <v>27</v>
      </c>
      <c r="B103" s="13">
        <v>616</v>
      </c>
      <c r="C103" s="13"/>
      <c r="D103" s="30"/>
      <c r="E103" s="28"/>
      <c r="F103" s="62">
        <v>33210</v>
      </c>
      <c r="H103" s="2"/>
    </row>
    <row r="104" spans="1:8" ht="13.5" customHeight="1" x14ac:dyDescent="0.25">
      <c r="A104" s="11" t="s">
        <v>26</v>
      </c>
      <c r="B104" s="13">
        <v>617</v>
      </c>
      <c r="C104" s="13"/>
      <c r="D104" s="30"/>
      <c r="E104" s="28"/>
      <c r="F104" s="62">
        <v>1380</v>
      </c>
      <c r="H104" s="2"/>
    </row>
    <row r="105" spans="1:8" ht="13.5" customHeight="1" x14ac:dyDescent="0.25">
      <c r="A105" s="11" t="s">
        <v>169</v>
      </c>
      <c r="B105" s="13">
        <v>628</v>
      </c>
      <c r="C105" s="13"/>
      <c r="D105" s="30"/>
      <c r="E105" s="28"/>
      <c r="F105" s="62">
        <v>1320</v>
      </c>
      <c r="H105" s="2"/>
    </row>
    <row r="106" spans="1:8" ht="13.5" customHeight="1" x14ac:dyDescent="0.25">
      <c r="A106" s="11" t="s">
        <v>112</v>
      </c>
      <c r="B106" s="13">
        <v>633</v>
      </c>
      <c r="C106" s="13"/>
      <c r="D106" s="30"/>
      <c r="E106" s="28"/>
      <c r="F106" s="62">
        <v>1000</v>
      </c>
      <c r="H106" s="2"/>
    </row>
    <row r="107" spans="1:8" ht="13.5" customHeight="1" x14ac:dyDescent="0.25">
      <c r="A107" s="11" t="s">
        <v>50</v>
      </c>
      <c r="B107" s="13">
        <v>636</v>
      </c>
      <c r="C107" s="13"/>
      <c r="D107" s="14"/>
      <c r="E107" s="15"/>
      <c r="F107" s="16">
        <v>384660</v>
      </c>
      <c r="H107" s="2"/>
    </row>
    <row r="108" spans="1:8" ht="13.5" customHeight="1" x14ac:dyDescent="0.25">
      <c r="A108" s="11" t="s">
        <v>51</v>
      </c>
      <c r="B108" s="13">
        <v>637</v>
      </c>
      <c r="C108" s="13"/>
      <c r="D108" s="14"/>
      <c r="E108" s="15"/>
      <c r="F108" s="16">
        <v>94934</v>
      </c>
      <c r="H108" s="2"/>
    </row>
    <row r="109" spans="1:8" ht="13.5" customHeight="1" x14ac:dyDescent="0.25">
      <c r="A109" s="11" t="s">
        <v>52</v>
      </c>
      <c r="B109" s="13">
        <v>639</v>
      </c>
      <c r="C109" s="13"/>
      <c r="D109" s="14"/>
      <c r="E109" s="15"/>
      <c r="F109" s="16">
        <v>2045680.94</v>
      </c>
      <c r="H109" s="2"/>
    </row>
    <row r="110" spans="1:8" ht="13.5" customHeight="1" x14ac:dyDescent="0.25">
      <c r="A110" s="11" t="s">
        <v>80</v>
      </c>
      <c r="B110" s="13">
        <v>640</v>
      </c>
      <c r="C110" s="13"/>
      <c r="D110" s="14"/>
      <c r="E110" s="15"/>
      <c r="F110" s="16">
        <v>115280</v>
      </c>
      <c r="H110" s="2"/>
    </row>
    <row r="111" spans="1:8" ht="13.5" customHeight="1" x14ac:dyDescent="0.3">
      <c r="A111" s="11" t="s">
        <v>53</v>
      </c>
      <c r="B111" s="17">
        <v>642</v>
      </c>
      <c r="C111" s="75"/>
      <c r="D111" s="14"/>
      <c r="E111" s="75"/>
      <c r="F111" s="16">
        <v>41990</v>
      </c>
      <c r="H111" s="2"/>
    </row>
    <row r="112" spans="1:8" ht="13.5" customHeight="1" x14ac:dyDescent="0.25">
      <c r="A112" s="11" t="s">
        <v>0</v>
      </c>
      <c r="B112" s="13">
        <v>664</v>
      </c>
      <c r="C112" s="13"/>
      <c r="D112" s="14"/>
      <c r="E112" s="15"/>
      <c r="F112" s="16">
        <v>126449.83</v>
      </c>
      <c r="H112" s="2"/>
    </row>
    <row r="113" spans="1:8" ht="13.5" customHeight="1" x14ac:dyDescent="0.25">
      <c r="A113" s="20" t="s">
        <v>82</v>
      </c>
      <c r="B113" s="35"/>
      <c r="C113" s="9"/>
      <c r="D113" s="21">
        <f>SUM(D67:D112)</f>
        <v>0</v>
      </c>
      <c r="E113" s="49"/>
      <c r="F113" s="21">
        <f>SUM(F67:F112)</f>
        <v>80296682.049999997</v>
      </c>
      <c r="H113" s="2"/>
    </row>
    <row r="114" spans="1:8" ht="13.5" customHeight="1" x14ac:dyDescent="0.25">
      <c r="A114" s="24"/>
      <c r="B114" s="23"/>
      <c r="C114" s="23"/>
      <c r="D114" s="14"/>
      <c r="E114" s="27"/>
      <c r="F114" s="65"/>
      <c r="H114" s="2"/>
    </row>
    <row r="115" spans="1:8" ht="13.5" customHeight="1" x14ac:dyDescent="0.25">
      <c r="A115" s="24"/>
      <c r="B115" s="23"/>
      <c r="C115" s="23"/>
      <c r="D115" s="14"/>
      <c r="E115" s="27"/>
      <c r="F115" s="65"/>
      <c r="H115" s="2"/>
    </row>
    <row r="116" spans="1:8" ht="13.5" customHeight="1" x14ac:dyDescent="0.25">
      <c r="A116" s="96" t="s">
        <v>2</v>
      </c>
      <c r="B116" s="96"/>
      <c r="C116" s="96"/>
      <c r="D116" s="96"/>
      <c r="E116" s="96"/>
      <c r="F116" s="96"/>
      <c r="H116" s="2"/>
    </row>
    <row r="117" spans="1:8" ht="13.5" customHeight="1" x14ac:dyDescent="0.2">
      <c r="A117" s="95" t="s">
        <v>3</v>
      </c>
      <c r="B117" s="95"/>
      <c r="C117" s="95"/>
      <c r="D117" s="95"/>
      <c r="E117" s="95"/>
      <c r="F117" s="95"/>
      <c r="H117" s="2"/>
    </row>
    <row r="118" spans="1:8" ht="13.5" customHeight="1" x14ac:dyDescent="0.2">
      <c r="A118" s="95" t="s">
        <v>23</v>
      </c>
      <c r="B118" s="95"/>
      <c r="C118" s="95"/>
      <c r="D118" s="95"/>
      <c r="E118" s="95"/>
      <c r="F118" s="95"/>
      <c r="H118" s="2"/>
    </row>
    <row r="119" spans="1:8" ht="13.5" customHeight="1" x14ac:dyDescent="0.2">
      <c r="A119" s="95" t="s">
        <v>179</v>
      </c>
      <c r="B119" s="95"/>
      <c r="C119" s="95"/>
      <c r="D119" s="95"/>
      <c r="E119" s="95"/>
      <c r="F119" s="95"/>
      <c r="H119" s="2"/>
    </row>
    <row r="120" spans="1:8" ht="13.5" customHeight="1" x14ac:dyDescent="0.2">
      <c r="A120" s="95" t="s">
        <v>165</v>
      </c>
      <c r="B120" s="95"/>
      <c r="C120" s="95"/>
      <c r="D120" s="95"/>
      <c r="E120" s="95"/>
      <c r="F120" s="95"/>
      <c r="H120" s="2"/>
    </row>
    <row r="121" spans="1:8" ht="13.5" customHeight="1" x14ac:dyDescent="0.25">
      <c r="A121" s="38"/>
      <c r="B121" s="38"/>
      <c r="C121" s="38"/>
      <c r="D121" s="38" t="s">
        <v>151</v>
      </c>
      <c r="E121" s="38"/>
      <c r="F121" s="37" t="s">
        <v>153</v>
      </c>
      <c r="H121" s="2"/>
    </row>
    <row r="122" spans="1:8" ht="13.5" customHeight="1" x14ac:dyDescent="0.25">
      <c r="A122" s="11"/>
      <c r="B122" s="40"/>
      <c r="C122" s="13"/>
      <c r="D122" s="58"/>
      <c r="E122" s="24"/>
      <c r="F122" s="59"/>
      <c r="H122" s="2"/>
    </row>
    <row r="123" spans="1:8" ht="13.5" customHeight="1" x14ac:dyDescent="0.25">
      <c r="A123" s="60" t="s">
        <v>4</v>
      </c>
      <c r="B123" s="39" t="s">
        <v>107</v>
      </c>
      <c r="C123" s="44"/>
      <c r="D123" s="61" t="s">
        <v>5</v>
      </c>
      <c r="E123" s="44"/>
      <c r="F123" s="61" t="s">
        <v>6</v>
      </c>
      <c r="H123" s="2"/>
    </row>
    <row r="124" spans="1:8" ht="13.5" customHeight="1" x14ac:dyDescent="0.3">
      <c r="A124" s="11" t="s">
        <v>54</v>
      </c>
      <c r="B124" s="13">
        <v>665</v>
      </c>
      <c r="C124" s="75" t="s">
        <v>176</v>
      </c>
      <c r="D124" s="14"/>
      <c r="E124" s="75" t="s">
        <v>176</v>
      </c>
      <c r="F124" s="32">
        <v>42157213.979999997</v>
      </c>
      <c r="H124" s="2"/>
    </row>
    <row r="125" spans="1:8" ht="13.5" customHeight="1" x14ac:dyDescent="0.25">
      <c r="A125" s="11" t="s">
        <v>180</v>
      </c>
      <c r="B125" s="13">
        <v>670</v>
      </c>
      <c r="C125" s="13"/>
      <c r="D125" s="14"/>
      <c r="E125" s="15"/>
      <c r="F125" s="32">
        <v>138085.93</v>
      </c>
      <c r="H125" s="2"/>
    </row>
    <row r="126" spans="1:8" ht="13.5" customHeight="1" x14ac:dyDescent="0.25">
      <c r="A126" s="11" t="s">
        <v>102</v>
      </c>
      <c r="B126" s="13">
        <v>678</v>
      </c>
      <c r="C126" s="13"/>
      <c r="D126" s="14"/>
      <c r="E126" s="15"/>
      <c r="F126" s="32">
        <v>87577.69</v>
      </c>
      <c r="H126" s="2"/>
    </row>
    <row r="127" spans="1:8" ht="13.5" customHeight="1" x14ac:dyDescent="0.25">
      <c r="A127" s="11" t="s">
        <v>68</v>
      </c>
      <c r="B127" s="13">
        <v>684</v>
      </c>
      <c r="C127" s="13"/>
      <c r="D127" s="14">
        <v>2960070.6</v>
      </c>
      <c r="E127" s="15"/>
      <c r="F127" s="16"/>
      <c r="H127" s="2"/>
    </row>
    <row r="128" spans="1:8" ht="13.5" customHeight="1" x14ac:dyDescent="0.25">
      <c r="A128" s="11" t="s">
        <v>55</v>
      </c>
      <c r="B128" s="17">
        <v>701</v>
      </c>
      <c r="C128" s="13"/>
      <c r="D128" s="14">
        <v>16674336.449999999</v>
      </c>
      <c r="E128" s="15"/>
      <c r="F128" s="16"/>
      <c r="G128" s="6"/>
      <c r="H128" s="2"/>
    </row>
    <row r="129" spans="1:8" ht="13.5" customHeight="1" x14ac:dyDescent="0.25">
      <c r="A129" s="18" t="s">
        <v>71</v>
      </c>
      <c r="B129" s="13">
        <v>711</v>
      </c>
      <c r="C129" s="13"/>
      <c r="D129" s="14">
        <v>1887866.66</v>
      </c>
      <c r="E129" s="15"/>
      <c r="F129" s="16"/>
      <c r="H129" s="2"/>
    </row>
    <row r="130" spans="1:8" ht="13.5" customHeight="1" x14ac:dyDescent="0.25">
      <c r="A130" s="11" t="s">
        <v>79</v>
      </c>
      <c r="B130" s="17">
        <v>715</v>
      </c>
      <c r="C130" s="13"/>
      <c r="D130" s="14">
        <v>239000</v>
      </c>
      <c r="E130" s="15"/>
      <c r="F130" s="16"/>
      <c r="H130" s="2"/>
    </row>
    <row r="131" spans="1:8" ht="13.5" customHeight="1" x14ac:dyDescent="0.25">
      <c r="A131" s="18" t="s">
        <v>56</v>
      </c>
      <c r="B131" s="17">
        <v>716</v>
      </c>
      <c r="C131" s="13"/>
      <c r="D131" s="14">
        <v>257000</v>
      </c>
      <c r="E131" s="15"/>
      <c r="F131" s="16"/>
      <c r="H131" s="2"/>
    </row>
    <row r="132" spans="1:8" ht="13.5" customHeight="1" x14ac:dyDescent="0.25">
      <c r="A132" s="18" t="s">
        <v>142</v>
      </c>
      <c r="B132" s="13">
        <v>717</v>
      </c>
      <c r="C132" s="13"/>
      <c r="D132" s="14">
        <v>127900</v>
      </c>
      <c r="E132" s="15"/>
      <c r="F132" s="16"/>
      <c r="H132" s="2"/>
    </row>
    <row r="133" spans="1:8" ht="13.5" customHeight="1" x14ac:dyDescent="0.25">
      <c r="A133" s="11" t="s">
        <v>113</v>
      </c>
      <c r="B133" s="13">
        <v>720</v>
      </c>
      <c r="C133" s="13"/>
      <c r="D133" s="14">
        <v>12000</v>
      </c>
      <c r="E133" s="15"/>
      <c r="F133" s="16"/>
      <c r="H133" s="2"/>
    </row>
    <row r="134" spans="1:8" ht="13.5" customHeight="1" x14ac:dyDescent="0.25">
      <c r="A134" s="11" t="s">
        <v>114</v>
      </c>
      <c r="B134" s="17">
        <v>721</v>
      </c>
      <c r="C134" s="13"/>
      <c r="D134" s="14">
        <v>194214.6</v>
      </c>
      <c r="E134" s="15"/>
      <c r="F134" s="16"/>
      <c r="H134" s="2"/>
    </row>
    <row r="135" spans="1:8" ht="13.5" customHeight="1" x14ac:dyDescent="0.25">
      <c r="A135" s="18" t="s">
        <v>115</v>
      </c>
      <c r="B135" s="13">
        <v>723</v>
      </c>
      <c r="C135" s="13"/>
      <c r="D135" s="14">
        <v>60628.41</v>
      </c>
      <c r="E135" s="15"/>
      <c r="F135" s="16"/>
      <c r="H135" s="2"/>
    </row>
    <row r="136" spans="1:8" ht="13.5" customHeight="1" x14ac:dyDescent="0.25">
      <c r="A136" s="11" t="s">
        <v>121</v>
      </c>
      <c r="B136" s="17">
        <v>724</v>
      </c>
      <c r="C136" s="13"/>
      <c r="D136" s="14">
        <v>393500</v>
      </c>
      <c r="E136" s="15"/>
      <c r="F136" s="16"/>
      <c r="H136" s="2"/>
    </row>
    <row r="137" spans="1:8" ht="13.5" customHeight="1" x14ac:dyDescent="0.25">
      <c r="A137" s="18" t="s">
        <v>122</v>
      </c>
      <c r="B137" s="17">
        <v>725</v>
      </c>
      <c r="C137" s="13"/>
      <c r="D137" s="14">
        <v>1440291</v>
      </c>
      <c r="E137" s="15"/>
      <c r="F137" s="16"/>
      <c r="H137" s="2"/>
    </row>
    <row r="138" spans="1:8" ht="14.25" customHeight="1" x14ac:dyDescent="0.25">
      <c r="A138" s="11" t="s">
        <v>28</v>
      </c>
      <c r="B138" s="13">
        <v>731</v>
      </c>
      <c r="C138" s="13"/>
      <c r="D138" s="14">
        <v>1956733.44</v>
      </c>
      <c r="E138" s="15"/>
      <c r="F138" s="16"/>
      <c r="H138" s="2"/>
    </row>
    <row r="139" spans="1:8" ht="14.25" customHeight="1" x14ac:dyDescent="0.25">
      <c r="A139" s="26" t="s">
        <v>29</v>
      </c>
      <c r="B139" s="40">
        <v>732</v>
      </c>
      <c r="C139" s="13"/>
      <c r="D139" s="30">
        <v>333465.96000000002</v>
      </c>
      <c r="E139" s="15"/>
      <c r="F139" s="16"/>
      <c r="H139" s="2"/>
    </row>
    <row r="140" spans="1:8" ht="14.25" customHeight="1" x14ac:dyDescent="0.25">
      <c r="A140" s="26" t="s">
        <v>131</v>
      </c>
      <c r="B140" s="40">
        <v>733</v>
      </c>
      <c r="C140" s="13"/>
      <c r="D140" s="30">
        <v>187725</v>
      </c>
      <c r="E140" s="15"/>
      <c r="F140" s="16"/>
      <c r="H140" s="2"/>
    </row>
    <row r="141" spans="1:8" ht="14.25" customHeight="1" x14ac:dyDescent="0.25">
      <c r="A141" s="26" t="s">
        <v>30</v>
      </c>
      <c r="B141" s="40">
        <v>734</v>
      </c>
      <c r="C141" s="13"/>
      <c r="D141" s="30">
        <v>88091.29</v>
      </c>
      <c r="E141" s="15"/>
      <c r="F141" s="16"/>
      <c r="H141" s="2"/>
    </row>
    <row r="142" spans="1:8" ht="14.25" customHeight="1" x14ac:dyDescent="0.25">
      <c r="A142" s="26" t="s">
        <v>36</v>
      </c>
      <c r="B142" s="40">
        <v>742</v>
      </c>
      <c r="C142" s="13"/>
      <c r="D142" s="30">
        <v>469998.54</v>
      </c>
      <c r="E142" s="15"/>
      <c r="F142" s="16"/>
      <c r="H142" s="2"/>
    </row>
    <row r="143" spans="1:8" ht="14.25" customHeight="1" x14ac:dyDescent="0.25">
      <c r="A143" s="26" t="s">
        <v>132</v>
      </c>
      <c r="B143" s="40">
        <v>749</v>
      </c>
      <c r="C143" s="13"/>
      <c r="D143" s="30">
        <v>646000</v>
      </c>
      <c r="E143" s="15"/>
      <c r="F143" s="16"/>
      <c r="H143" s="2"/>
    </row>
    <row r="144" spans="1:8" ht="14.25" customHeight="1" x14ac:dyDescent="0.25">
      <c r="A144" s="26" t="s">
        <v>91</v>
      </c>
      <c r="B144" s="40">
        <v>751</v>
      </c>
      <c r="C144" s="13"/>
      <c r="D144" s="30">
        <v>1498346.76</v>
      </c>
      <c r="E144" s="15"/>
      <c r="F144" s="16"/>
      <c r="H144" s="2"/>
    </row>
    <row r="145" spans="1:8" ht="14.25" customHeight="1" x14ac:dyDescent="0.25">
      <c r="A145" s="26" t="s">
        <v>116</v>
      </c>
      <c r="B145" s="40">
        <v>753</v>
      </c>
      <c r="C145" s="13"/>
      <c r="D145" s="30">
        <v>597407.64</v>
      </c>
      <c r="E145" s="28"/>
      <c r="F145" s="62"/>
      <c r="H145" s="2"/>
    </row>
    <row r="146" spans="1:8" ht="14.25" customHeight="1" x14ac:dyDescent="0.25">
      <c r="A146" s="26" t="s">
        <v>70</v>
      </c>
      <c r="B146" s="40">
        <v>755</v>
      </c>
      <c r="C146" s="13"/>
      <c r="D146" s="30">
        <v>663063.15</v>
      </c>
      <c r="E146" s="28"/>
      <c r="F146" s="62"/>
      <c r="H146" s="2"/>
    </row>
    <row r="147" spans="1:8" ht="14.25" customHeight="1" x14ac:dyDescent="0.25">
      <c r="A147" s="11" t="s">
        <v>117</v>
      </c>
      <c r="B147" s="17">
        <v>761</v>
      </c>
      <c r="C147" s="23"/>
      <c r="D147" s="16">
        <v>304040.76</v>
      </c>
      <c r="E147" s="27"/>
      <c r="F147" s="62"/>
      <c r="H147" s="2"/>
    </row>
    <row r="148" spans="1:8" ht="14.25" customHeight="1" x14ac:dyDescent="0.25">
      <c r="A148" s="11" t="s">
        <v>95</v>
      </c>
      <c r="B148" s="13">
        <v>767</v>
      </c>
      <c r="C148" s="41"/>
      <c r="D148" s="14">
        <v>1646952.32</v>
      </c>
      <c r="E148" s="28"/>
      <c r="F148" s="62"/>
      <c r="H148" s="2"/>
    </row>
    <row r="149" spans="1:8" ht="14.25" customHeight="1" x14ac:dyDescent="0.25">
      <c r="A149" s="11" t="s">
        <v>118</v>
      </c>
      <c r="B149" s="17">
        <v>771</v>
      </c>
      <c r="C149" s="13"/>
      <c r="D149" s="14">
        <v>1500</v>
      </c>
      <c r="E149" s="28"/>
      <c r="F149" s="62"/>
      <c r="H149" s="2"/>
    </row>
    <row r="150" spans="1:8" ht="14.25" customHeight="1" x14ac:dyDescent="0.25">
      <c r="A150" s="26" t="s">
        <v>136</v>
      </c>
      <c r="B150" s="17">
        <v>773</v>
      </c>
      <c r="C150" s="23"/>
      <c r="D150" s="30">
        <v>204723.38</v>
      </c>
      <c r="E150" s="28"/>
      <c r="F150" s="62"/>
      <c r="H150" s="2"/>
    </row>
    <row r="151" spans="1:8" ht="14.25" customHeight="1" x14ac:dyDescent="0.25">
      <c r="A151" s="11" t="s">
        <v>119</v>
      </c>
      <c r="B151" s="17">
        <v>774</v>
      </c>
      <c r="C151" s="23"/>
      <c r="D151" s="14">
        <v>48563.88</v>
      </c>
      <c r="E151" s="28"/>
      <c r="F151" s="62"/>
      <c r="H151" s="2"/>
    </row>
    <row r="152" spans="1:8" ht="14.25" customHeight="1" x14ac:dyDescent="0.25">
      <c r="A152" s="11" t="s">
        <v>170</v>
      </c>
      <c r="B152" s="17">
        <v>775</v>
      </c>
      <c r="C152" s="23"/>
      <c r="D152" s="14">
        <v>2104</v>
      </c>
      <c r="E152" s="28"/>
      <c r="F152" s="62"/>
      <c r="H152" s="2"/>
    </row>
    <row r="153" spans="1:8" ht="14.25" customHeight="1" x14ac:dyDescent="0.25">
      <c r="A153" s="11" t="s">
        <v>143</v>
      </c>
      <c r="B153" s="23">
        <v>779</v>
      </c>
      <c r="C153" s="13"/>
      <c r="D153" s="14">
        <v>6600</v>
      </c>
      <c r="E153" s="28"/>
      <c r="F153" s="62"/>
      <c r="H153" s="2"/>
    </row>
    <row r="154" spans="1:8" ht="14.25" customHeight="1" x14ac:dyDescent="0.3">
      <c r="A154" s="11" t="s">
        <v>181</v>
      </c>
      <c r="B154" s="17">
        <v>791</v>
      </c>
      <c r="C154" s="77"/>
      <c r="D154" s="16">
        <v>89000</v>
      </c>
      <c r="E154" s="27"/>
      <c r="F154" s="62"/>
      <c r="H154" s="2"/>
    </row>
    <row r="155" spans="1:8" ht="14.25" customHeight="1" x14ac:dyDescent="0.25">
      <c r="A155" s="11" t="s">
        <v>103</v>
      </c>
      <c r="B155" s="17">
        <v>792</v>
      </c>
      <c r="C155" s="23"/>
      <c r="D155" s="16">
        <v>4730.8</v>
      </c>
      <c r="E155" s="27"/>
      <c r="F155" s="62"/>
      <c r="H155" s="2"/>
    </row>
    <row r="156" spans="1:8" ht="14.25" customHeight="1" x14ac:dyDescent="0.25">
      <c r="A156" s="11" t="s">
        <v>159</v>
      </c>
      <c r="B156" s="17">
        <v>797</v>
      </c>
      <c r="C156" s="23"/>
      <c r="D156" s="16">
        <v>102375</v>
      </c>
      <c r="E156" s="27"/>
      <c r="F156" s="62"/>
      <c r="H156" s="2"/>
    </row>
    <row r="157" spans="1:8" ht="14.25" customHeight="1" x14ac:dyDescent="0.25">
      <c r="A157" s="18" t="s">
        <v>137</v>
      </c>
      <c r="B157" s="17">
        <v>805</v>
      </c>
      <c r="C157" s="23"/>
      <c r="D157" s="16">
        <v>162135</v>
      </c>
      <c r="E157" s="27"/>
      <c r="F157" s="62"/>
      <c r="H157" s="2"/>
    </row>
    <row r="158" spans="1:8" ht="14.25" customHeight="1" x14ac:dyDescent="0.25">
      <c r="A158" s="18" t="s">
        <v>171</v>
      </c>
      <c r="B158" s="17">
        <v>811</v>
      </c>
      <c r="C158" s="23"/>
      <c r="D158" s="16">
        <v>2480</v>
      </c>
      <c r="E158" s="27"/>
      <c r="F158" s="62"/>
      <c r="H158" s="2"/>
    </row>
    <row r="159" spans="1:8" ht="14.25" customHeight="1" x14ac:dyDescent="0.25">
      <c r="A159" s="18" t="s">
        <v>182</v>
      </c>
      <c r="B159" s="17">
        <v>814</v>
      </c>
      <c r="C159" s="23"/>
      <c r="D159" s="16">
        <v>41470</v>
      </c>
      <c r="E159" s="27"/>
      <c r="F159" s="62"/>
      <c r="H159" s="2"/>
    </row>
    <row r="160" spans="1:8" ht="14.25" customHeight="1" x14ac:dyDescent="0.25">
      <c r="A160" s="18" t="s">
        <v>183</v>
      </c>
      <c r="B160" s="17">
        <v>815</v>
      </c>
      <c r="C160" s="23"/>
      <c r="D160" s="16">
        <v>57222.58</v>
      </c>
      <c r="E160" s="27"/>
      <c r="F160" s="62"/>
      <c r="H160" s="2"/>
    </row>
    <row r="161" spans="1:8" ht="14.25" customHeight="1" x14ac:dyDescent="0.25">
      <c r="A161" s="18" t="s">
        <v>184</v>
      </c>
      <c r="B161" s="17">
        <v>821</v>
      </c>
      <c r="C161" s="23"/>
      <c r="D161" s="16">
        <v>500</v>
      </c>
      <c r="E161" s="27"/>
      <c r="F161" s="62"/>
      <c r="H161" s="2"/>
    </row>
    <row r="162" spans="1:8" ht="14.25" customHeight="1" x14ac:dyDescent="0.25">
      <c r="A162" s="18" t="s">
        <v>172</v>
      </c>
      <c r="B162" s="17">
        <v>823</v>
      </c>
      <c r="C162" s="23"/>
      <c r="D162" s="16">
        <v>1200</v>
      </c>
      <c r="E162" s="27"/>
      <c r="F162" s="62"/>
      <c r="H162" s="2"/>
    </row>
    <row r="163" spans="1:8" ht="14.25" customHeight="1" x14ac:dyDescent="0.25">
      <c r="A163" s="18" t="s">
        <v>120</v>
      </c>
      <c r="B163" s="17">
        <v>830</v>
      </c>
      <c r="C163" s="23"/>
      <c r="D163" s="16">
        <v>226788</v>
      </c>
      <c r="E163" s="27"/>
      <c r="F163" s="62"/>
      <c r="H163" s="2"/>
    </row>
    <row r="164" spans="1:8" ht="14.25" customHeight="1" x14ac:dyDescent="0.25">
      <c r="A164" s="18" t="s">
        <v>138</v>
      </c>
      <c r="B164" s="17">
        <v>841</v>
      </c>
      <c r="C164" s="23"/>
      <c r="D164" s="64">
        <v>273328.03999999998</v>
      </c>
      <c r="E164" s="27"/>
      <c r="F164" s="76"/>
      <c r="H164" s="2"/>
    </row>
    <row r="165" spans="1:8" ht="14.25" customHeight="1" x14ac:dyDescent="0.25">
      <c r="A165" s="33" t="s">
        <v>157</v>
      </c>
      <c r="B165" s="34"/>
      <c r="C165" s="35"/>
      <c r="D165" s="36">
        <f>SUM(D124:D164)</f>
        <v>33863353.259999998</v>
      </c>
      <c r="E165" s="36">
        <f>SUM(E79:E138)</f>
        <v>0</v>
      </c>
      <c r="F165" s="36">
        <f>SUM(F124:F164)</f>
        <v>42382877.599999994</v>
      </c>
      <c r="H165" s="2"/>
    </row>
    <row r="166" spans="1:8" ht="13.5" customHeight="1" x14ac:dyDescent="0.25">
      <c r="A166" s="24"/>
      <c r="B166" s="23"/>
      <c r="C166" s="24"/>
      <c r="D166" s="14"/>
      <c r="E166" s="14"/>
      <c r="F166" s="14"/>
      <c r="H166" s="2"/>
    </row>
    <row r="167" spans="1:8" ht="13.5" customHeight="1" x14ac:dyDescent="0.25">
      <c r="A167" s="24"/>
      <c r="B167" s="23"/>
      <c r="C167" s="24"/>
      <c r="D167" s="14"/>
      <c r="E167" s="14"/>
      <c r="F167" s="14"/>
      <c r="H167" s="2"/>
    </row>
    <row r="168" spans="1:8" ht="13.5" customHeight="1" x14ac:dyDescent="0.25">
      <c r="A168" s="24"/>
      <c r="B168" s="23"/>
      <c r="C168" s="24"/>
      <c r="D168" s="14"/>
      <c r="E168" s="14"/>
      <c r="F168" s="14"/>
      <c r="H168" s="2"/>
    </row>
    <row r="169" spans="1:8" ht="18.75" customHeight="1" x14ac:dyDescent="0.25">
      <c r="A169" s="96" t="s">
        <v>2</v>
      </c>
      <c r="B169" s="96"/>
      <c r="C169" s="96"/>
      <c r="D169" s="96"/>
      <c r="E169" s="96"/>
      <c r="F169" s="96"/>
      <c r="H169" s="2">
        <v>3</v>
      </c>
    </row>
    <row r="170" spans="1:8" ht="14.25" customHeight="1" x14ac:dyDescent="0.2">
      <c r="A170" s="95" t="s">
        <v>3</v>
      </c>
      <c r="B170" s="95"/>
      <c r="C170" s="95"/>
      <c r="D170" s="95"/>
      <c r="E170" s="95"/>
      <c r="F170" s="95"/>
      <c r="H170" s="2"/>
    </row>
    <row r="171" spans="1:8" ht="15.75" customHeight="1" x14ac:dyDescent="0.2">
      <c r="A171" s="95" t="s">
        <v>23</v>
      </c>
      <c r="B171" s="95"/>
      <c r="C171" s="95"/>
      <c r="D171" s="95"/>
      <c r="E171" s="95"/>
      <c r="F171" s="95"/>
      <c r="H171" s="2"/>
    </row>
    <row r="172" spans="1:8" ht="16.5" customHeight="1" x14ac:dyDescent="0.2">
      <c r="A172" s="95" t="s">
        <v>179</v>
      </c>
      <c r="B172" s="95"/>
      <c r="C172" s="95"/>
      <c r="D172" s="95"/>
      <c r="E172" s="95"/>
      <c r="F172" s="95"/>
      <c r="H172" s="2"/>
    </row>
    <row r="173" spans="1:8" ht="16.5" customHeight="1" x14ac:dyDescent="0.2">
      <c r="A173" s="95" t="s">
        <v>165</v>
      </c>
      <c r="B173" s="95"/>
      <c r="C173" s="95"/>
      <c r="D173" s="95"/>
      <c r="E173" s="95"/>
      <c r="F173" s="95"/>
      <c r="H173" s="2"/>
    </row>
    <row r="174" spans="1:8" ht="18.75" customHeight="1" x14ac:dyDescent="0.25">
      <c r="A174" s="38"/>
      <c r="B174" s="38"/>
      <c r="C174" s="38"/>
      <c r="D174" s="38" t="s">
        <v>151</v>
      </c>
      <c r="E174" s="38"/>
      <c r="F174" s="37" t="s">
        <v>34</v>
      </c>
      <c r="H174" s="2"/>
    </row>
    <row r="175" spans="1:8" ht="15" customHeight="1" x14ac:dyDescent="0.25">
      <c r="A175" s="11"/>
      <c r="B175" s="40"/>
      <c r="C175" s="13"/>
      <c r="D175" s="58"/>
      <c r="E175" s="24"/>
      <c r="F175" s="59"/>
      <c r="H175" s="2"/>
    </row>
    <row r="176" spans="1:8" ht="12.75" customHeight="1" x14ac:dyDescent="0.25">
      <c r="A176" s="60" t="s">
        <v>4</v>
      </c>
      <c r="B176" s="39" t="s">
        <v>107</v>
      </c>
      <c r="C176" s="44"/>
      <c r="D176" s="61" t="s">
        <v>5</v>
      </c>
      <c r="E176" s="44"/>
      <c r="F176" s="61" t="s">
        <v>6</v>
      </c>
      <c r="H176" s="2"/>
    </row>
    <row r="177" spans="1:8" ht="12.75" customHeight="1" x14ac:dyDescent="0.25">
      <c r="A177" s="18" t="s">
        <v>173</v>
      </c>
      <c r="B177" s="17">
        <v>850</v>
      </c>
      <c r="C177" s="23"/>
      <c r="D177" s="14">
        <v>24510</v>
      </c>
      <c r="E177" s="28"/>
      <c r="F177" s="62"/>
      <c r="H177" s="2"/>
    </row>
    <row r="178" spans="1:8" ht="12.75" customHeight="1" x14ac:dyDescent="0.25">
      <c r="A178" s="18" t="s">
        <v>139</v>
      </c>
      <c r="B178" s="17">
        <v>851</v>
      </c>
      <c r="C178" s="23"/>
      <c r="D178" s="14">
        <v>34990.199999999997</v>
      </c>
      <c r="E178" s="28"/>
      <c r="F178" s="62"/>
      <c r="H178" s="2"/>
    </row>
    <row r="179" spans="1:8" ht="12.75" customHeight="1" x14ac:dyDescent="0.25">
      <c r="A179" s="18" t="s">
        <v>140</v>
      </c>
      <c r="B179" s="17">
        <v>852</v>
      </c>
      <c r="C179" s="23"/>
      <c r="D179" s="14">
        <v>36193.83</v>
      </c>
      <c r="E179" s="28"/>
      <c r="F179" s="62"/>
      <c r="H179" s="2"/>
    </row>
    <row r="180" spans="1:8" ht="12.75" customHeight="1" x14ac:dyDescent="0.25">
      <c r="A180" s="18" t="s">
        <v>141</v>
      </c>
      <c r="B180" s="13">
        <v>854</v>
      </c>
      <c r="C180" s="42"/>
      <c r="D180" s="14">
        <v>25623</v>
      </c>
      <c r="E180" s="15"/>
      <c r="F180" s="16"/>
      <c r="H180" s="2"/>
    </row>
    <row r="181" spans="1:8" ht="12.75" customHeight="1" x14ac:dyDescent="0.25">
      <c r="A181" s="18" t="s">
        <v>152</v>
      </c>
      <c r="B181" s="13">
        <v>874</v>
      </c>
      <c r="C181" s="42"/>
      <c r="D181" s="14">
        <v>319000</v>
      </c>
      <c r="E181" s="15"/>
      <c r="F181" s="16"/>
      <c r="H181" s="2"/>
    </row>
    <row r="182" spans="1:8" ht="12.75" customHeight="1" x14ac:dyDescent="0.25">
      <c r="A182" s="18" t="s">
        <v>185</v>
      </c>
      <c r="B182" s="17">
        <v>877</v>
      </c>
      <c r="C182" s="40"/>
      <c r="D182" s="14">
        <v>1495480.5</v>
      </c>
      <c r="E182" s="15"/>
      <c r="F182" s="16"/>
      <c r="H182" s="2"/>
    </row>
    <row r="183" spans="1:8" ht="12.75" customHeight="1" x14ac:dyDescent="0.25">
      <c r="A183" s="11" t="s">
        <v>99</v>
      </c>
      <c r="B183" s="17">
        <v>878</v>
      </c>
      <c r="C183" s="23"/>
      <c r="D183" s="14">
        <v>65600</v>
      </c>
      <c r="E183" s="15"/>
      <c r="F183" s="16"/>
      <c r="H183" s="2"/>
    </row>
    <row r="184" spans="1:8" ht="12.75" customHeight="1" x14ac:dyDescent="0.25">
      <c r="A184" s="11" t="s">
        <v>96</v>
      </c>
      <c r="B184" s="13">
        <v>884</v>
      </c>
      <c r="C184" s="13"/>
      <c r="D184" s="14">
        <v>31021.75</v>
      </c>
      <c r="E184" s="15"/>
      <c r="F184" s="16"/>
      <c r="H184" s="2"/>
    </row>
    <row r="185" spans="1:8" ht="12.75" customHeight="1" x14ac:dyDescent="0.25">
      <c r="A185" s="26" t="s">
        <v>98</v>
      </c>
      <c r="B185" s="17">
        <v>892</v>
      </c>
      <c r="C185" s="24"/>
      <c r="D185" s="14">
        <v>13851.75</v>
      </c>
      <c r="E185" s="15"/>
      <c r="F185" s="16"/>
      <c r="H185" s="2"/>
    </row>
    <row r="186" spans="1:8" ht="12.75" customHeight="1" x14ac:dyDescent="0.25">
      <c r="A186" s="11" t="s">
        <v>81</v>
      </c>
      <c r="B186" s="17">
        <v>954</v>
      </c>
      <c r="C186" s="23"/>
      <c r="D186" s="14">
        <v>34472.44</v>
      </c>
      <c r="E186" s="15"/>
      <c r="F186" s="16"/>
      <c r="H186" s="2"/>
    </row>
    <row r="187" spans="1:8" ht="12.75" customHeight="1" x14ac:dyDescent="0.25">
      <c r="A187" s="18" t="s">
        <v>87</v>
      </c>
      <c r="B187" s="13">
        <v>969</v>
      </c>
      <c r="C187" s="13"/>
      <c r="D187" s="14">
        <v>4632227.05</v>
      </c>
      <c r="E187" s="15"/>
      <c r="F187" s="16"/>
      <c r="H187" s="2"/>
    </row>
    <row r="188" spans="1:8" ht="12.75" customHeight="1" x14ac:dyDescent="0.25">
      <c r="A188" s="43" t="s">
        <v>154</v>
      </c>
      <c r="B188" s="44">
        <v>975</v>
      </c>
      <c r="C188" s="44"/>
      <c r="D188" s="45">
        <v>70834.509999999995</v>
      </c>
      <c r="E188" s="63"/>
      <c r="F188" s="64"/>
      <c r="H188" s="2"/>
    </row>
    <row r="189" spans="1:8" ht="15" customHeight="1" x14ac:dyDescent="0.3">
      <c r="A189" s="46" t="s">
        <v>157</v>
      </c>
      <c r="B189" s="47"/>
      <c r="C189" s="79" t="s">
        <v>176</v>
      </c>
      <c r="D189" s="48">
        <f>SUM(D177:D188)</f>
        <v>6783805.0299999993</v>
      </c>
      <c r="E189" s="79" t="s">
        <v>176</v>
      </c>
      <c r="F189" s="48">
        <f>SUM(F177:F188)</f>
        <v>0</v>
      </c>
      <c r="H189" s="2"/>
    </row>
    <row r="190" spans="1:8" ht="17.25" customHeight="1" thickBot="1" x14ac:dyDescent="0.35">
      <c r="A190" s="46" t="s">
        <v>83</v>
      </c>
      <c r="B190" s="50"/>
      <c r="C190" s="80" t="s">
        <v>176</v>
      </c>
      <c r="D190" s="51">
        <f>D56+D113+D165+D189</f>
        <v>126826154.14999998</v>
      </c>
      <c r="E190" s="80" t="s">
        <v>176</v>
      </c>
      <c r="F190" s="51">
        <f>F56+F113+F165+F189</f>
        <v>128010001.97999999</v>
      </c>
      <c r="H190" s="2"/>
    </row>
    <row r="191" spans="1:8" ht="17.25" customHeight="1" thickTop="1" x14ac:dyDescent="0.25">
      <c r="A191" s="66"/>
      <c r="B191" s="24"/>
      <c r="C191" s="23"/>
      <c r="D191" s="67"/>
      <c r="E191" s="53"/>
      <c r="F191" s="67">
        <f>D190-F190</f>
        <v>-1183847.8300000131</v>
      </c>
      <c r="H191" s="2"/>
    </row>
    <row r="192" spans="1:8" ht="17.25" customHeight="1" x14ac:dyDescent="0.25">
      <c r="A192" s="66"/>
      <c r="B192" s="24"/>
      <c r="C192" s="23"/>
      <c r="D192" s="67"/>
      <c r="E192" s="53"/>
      <c r="F192" s="67"/>
      <c r="H192" s="2"/>
    </row>
    <row r="193" spans="1:8" ht="17.25" customHeight="1" x14ac:dyDescent="0.25">
      <c r="A193" s="66"/>
      <c r="B193" s="24"/>
      <c r="C193" s="23"/>
      <c r="D193" s="67"/>
      <c r="E193" s="53"/>
      <c r="F193" s="67"/>
      <c r="H193" s="2"/>
    </row>
    <row r="194" spans="1:8" ht="15" customHeight="1" x14ac:dyDescent="0.25">
      <c r="A194" s="24" t="s">
        <v>92</v>
      </c>
      <c r="B194" s="24"/>
      <c r="C194" s="24"/>
      <c r="D194" s="24" t="s">
        <v>20</v>
      </c>
      <c r="E194" s="14"/>
      <c r="F194" s="14"/>
      <c r="H194" s="2"/>
    </row>
    <row r="195" spans="1:8" ht="13.5" customHeight="1" x14ac:dyDescent="0.25">
      <c r="A195" s="24"/>
      <c r="B195" s="23"/>
      <c r="C195" s="23"/>
      <c r="D195" s="14"/>
      <c r="E195" s="14"/>
      <c r="F195" s="14"/>
      <c r="H195" s="2"/>
    </row>
    <row r="196" spans="1:8" ht="12.75" customHeight="1" x14ac:dyDescent="0.25">
      <c r="A196" s="24"/>
      <c r="B196" s="23"/>
      <c r="C196" s="23"/>
      <c r="D196" s="14"/>
      <c r="E196" s="14"/>
      <c r="F196" s="14"/>
      <c r="H196" s="2"/>
    </row>
    <row r="197" spans="1:8" ht="17.25" customHeight="1" x14ac:dyDescent="0.25">
      <c r="A197" s="52" t="s">
        <v>21</v>
      </c>
      <c r="B197" s="23"/>
      <c r="C197" s="23"/>
      <c r="D197" s="97" t="s">
        <v>186</v>
      </c>
      <c r="E197" s="97"/>
      <c r="F197" s="97"/>
      <c r="H197" s="2"/>
    </row>
    <row r="198" spans="1:8" ht="13.5" customHeight="1" x14ac:dyDescent="0.25">
      <c r="A198" s="23" t="s">
        <v>1</v>
      </c>
      <c r="B198" s="23"/>
      <c r="C198" s="23"/>
      <c r="D198" s="94" t="s">
        <v>22</v>
      </c>
      <c r="E198" s="94"/>
      <c r="F198" s="94"/>
      <c r="H198" s="2"/>
    </row>
    <row r="199" spans="1:8" ht="12.75" customHeight="1" x14ac:dyDescent="0.25">
      <c r="A199" s="24"/>
      <c r="B199" s="23"/>
      <c r="C199" s="23"/>
      <c r="D199" s="14"/>
      <c r="E199" s="14"/>
      <c r="F199" s="14"/>
      <c r="H199" s="2"/>
    </row>
    <row r="200" spans="1:8" ht="16.5" customHeight="1" x14ac:dyDescent="0.25">
      <c r="A200" s="24"/>
      <c r="B200" s="23"/>
      <c r="C200" s="23"/>
      <c r="D200" s="14"/>
      <c r="E200" s="14"/>
      <c r="F200" s="14"/>
      <c r="H200" s="2"/>
    </row>
    <row r="201" spans="1:8" ht="16.5" customHeight="1" x14ac:dyDescent="0.25">
      <c r="A201" s="24"/>
      <c r="B201" s="23"/>
      <c r="C201" s="23"/>
      <c r="D201" s="54"/>
      <c r="E201" s="54"/>
      <c r="F201" s="54"/>
      <c r="H201" s="2"/>
    </row>
    <row r="202" spans="1:8" ht="16.5" customHeight="1" x14ac:dyDescent="0.25">
      <c r="A202" s="24"/>
      <c r="B202" s="23"/>
      <c r="C202" s="23"/>
      <c r="D202" s="54"/>
      <c r="E202" s="54"/>
      <c r="F202" s="54"/>
      <c r="H202" s="2"/>
    </row>
    <row r="203" spans="1:8" ht="16.5" customHeight="1" x14ac:dyDescent="0.25">
      <c r="A203" s="24"/>
      <c r="B203" s="23"/>
      <c r="C203" s="23"/>
      <c r="D203" s="54"/>
      <c r="E203" s="54"/>
      <c r="F203" s="54"/>
      <c r="H203" s="2"/>
    </row>
    <row r="204" spans="1:8" ht="16.5" customHeight="1" x14ac:dyDescent="0.25">
      <c r="A204" s="24"/>
      <c r="B204" s="23"/>
      <c r="C204" s="23"/>
      <c r="D204" s="54"/>
      <c r="E204" s="54"/>
      <c r="F204" s="54"/>
      <c r="H204" s="2"/>
    </row>
    <row r="205" spans="1:8" ht="16.5" customHeight="1" x14ac:dyDescent="0.25">
      <c r="A205" s="24"/>
      <c r="B205" s="23"/>
      <c r="C205" s="23"/>
      <c r="D205" s="54"/>
      <c r="E205" s="54"/>
      <c r="F205" s="54"/>
      <c r="H205" s="2"/>
    </row>
    <row r="206" spans="1:8" ht="16.5" customHeight="1" x14ac:dyDescent="0.25">
      <c r="A206" s="24"/>
      <c r="B206" s="23"/>
      <c r="C206" s="23"/>
      <c r="D206" s="54"/>
      <c r="E206" s="54"/>
      <c r="F206" s="54"/>
      <c r="H206" s="2"/>
    </row>
    <row r="207" spans="1:8" ht="16.5" customHeight="1" x14ac:dyDescent="0.25">
      <c r="A207" s="24"/>
      <c r="B207" s="23"/>
      <c r="C207" s="23"/>
      <c r="D207" s="54"/>
      <c r="E207" s="54"/>
      <c r="F207" s="54"/>
      <c r="H207" s="2"/>
    </row>
    <row r="208" spans="1:8" ht="16.5" customHeight="1" x14ac:dyDescent="0.25">
      <c r="A208" s="24"/>
      <c r="B208" s="23"/>
      <c r="C208" s="23"/>
      <c r="D208" s="54"/>
      <c r="E208" s="54"/>
      <c r="F208" s="54"/>
      <c r="H208" s="2"/>
    </row>
    <row r="209" spans="1:8" ht="16.5" customHeight="1" x14ac:dyDescent="0.25">
      <c r="A209" s="24"/>
      <c r="B209" s="23"/>
      <c r="C209" s="23"/>
      <c r="D209" s="54"/>
      <c r="E209" s="54"/>
      <c r="F209" s="54"/>
      <c r="H209" s="2"/>
    </row>
    <row r="210" spans="1:8" ht="16.5" customHeight="1" x14ac:dyDescent="0.25">
      <c r="A210" s="24"/>
      <c r="B210" s="23"/>
      <c r="C210" s="23"/>
      <c r="D210" s="54"/>
      <c r="E210" s="54"/>
      <c r="F210" s="54"/>
      <c r="H210" s="2"/>
    </row>
    <row r="211" spans="1:8" ht="16.5" customHeight="1" x14ac:dyDescent="0.25">
      <c r="A211" s="24"/>
      <c r="B211" s="23"/>
      <c r="C211" s="23"/>
      <c r="D211" s="54"/>
      <c r="E211" s="54"/>
      <c r="F211" s="54"/>
      <c r="H211" s="2"/>
    </row>
    <row r="212" spans="1:8" ht="16.5" customHeight="1" x14ac:dyDescent="0.25">
      <c r="A212" s="24"/>
      <c r="B212" s="23"/>
      <c r="C212" s="23"/>
      <c r="D212" s="54"/>
      <c r="E212" s="54"/>
      <c r="F212" s="54"/>
      <c r="H212" s="2"/>
    </row>
    <row r="213" spans="1:8" ht="16.5" customHeight="1" x14ac:dyDescent="0.25">
      <c r="A213" s="24"/>
      <c r="B213" s="23"/>
      <c r="C213" s="23"/>
      <c r="D213" s="54"/>
      <c r="E213" s="54"/>
      <c r="F213" s="54"/>
      <c r="H213" s="2"/>
    </row>
    <row r="214" spans="1:8" ht="16.5" customHeight="1" x14ac:dyDescent="0.25">
      <c r="A214" s="24"/>
      <c r="B214" s="23"/>
      <c r="C214" s="23"/>
      <c r="D214" s="54"/>
      <c r="E214" s="54"/>
      <c r="F214" s="54"/>
      <c r="H214" s="2"/>
    </row>
    <row r="215" spans="1:8" ht="16.5" customHeight="1" x14ac:dyDescent="0.25">
      <c r="A215" s="24"/>
      <c r="B215" s="23"/>
      <c r="C215" s="23"/>
      <c r="D215" s="54"/>
      <c r="E215" s="54"/>
      <c r="F215" s="54"/>
      <c r="H215" s="2"/>
    </row>
    <row r="216" spans="1:8" ht="16.5" customHeight="1" x14ac:dyDescent="0.25">
      <c r="A216" s="24"/>
      <c r="B216" s="23"/>
      <c r="C216" s="23"/>
      <c r="D216" s="54"/>
      <c r="E216" s="54"/>
      <c r="F216" s="54"/>
      <c r="H216" s="2"/>
    </row>
    <row r="217" spans="1:8" ht="16.5" customHeight="1" x14ac:dyDescent="0.25">
      <c r="A217" s="24"/>
      <c r="B217" s="23"/>
      <c r="C217" s="23"/>
      <c r="D217" s="54"/>
      <c r="E217" s="54"/>
      <c r="F217" s="54"/>
      <c r="H217" s="2"/>
    </row>
    <row r="218" spans="1:8" ht="15" x14ac:dyDescent="0.25">
      <c r="A218" s="99" t="s">
        <v>106</v>
      </c>
      <c r="B218" s="99"/>
      <c r="C218" s="99"/>
      <c r="D218" s="99"/>
      <c r="E218" s="99"/>
      <c r="F218" s="99"/>
      <c r="H218">
        <v>4</v>
      </c>
    </row>
    <row r="219" spans="1:8" ht="14.25" x14ac:dyDescent="0.2">
      <c r="A219" s="95" t="s">
        <v>108</v>
      </c>
      <c r="B219" s="95"/>
      <c r="C219" s="95"/>
      <c r="D219" s="95"/>
      <c r="E219" s="95"/>
      <c r="F219" s="95"/>
      <c r="G219" s="5"/>
    </row>
    <row r="220" spans="1:8" ht="14.25" x14ac:dyDescent="0.2">
      <c r="A220" s="95" t="s">
        <v>146</v>
      </c>
      <c r="B220" s="95"/>
      <c r="C220" s="95"/>
      <c r="D220" s="95"/>
      <c r="E220" s="95"/>
      <c r="F220" s="95"/>
      <c r="G220" s="5"/>
    </row>
    <row r="221" spans="1:8" ht="14.25" x14ac:dyDescent="0.2">
      <c r="A221" s="98" t="s">
        <v>175</v>
      </c>
      <c r="B221" s="95"/>
      <c r="C221" s="95"/>
      <c r="D221" s="95"/>
      <c r="E221" s="95"/>
      <c r="F221" s="95"/>
      <c r="G221" s="5"/>
    </row>
    <row r="222" spans="1:8" ht="15" x14ac:dyDescent="0.25">
      <c r="A222" s="95" t="s">
        <v>165</v>
      </c>
      <c r="B222" s="95"/>
      <c r="C222" s="95"/>
      <c r="D222" s="95"/>
      <c r="E222" s="95"/>
      <c r="F222" s="95"/>
      <c r="G222" s="4"/>
    </row>
    <row r="223" spans="1:8" ht="14.25" customHeight="1" x14ac:dyDescent="0.25">
      <c r="A223" s="24"/>
      <c r="B223" s="24"/>
      <c r="C223" s="55" t="s">
        <v>162</v>
      </c>
      <c r="D223" s="24"/>
      <c r="E223" s="24"/>
      <c r="F223" s="24" t="s">
        <v>148</v>
      </c>
      <c r="G223" s="4"/>
    </row>
    <row r="224" spans="1:8" ht="15" x14ac:dyDescent="0.25">
      <c r="A224" s="7" t="s">
        <v>4</v>
      </c>
      <c r="B224" s="8" t="s">
        <v>107</v>
      </c>
      <c r="C224" s="9"/>
      <c r="D224" s="10" t="s">
        <v>5</v>
      </c>
      <c r="E224" s="9"/>
      <c r="F224" s="10" t="s">
        <v>6</v>
      </c>
    </row>
    <row r="225" spans="1:6" ht="16.5" x14ac:dyDescent="0.3">
      <c r="A225" s="11" t="s">
        <v>37</v>
      </c>
      <c r="B225" s="12">
        <v>101</v>
      </c>
      <c r="C225" s="75" t="s">
        <v>176</v>
      </c>
      <c r="D225" s="14">
        <v>74.16</v>
      </c>
      <c r="E225" s="75" t="s">
        <v>176</v>
      </c>
      <c r="F225" s="16"/>
    </row>
    <row r="226" spans="1:6" ht="15" x14ac:dyDescent="0.25">
      <c r="A226" s="11" t="s">
        <v>84</v>
      </c>
      <c r="B226" s="17">
        <v>104</v>
      </c>
      <c r="C226" s="13"/>
      <c r="D226" s="14">
        <v>2466.34</v>
      </c>
      <c r="E226" s="15"/>
      <c r="F226" s="16"/>
    </row>
    <row r="227" spans="1:6" ht="15" x14ac:dyDescent="0.25">
      <c r="A227" s="11" t="s">
        <v>97</v>
      </c>
      <c r="B227" s="17">
        <v>106</v>
      </c>
      <c r="C227" s="13"/>
      <c r="D227" s="14">
        <v>171614.46</v>
      </c>
      <c r="E227" s="15"/>
      <c r="F227" s="16"/>
    </row>
    <row r="228" spans="1:6" ht="15" x14ac:dyDescent="0.25">
      <c r="A228" s="11" t="s">
        <v>7</v>
      </c>
      <c r="B228" s="17">
        <v>111</v>
      </c>
      <c r="C228" s="13"/>
      <c r="D228" s="14">
        <v>10180270.74</v>
      </c>
      <c r="E228" s="15"/>
      <c r="F228" s="16"/>
    </row>
    <row r="229" spans="1:6" ht="15" x14ac:dyDescent="0.25">
      <c r="A229" s="11" t="s">
        <v>8</v>
      </c>
      <c r="B229" s="17">
        <v>113</v>
      </c>
      <c r="C229" s="13"/>
      <c r="D229" s="14">
        <v>12356.81</v>
      </c>
      <c r="E229" s="15"/>
      <c r="F229" s="16"/>
    </row>
    <row r="230" spans="1:6" ht="15" x14ac:dyDescent="0.25">
      <c r="A230" s="11" t="s">
        <v>124</v>
      </c>
      <c r="B230" s="17">
        <v>121</v>
      </c>
      <c r="C230" s="13"/>
      <c r="D230" s="14">
        <v>206914.6</v>
      </c>
      <c r="E230" s="15"/>
      <c r="F230" s="16"/>
    </row>
    <row r="231" spans="1:6" ht="15" x14ac:dyDescent="0.25">
      <c r="A231" s="11" t="s">
        <v>9</v>
      </c>
      <c r="B231" s="17">
        <v>123</v>
      </c>
      <c r="C231" s="13"/>
      <c r="D231" s="14">
        <v>73965.83</v>
      </c>
      <c r="E231" s="15"/>
      <c r="F231" s="16"/>
    </row>
    <row r="232" spans="1:6" ht="15" x14ac:dyDescent="0.25">
      <c r="A232" s="11" t="s">
        <v>85</v>
      </c>
      <c r="B232" s="17">
        <v>127</v>
      </c>
      <c r="C232" s="13"/>
      <c r="D232" s="14">
        <v>799984.82</v>
      </c>
      <c r="E232" s="15"/>
      <c r="F232" s="16"/>
    </row>
    <row r="233" spans="1:6" ht="15" x14ac:dyDescent="0.25">
      <c r="A233" s="11" t="s">
        <v>33</v>
      </c>
      <c r="B233" s="17">
        <v>144</v>
      </c>
      <c r="C233" s="13"/>
      <c r="D233" s="14">
        <v>11019.22</v>
      </c>
      <c r="E233" s="15"/>
      <c r="F233" s="16"/>
    </row>
    <row r="234" spans="1:6" ht="15" x14ac:dyDescent="0.25">
      <c r="A234" s="11" t="s">
        <v>125</v>
      </c>
      <c r="B234" s="17">
        <v>146</v>
      </c>
      <c r="C234" s="13"/>
      <c r="D234" s="14">
        <v>1157160.23</v>
      </c>
      <c r="E234" s="15"/>
      <c r="F234" s="16"/>
    </row>
    <row r="235" spans="1:6" ht="15" x14ac:dyDescent="0.25">
      <c r="A235" s="11" t="s">
        <v>109</v>
      </c>
      <c r="B235" s="17">
        <v>148</v>
      </c>
      <c r="C235" s="13"/>
      <c r="D235" s="14">
        <v>1135135</v>
      </c>
      <c r="E235" s="15"/>
      <c r="F235" s="16"/>
    </row>
    <row r="236" spans="1:6" ht="15" x14ac:dyDescent="0.25">
      <c r="A236" s="11" t="s">
        <v>10</v>
      </c>
      <c r="B236" s="17">
        <v>149</v>
      </c>
      <c r="C236" s="13"/>
      <c r="D236" s="14">
        <v>631798.92000000004</v>
      </c>
      <c r="E236" s="15"/>
      <c r="F236" s="16"/>
    </row>
    <row r="237" spans="1:6" ht="15" x14ac:dyDescent="0.25">
      <c r="A237" s="11" t="s">
        <v>104</v>
      </c>
      <c r="B237" s="17">
        <v>156</v>
      </c>
      <c r="C237" s="13"/>
      <c r="D237" s="14">
        <v>60950.55</v>
      </c>
      <c r="E237" s="15"/>
      <c r="F237" s="16"/>
    </row>
    <row r="238" spans="1:6" ht="15" x14ac:dyDescent="0.25">
      <c r="A238" s="11" t="s">
        <v>133</v>
      </c>
      <c r="B238" s="17">
        <v>159</v>
      </c>
      <c r="C238" s="13"/>
      <c r="D238" s="14">
        <v>425763</v>
      </c>
      <c r="E238" s="15"/>
      <c r="F238" s="16"/>
    </row>
    <row r="239" spans="1:6" ht="15" x14ac:dyDescent="0.25">
      <c r="A239" s="11" t="s">
        <v>110</v>
      </c>
      <c r="B239" s="17">
        <v>161</v>
      </c>
      <c r="C239" s="13"/>
      <c r="D239" s="14">
        <v>343348.51</v>
      </c>
      <c r="E239" s="15"/>
      <c r="F239" s="16"/>
    </row>
    <row r="240" spans="1:6" ht="15" x14ac:dyDescent="0.25">
      <c r="A240" s="11" t="s">
        <v>149</v>
      </c>
      <c r="B240" s="17">
        <v>162</v>
      </c>
      <c r="C240" s="13"/>
      <c r="D240" s="14">
        <v>53148</v>
      </c>
      <c r="E240" s="15"/>
      <c r="F240" s="16"/>
    </row>
    <row r="241" spans="1:7" ht="15" x14ac:dyDescent="0.25">
      <c r="A241" s="11" t="s">
        <v>78</v>
      </c>
      <c r="B241" s="17">
        <v>169</v>
      </c>
      <c r="C241" s="13"/>
      <c r="D241" s="14">
        <v>170497</v>
      </c>
      <c r="E241" s="15"/>
      <c r="F241" s="16"/>
    </row>
    <row r="242" spans="1:7" ht="15" x14ac:dyDescent="0.25">
      <c r="A242" s="11" t="s">
        <v>11</v>
      </c>
      <c r="B242" s="17">
        <v>201</v>
      </c>
      <c r="C242" s="13"/>
      <c r="D242" s="14">
        <v>3087529.43</v>
      </c>
      <c r="E242" s="15"/>
      <c r="F242" s="16"/>
      <c r="G242" s="6">
        <f>D242+D243+D244+D245+D246+D247+D248+D249+D250+D251+D252+D253+D254+D255+D256+D257+D258+D259+D260+D261+D262+D263</f>
        <v>71819510.5</v>
      </c>
    </row>
    <row r="243" spans="1:7" ht="15" x14ac:dyDescent="0.25">
      <c r="A243" s="18" t="s">
        <v>93</v>
      </c>
      <c r="B243" s="17">
        <v>205</v>
      </c>
      <c r="C243" s="13"/>
      <c r="D243" s="14">
        <v>5374597.6100000003</v>
      </c>
      <c r="E243" s="15"/>
      <c r="F243" s="16"/>
    </row>
    <row r="244" spans="1:7" ht="15" x14ac:dyDescent="0.25">
      <c r="A244" s="11" t="s">
        <v>57</v>
      </c>
      <c r="B244" s="17">
        <v>211</v>
      </c>
      <c r="C244" s="13"/>
      <c r="D244" s="14">
        <v>20588113.280000001</v>
      </c>
      <c r="E244" s="15"/>
      <c r="F244" s="16"/>
    </row>
    <row r="245" spans="1:7" ht="15" x14ac:dyDescent="0.25">
      <c r="A245" s="11" t="s">
        <v>12</v>
      </c>
      <c r="B245" s="17">
        <v>212</v>
      </c>
      <c r="C245" s="13"/>
      <c r="D245" s="14">
        <v>402953.12</v>
      </c>
      <c r="E245" s="15"/>
      <c r="F245" s="16"/>
    </row>
    <row r="246" spans="1:7" ht="15" x14ac:dyDescent="0.25">
      <c r="A246" s="11" t="s">
        <v>13</v>
      </c>
      <c r="B246" s="17">
        <v>213</v>
      </c>
      <c r="C246" s="13"/>
      <c r="D246" s="14">
        <v>807010.99</v>
      </c>
      <c r="E246" s="15"/>
      <c r="F246" s="16"/>
    </row>
    <row r="247" spans="1:7" ht="15" x14ac:dyDescent="0.25">
      <c r="A247" s="11" t="s">
        <v>38</v>
      </c>
      <c r="B247" s="17">
        <v>214</v>
      </c>
      <c r="C247" s="13"/>
      <c r="D247" s="14">
        <v>3935630.65</v>
      </c>
      <c r="E247" s="15"/>
      <c r="F247" s="16"/>
    </row>
    <row r="248" spans="1:7" ht="15" x14ac:dyDescent="0.25">
      <c r="A248" s="11" t="s">
        <v>14</v>
      </c>
      <c r="B248" s="17">
        <v>215</v>
      </c>
      <c r="C248" s="13"/>
      <c r="D248" s="14">
        <v>5194288.47</v>
      </c>
      <c r="E248" s="15"/>
      <c r="F248" s="16"/>
    </row>
    <row r="249" spans="1:7" ht="15" x14ac:dyDescent="0.25">
      <c r="A249" s="11" t="s">
        <v>58</v>
      </c>
      <c r="B249" s="17">
        <v>221</v>
      </c>
      <c r="C249" s="13"/>
      <c r="D249" s="14">
        <v>3215279.88</v>
      </c>
      <c r="E249" s="15"/>
      <c r="F249" s="16"/>
    </row>
    <row r="250" spans="1:7" ht="15" x14ac:dyDescent="0.25">
      <c r="A250" s="11" t="s">
        <v>59</v>
      </c>
      <c r="B250" s="17">
        <v>222</v>
      </c>
      <c r="C250" s="13"/>
      <c r="D250" s="14">
        <v>784347.47</v>
      </c>
      <c r="E250" s="15"/>
      <c r="F250" s="16"/>
    </row>
    <row r="251" spans="1:7" ht="15" x14ac:dyDescent="0.25">
      <c r="A251" s="11" t="s">
        <v>60</v>
      </c>
      <c r="B251" s="17">
        <v>223</v>
      </c>
      <c r="C251" s="13"/>
      <c r="D251" s="14">
        <v>2508700</v>
      </c>
      <c r="E251" s="15"/>
      <c r="F251" s="16"/>
    </row>
    <row r="252" spans="1:7" ht="15" x14ac:dyDescent="0.25">
      <c r="A252" s="11" t="s">
        <v>39</v>
      </c>
      <c r="B252" s="17">
        <v>224</v>
      </c>
      <c r="C252" s="13"/>
      <c r="D252" s="14">
        <v>52707.8</v>
      </c>
      <c r="E252" s="15"/>
      <c r="F252" s="16"/>
    </row>
    <row r="253" spans="1:7" ht="15" x14ac:dyDescent="0.25">
      <c r="A253" s="11" t="s">
        <v>61</v>
      </c>
      <c r="B253" s="17">
        <v>229</v>
      </c>
      <c r="C253" s="13"/>
      <c r="D253" s="14">
        <v>900627.71</v>
      </c>
      <c r="E253" s="15"/>
      <c r="F253" s="16"/>
    </row>
    <row r="254" spans="1:7" ht="15" x14ac:dyDescent="0.25">
      <c r="A254" s="18" t="s">
        <v>62</v>
      </c>
      <c r="B254" s="17">
        <v>230</v>
      </c>
      <c r="C254" s="13"/>
      <c r="D254" s="14">
        <v>6787104.4299999997</v>
      </c>
      <c r="E254" s="15"/>
      <c r="F254" s="16"/>
    </row>
    <row r="255" spans="1:7" ht="15" x14ac:dyDescent="0.25">
      <c r="A255" s="18" t="s">
        <v>40</v>
      </c>
      <c r="B255" s="17">
        <v>231</v>
      </c>
      <c r="C255" s="13"/>
      <c r="D255" s="14">
        <v>57590.85</v>
      </c>
      <c r="E255" s="15"/>
      <c r="F255" s="16"/>
    </row>
    <row r="256" spans="1:7" ht="15" x14ac:dyDescent="0.25">
      <c r="A256" s="18" t="s">
        <v>111</v>
      </c>
      <c r="B256" s="17">
        <v>233</v>
      </c>
      <c r="C256" s="13"/>
      <c r="D256" s="14">
        <v>196171</v>
      </c>
      <c r="E256" s="15"/>
      <c r="F256" s="16"/>
    </row>
    <row r="257" spans="1:6" ht="15" x14ac:dyDescent="0.25">
      <c r="A257" s="11" t="s">
        <v>63</v>
      </c>
      <c r="B257" s="17">
        <v>234</v>
      </c>
      <c r="C257" s="13"/>
      <c r="D257" s="14">
        <v>15187.52</v>
      </c>
      <c r="E257" s="15"/>
      <c r="F257" s="16"/>
    </row>
    <row r="258" spans="1:6" ht="15" x14ac:dyDescent="0.25">
      <c r="A258" s="11" t="s">
        <v>64</v>
      </c>
      <c r="B258" s="17">
        <v>236</v>
      </c>
      <c r="C258" s="13"/>
      <c r="D258" s="14">
        <v>71908</v>
      </c>
      <c r="E258" s="15"/>
      <c r="F258" s="16"/>
    </row>
    <row r="259" spans="1:6" ht="15" x14ac:dyDescent="0.25">
      <c r="A259" s="11" t="s">
        <v>100</v>
      </c>
      <c r="B259" s="17">
        <v>240</v>
      </c>
      <c r="C259" s="13"/>
      <c r="D259" s="14">
        <v>137800</v>
      </c>
      <c r="E259" s="15"/>
      <c r="F259" s="16"/>
    </row>
    <row r="260" spans="1:6" ht="15" x14ac:dyDescent="0.25">
      <c r="A260" s="11" t="s">
        <v>15</v>
      </c>
      <c r="B260" s="17">
        <v>241</v>
      </c>
      <c r="C260" s="13"/>
      <c r="D260" s="14">
        <v>4058957.8</v>
      </c>
      <c r="E260" s="15"/>
      <c r="F260" s="16"/>
    </row>
    <row r="261" spans="1:6" ht="15" x14ac:dyDescent="0.25">
      <c r="A261" s="11" t="s">
        <v>65</v>
      </c>
      <c r="B261" s="17">
        <v>250</v>
      </c>
      <c r="C261" s="13"/>
      <c r="D261" s="14">
        <v>7578684.4900000002</v>
      </c>
      <c r="E261" s="15"/>
      <c r="F261" s="16"/>
    </row>
    <row r="262" spans="1:6" ht="15" x14ac:dyDescent="0.25">
      <c r="A262" s="11" t="s">
        <v>41</v>
      </c>
      <c r="B262" s="17">
        <v>264</v>
      </c>
      <c r="C262" s="42"/>
      <c r="D262" s="30">
        <v>5610348</v>
      </c>
      <c r="E262" s="15"/>
      <c r="F262" s="16"/>
    </row>
    <row r="263" spans="1:6" ht="15" x14ac:dyDescent="0.25">
      <c r="A263" s="18" t="s">
        <v>160</v>
      </c>
      <c r="B263" s="17">
        <v>266</v>
      </c>
      <c r="C263" s="42"/>
      <c r="D263" s="30">
        <v>453972</v>
      </c>
      <c r="E263" s="15"/>
      <c r="F263" s="16"/>
    </row>
    <row r="264" spans="1:6" ht="15" x14ac:dyDescent="0.25">
      <c r="A264" s="18" t="s">
        <v>42</v>
      </c>
      <c r="B264" s="17">
        <v>281</v>
      </c>
      <c r="C264" s="13"/>
      <c r="D264" s="14">
        <v>90280</v>
      </c>
      <c r="E264" s="15"/>
      <c r="F264" s="16"/>
    </row>
    <row r="265" spans="1:6" ht="15" x14ac:dyDescent="0.25">
      <c r="A265" s="20" t="s">
        <v>82</v>
      </c>
      <c r="B265" s="9"/>
      <c r="C265" s="9"/>
      <c r="D265" s="21">
        <f>SUM(D225:D264)</f>
        <v>87346258.689999983</v>
      </c>
      <c r="E265" s="22"/>
      <c r="F265" s="36">
        <f>SUM(F225:F264)</f>
        <v>0</v>
      </c>
    </row>
    <row r="266" spans="1:6" ht="15" x14ac:dyDescent="0.25">
      <c r="A266" s="73"/>
      <c r="B266" s="23"/>
      <c r="C266" s="23"/>
      <c r="D266" s="54"/>
      <c r="E266" s="14"/>
      <c r="F266" s="54"/>
    </row>
    <row r="267" spans="1:6" ht="15" x14ac:dyDescent="0.25">
      <c r="A267" s="73"/>
      <c r="B267" s="23"/>
      <c r="C267" s="23"/>
      <c r="D267" s="54"/>
      <c r="E267" s="14"/>
      <c r="F267" s="54"/>
    </row>
    <row r="268" spans="1:6" ht="15" x14ac:dyDescent="0.25">
      <c r="A268" s="96" t="s">
        <v>144</v>
      </c>
      <c r="B268" s="96"/>
      <c r="C268" s="96"/>
      <c r="D268" s="96"/>
      <c r="E268" s="96"/>
      <c r="F268" s="96"/>
    </row>
    <row r="269" spans="1:6" ht="14.25" x14ac:dyDescent="0.2">
      <c r="A269" s="95" t="s">
        <v>108</v>
      </c>
      <c r="B269" s="95"/>
      <c r="C269" s="95"/>
      <c r="D269" s="95"/>
      <c r="E269" s="95"/>
      <c r="F269" s="95"/>
    </row>
    <row r="270" spans="1:6" ht="14.25" x14ac:dyDescent="0.2">
      <c r="A270" s="95" t="s">
        <v>145</v>
      </c>
      <c r="B270" s="95"/>
      <c r="C270" s="95"/>
      <c r="D270" s="95"/>
      <c r="E270" s="95"/>
      <c r="F270" s="95"/>
    </row>
    <row r="271" spans="1:6" ht="14.25" x14ac:dyDescent="0.2">
      <c r="A271" s="98" t="s">
        <v>177</v>
      </c>
      <c r="B271" s="95"/>
      <c r="C271" s="95"/>
      <c r="D271" s="95"/>
      <c r="E271" s="95"/>
      <c r="F271" s="95"/>
    </row>
    <row r="272" spans="1:6" ht="14.25" x14ac:dyDescent="0.2">
      <c r="A272" s="95" t="s">
        <v>165</v>
      </c>
      <c r="B272" s="95"/>
      <c r="C272" s="95"/>
      <c r="D272" s="95"/>
      <c r="E272" s="95"/>
      <c r="F272" s="95"/>
    </row>
    <row r="273" spans="1:7" ht="15" x14ac:dyDescent="0.25">
      <c r="A273" s="24"/>
      <c r="B273" s="24"/>
      <c r="C273" s="24"/>
      <c r="D273" s="55" t="s">
        <v>163</v>
      </c>
      <c r="E273" s="55"/>
      <c r="F273" s="23" t="s">
        <v>105</v>
      </c>
    </row>
    <row r="274" spans="1:7" ht="15" x14ac:dyDescent="0.25">
      <c r="A274" s="7" t="s">
        <v>4</v>
      </c>
      <c r="B274" s="25" t="s">
        <v>107</v>
      </c>
      <c r="C274" s="56"/>
      <c r="D274" s="57" t="s">
        <v>5</v>
      </c>
      <c r="E274" s="47"/>
      <c r="F274" s="57" t="s">
        <v>134</v>
      </c>
    </row>
    <row r="275" spans="1:7" ht="16.5" x14ac:dyDescent="0.3">
      <c r="A275" s="18" t="s">
        <v>150</v>
      </c>
      <c r="B275" s="17">
        <v>290</v>
      </c>
      <c r="C275" s="75" t="s">
        <v>176</v>
      </c>
      <c r="D275" s="14">
        <v>16585</v>
      </c>
      <c r="E275" s="75" t="s">
        <v>176</v>
      </c>
      <c r="F275" s="16"/>
    </row>
    <row r="276" spans="1:7" ht="15" x14ac:dyDescent="0.25">
      <c r="A276" s="18" t="s">
        <v>166</v>
      </c>
      <c r="B276" s="17">
        <v>305</v>
      </c>
      <c r="C276" s="13"/>
      <c r="D276" s="14"/>
      <c r="E276" s="15"/>
      <c r="F276" s="16">
        <v>3248298.29</v>
      </c>
    </row>
    <row r="277" spans="1:7" ht="15" x14ac:dyDescent="0.25">
      <c r="A277" s="18" t="s">
        <v>155</v>
      </c>
      <c r="B277" s="17">
        <v>311</v>
      </c>
      <c r="C277" s="13"/>
      <c r="D277" s="14"/>
      <c r="E277" s="15"/>
      <c r="F277" s="16">
        <v>3341736.58</v>
      </c>
    </row>
    <row r="278" spans="1:7" ht="16.5" x14ac:dyDescent="0.3">
      <c r="A278" s="18" t="s">
        <v>156</v>
      </c>
      <c r="B278" s="17">
        <v>312</v>
      </c>
      <c r="C278" s="75"/>
      <c r="D278" s="14"/>
      <c r="E278" s="75"/>
      <c r="F278" s="16">
        <v>79755.27</v>
      </c>
    </row>
    <row r="279" spans="1:7" ht="15" x14ac:dyDescent="0.25">
      <c r="A279" s="18" t="s">
        <v>126</v>
      </c>
      <c r="B279" s="17">
        <v>313</v>
      </c>
      <c r="C279" s="13"/>
      <c r="D279" s="14"/>
      <c r="E279" s="15"/>
      <c r="F279" s="16">
        <v>165303.13</v>
      </c>
    </row>
    <row r="280" spans="1:7" ht="16.5" x14ac:dyDescent="0.3">
      <c r="A280" s="18" t="s">
        <v>127</v>
      </c>
      <c r="B280" s="17">
        <v>314</v>
      </c>
      <c r="C280" s="75"/>
      <c r="D280" s="14"/>
      <c r="E280" s="75"/>
      <c r="F280" s="16">
        <v>648043.91</v>
      </c>
    </row>
    <row r="281" spans="1:7" ht="15" x14ac:dyDescent="0.25">
      <c r="A281" s="18" t="s">
        <v>88</v>
      </c>
      <c r="B281" s="17">
        <v>315</v>
      </c>
      <c r="C281" s="13"/>
      <c r="D281" s="14"/>
      <c r="E281" s="15"/>
      <c r="F281" s="16">
        <v>1080448.3</v>
      </c>
      <c r="G281" s="6">
        <f>D249+D250+D251+D252</f>
        <v>6561035.1499999994</v>
      </c>
    </row>
    <row r="282" spans="1:7" ht="15" x14ac:dyDescent="0.25">
      <c r="A282" s="18" t="s">
        <v>72</v>
      </c>
      <c r="B282" s="17">
        <v>321</v>
      </c>
      <c r="C282" s="13"/>
      <c r="D282" s="19"/>
      <c r="E282" s="15"/>
      <c r="F282" s="16">
        <v>873636.99</v>
      </c>
      <c r="G282" s="6">
        <f>F282+F283+F284+F285</f>
        <v>3072019.23</v>
      </c>
    </row>
    <row r="283" spans="1:7" ht="15" x14ac:dyDescent="0.25">
      <c r="A283" s="18" t="s">
        <v>74</v>
      </c>
      <c r="B283" s="17">
        <v>322</v>
      </c>
      <c r="C283" s="13"/>
      <c r="D283" s="19"/>
      <c r="E283" s="15"/>
      <c r="F283" s="16">
        <v>388745.53</v>
      </c>
      <c r="G283" s="6">
        <f>G281-G282</f>
        <v>3489015.9199999995</v>
      </c>
    </row>
    <row r="284" spans="1:7" ht="15" x14ac:dyDescent="0.25">
      <c r="A284" s="18" t="s">
        <v>75</v>
      </c>
      <c r="B284" s="17">
        <v>323</v>
      </c>
      <c r="C284" s="13"/>
      <c r="D284" s="14"/>
      <c r="E284" s="15"/>
      <c r="F284" s="16">
        <v>1779113.85</v>
      </c>
    </row>
    <row r="285" spans="1:7" ht="15" x14ac:dyDescent="0.25">
      <c r="A285" s="18" t="s">
        <v>101</v>
      </c>
      <c r="B285" s="17">
        <v>324</v>
      </c>
      <c r="C285" s="13"/>
      <c r="D285" s="14"/>
      <c r="E285" s="15"/>
      <c r="F285" s="16">
        <v>30522.86</v>
      </c>
    </row>
    <row r="286" spans="1:7" ht="15" x14ac:dyDescent="0.25">
      <c r="A286" s="18" t="s">
        <v>76</v>
      </c>
      <c r="B286" s="17">
        <v>329</v>
      </c>
      <c r="C286" s="13"/>
      <c r="D286" s="14"/>
      <c r="E286" s="15"/>
      <c r="F286" s="16">
        <v>403370.31</v>
      </c>
    </row>
    <row r="287" spans="1:7" ht="15" x14ac:dyDescent="0.25">
      <c r="A287" s="18" t="s">
        <v>77</v>
      </c>
      <c r="B287" s="17">
        <v>330</v>
      </c>
      <c r="C287" s="13"/>
      <c r="D287" s="14"/>
      <c r="E287" s="15"/>
      <c r="F287" s="16">
        <v>2107241.27</v>
      </c>
    </row>
    <row r="288" spans="1:7" ht="15" x14ac:dyDescent="0.25">
      <c r="A288" s="18" t="s">
        <v>89</v>
      </c>
      <c r="B288" s="17">
        <v>331</v>
      </c>
      <c r="C288" s="13"/>
      <c r="D288" s="14"/>
      <c r="E288" s="15"/>
      <c r="F288" s="16">
        <v>32618.720000000001</v>
      </c>
    </row>
    <row r="289" spans="1:6" ht="15" x14ac:dyDescent="0.25">
      <c r="A289" s="18" t="s">
        <v>128</v>
      </c>
      <c r="B289" s="17">
        <v>333</v>
      </c>
      <c r="C289" s="13"/>
      <c r="D289" s="14"/>
      <c r="E289" s="15"/>
      <c r="F289" s="16">
        <v>17848.740000000002</v>
      </c>
    </row>
    <row r="290" spans="1:6" ht="15" x14ac:dyDescent="0.25">
      <c r="A290" s="18" t="s">
        <v>167</v>
      </c>
      <c r="B290" s="17">
        <v>336</v>
      </c>
      <c r="C290" s="13"/>
      <c r="D290" s="14"/>
      <c r="E290" s="15"/>
      <c r="F290" s="16">
        <v>16837.5</v>
      </c>
    </row>
    <row r="291" spans="1:6" ht="15" x14ac:dyDescent="0.25">
      <c r="A291" s="18" t="s">
        <v>129</v>
      </c>
      <c r="B291" s="17">
        <v>340</v>
      </c>
      <c r="C291" s="13"/>
      <c r="D291" s="14"/>
      <c r="E291" s="15"/>
      <c r="F291" s="16">
        <v>34810.5</v>
      </c>
    </row>
    <row r="292" spans="1:6" ht="15" x14ac:dyDescent="0.25">
      <c r="A292" s="18" t="s">
        <v>73</v>
      </c>
      <c r="B292" s="17">
        <v>341</v>
      </c>
      <c r="C292" s="13"/>
      <c r="D292" s="16"/>
      <c r="E292" s="14"/>
      <c r="F292" s="16">
        <v>1475057.23</v>
      </c>
    </row>
    <row r="293" spans="1:6" ht="15" x14ac:dyDescent="0.25">
      <c r="A293" s="18" t="s">
        <v>130</v>
      </c>
      <c r="B293" s="17">
        <v>350</v>
      </c>
      <c r="C293" s="13"/>
      <c r="D293" s="16"/>
      <c r="E293" s="14"/>
      <c r="F293" s="16">
        <v>2778981.35</v>
      </c>
    </row>
    <row r="294" spans="1:6" ht="15" x14ac:dyDescent="0.25">
      <c r="A294" s="18" t="s">
        <v>16</v>
      </c>
      <c r="B294" s="17">
        <v>401</v>
      </c>
      <c r="C294" s="23"/>
      <c r="D294" s="16"/>
      <c r="E294" s="14"/>
      <c r="F294" s="16">
        <v>1024704.22</v>
      </c>
    </row>
    <row r="295" spans="1:6" ht="15" x14ac:dyDescent="0.25">
      <c r="A295" s="18" t="s">
        <v>43</v>
      </c>
      <c r="B295" s="17">
        <v>412</v>
      </c>
      <c r="C295" s="23"/>
      <c r="D295" s="16"/>
      <c r="E295" s="14"/>
      <c r="F295" s="16">
        <v>73463.44</v>
      </c>
    </row>
    <row r="296" spans="1:6" ht="15" x14ac:dyDescent="0.25">
      <c r="A296" s="18" t="s">
        <v>44</v>
      </c>
      <c r="B296" s="17">
        <v>413</v>
      </c>
      <c r="C296" s="23"/>
      <c r="D296" s="16"/>
      <c r="E296" s="14"/>
      <c r="F296" s="16">
        <v>381412.48</v>
      </c>
    </row>
    <row r="297" spans="1:6" ht="15" x14ac:dyDescent="0.25">
      <c r="A297" s="18" t="s">
        <v>45</v>
      </c>
      <c r="B297" s="17">
        <v>414</v>
      </c>
      <c r="C297" s="13"/>
      <c r="D297" s="16"/>
      <c r="E297" s="14"/>
      <c r="F297" s="16">
        <v>89033.8</v>
      </c>
    </row>
    <row r="298" spans="1:6" ht="15" x14ac:dyDescent="0.25">
      <c r="A298" s="18" t="s">
        <v>46</v>
      </c>
      <c r="B298" s="17">
        <v>415</v>
      </c>
      <c r="C298" s="13"/>
      <c r="D298" s="16"/>
      <c r="E298" s="14"/>
      <c r="F298" s="16">
        <v>33235.5</v>
      </c>
    </row>
    <row r="299" spans="1:6" ht="15" x14ac:dyDescent="0.25">
      <c r="A299" s="18" t="s">
        <v>66</v>
      </c>
      <c r="B299" s="17">
        <v>416</v>
      </c>
      <c r="C299" s="23"/>
      <c r="D299" s="16"/>
      <c r="E299" s="14"/>
      <c r="F299" s="16">
        <v>95721.64</v>
      </c>
    </row>
    <row r="300" spans="1:6" ht="15" x14ac:dyDescent="0.25">
      <c r="A300" s="18" t="s">
        <v>17</v>
      </c>
      <c r="B300" s="17">
        <v>418</v>
      </c>
      <c r="C300" s="13"/>
      <c r="D300" s="14"/>
      <c r="E300" s="15"/>
      <c r="F300" s="16">
        <v>577352.81999999995</v>
      </c>
    </row>
    <row r="301" spans="1:6" ht="15" x14ac:dyDescent="0.25">
      <c r="A301" s="18" t="s">
        <v>90</v>
      </c>
      <c r="B301" s="17">
        <v>422</v>
      </c>
      <c r="C301" s="13"/>
      <c r="D301" s="14"/>
      <c r="E301" s="15"/>
      <c r="F301" s="16">
        <v>1016723.63</v>
      </c>
    </row>
    <row r="302" spans="1:6" ht="15" x14ac:dyDescent="0.25">
      <c r="A302" s="11" t="s">
        <v>47</v>
      </c>
      <c r="B302" s="17">
        <v>424</v>
      </c>
      <c r="C302" s="13"/>
      <c r="D302" s="14"/>
      <c r="E302" s="15"/>
      <c r="F302" s="16">
        <v>446769.73</v>
      </c>
    </row>
    <row r="303" spans="1:6" ht="15" x14ac:dyDescent="0.25">
      <c r="A303" s="26" t="s">
        <v>18</v>
      </c>
      <c r="B303" s="17">
        <v>439</v>
      </c>
      <c r="C303" s="13"/>
      <c r="D303" s="27"/>
      <c r="E303" s="28"/>
      <c r="F303" s="29">
        <v>58257.48</v>
      </c>
    </row>
    <row r="304" spans="1:6" ht="15" x14ac:dyDescent="0.25">
      <c r="A304" s="11" t="s">
        <v>86</v>
      </c>
      <c r="B304" s="17">
        <v>451</v>
      </c>
      <c r="C304" s="13"/>
      <c r="D304" s="14"/>
      <c r="E304" s="15"/>
      <c r="F304" s="16">
        <v>799984.82</v>
      </c>
    </row>
    <row r="305" spans="1:6" ht="15" x14ac:dyDescent="0.25">
      <c r="A305" s="11" t="s">
        <v>19</v>
      </c>
      <c r="B305" s="17">
        <v>501</v>
      </c>
      <c r="C305" s="13"/>
      <c r="D305" s="14"/>
      <c r="E305" s="15"/>
      <c r="F305" s="16">
        <v>64263813.799999997</v>
      </c>
    </row>
    <row r="306" spans="1:6" ht="15" x14ac:dyDescent="0.25">
      <c r="A306" s="20" t="s">
        <v>82</v>
      </c>
      <c r="B306" s="35"/>
      <c r="C306" s="9"/>
      <c r="D306" s="21">
        <f>SUM(D275:D305)</f>
        <v>16585</v>
      </c>
      <c r="E306" s="49"/>
      <c r="F306" s="36">
        <f>SUM(F275:F305)</f>
        <v>87362843.689999998</v>
      </c>
    </row>
    <row r="307" spans="1:6" ht="17.25" thickBot="1" x14ac:dyDescent="0.35">
      <c r="A307" s="46" t="s">
        <v>83</v>
      </c>
      <c r="B307" s="50"/>
      <c r="C307" s="78" t="s">
        <v>176</v>
      </c>
      <c r="D307" s="51">
        <f>D265+D306</f>
        <v>87362843.689999983</v>
      </c>
      <c r="E307" s="78" t="s">
        <v>176</v>
      </c>
      <c r="F307" s="51">
        <f>F265+F306</f>
        <v>87362843.689999998</v>
      </c>
    </row>
    <row r="308" spans="1:6" ht="15.75" thickTop="1" x14ac:dyDescent="0.25">
      <c r="A308" s="24"/>
      <c r="B308" s="23"/>
      <c r="C308" s="23"/>
      <c r="D308" s="14"/>
      <c r="E308" s="27"/>
      <c r="F308" s="65">
        <f>D307-F307</f>
        <v>0</v>
      </c>
    </row>
    <row r="309" spans="1:6" ht="15" x14ac:dyDescent="0.25">
      <c r="A309" s="24"/>
      <c r="B309" s="24"/>
      <c r="C309" s="24"/>
      <c r="D309" s="24"/>
      <c r="E309" s="24"/>
      <c r="F309" s="24"/>
    </row>
    <row r="310" spans="1:6" ht="15" x14ac:dyDescent="0.25">
      <c r="A310" s="24" t="s">
        <v>92</v>
      </c>
      <c r="B310" s="24"/>
      <c r="C310" s="24"/>
      <c r="D310" s="24" t="s">
        <v>20</v>
      </c>
      <c r="E310" s="14"/>
      <c r="F310" s="14"/>
    </row>
    <row r="311" spans="1:6" ht="15" x14ac:dyDescent="0.25">
      <c r="A311" s="24"/>
      <c r="B311" s="23"/>
      <c r="C311" s="23"/>
      <c r="D311" s="14"/>
      <c r="E311" s="14"/>
      <c r="F311" s="14"/>
    </row>
    <row r="312" spans="1:6" ht="15" x14ac:dyDescent="0.25">
      <c r="A312" s="24"/>
      <c r="B312" s="23"/>
      <c r="C312" s="23"/>
      <c r="D312" s="14"/>
      <c r="E312" s="14"/>
      <c r="F312" s="14"/>
    </row>
    <row r="313" spans="1:6" ht="15" x14ac:dyDescent="0.25">
      <c r="A313" s="52" t="s">
        <v>21</v>
      </c>
      <c r="B313" s="23"/>
      <c r="C313" s="23"/>
      <c r="D313" s="97" t="s">
        <v>186</v>
      </c>
      <c r="E313" s="97"/>
      <c r="F313" s="97"/>
    </row>
    <row r="314" spans="1:6" ht="15" x14ac:dyDescent="0.25">
      <c r="A314" s="23" t="s">
        <v>1</v>
      </c>
      <c r="B314" s="23"/>
      <c r="C314" s="23"/>
      <c r="D314" s="94" t="s">
        <v>22</v>
      </c>
      <c r="E314" s="94"/>
      <c r="F314" s="94"/>
    </row>
    <row r="315" spans="1:6" ht="15" x14ac:dyDescent="0.25">
      <c r="A315" s="24"/>
      <c r="B315" s="24"/>
      <c r="C315" s="24"/>
      <c r="D315" s="24"/>
      <c r="E315" s="24"/>
      <c r="F315" s="24"/>
    </row>
    <row r="316" spans="1:6" ht="15" x14ac:dyDescent="0.25">
      <c r="A316" s="24"/>
      <c r="B316" s="24"/>
      <c r="C316" s="24"/>
      <c r="D316" s="24"/>
      <c r="E316" s="24"/>
      <c r="F316" s="24"/>
    </row>
    <row r="317" spans="1:6" ht="15" x14ac:dyDescent="0.25">
      <c r="A317" s="24"/>
      <c r="B317" s="24"/>
      <c r="C317" s="24"/>
      <c r="D317" s="24"/>
      <c r="E317" s="24"/>
      <c r="F317" s="24"/>
    </row>
    <row r="318" spans="1:6" ht="15" x14ac:dyDescent="0.25">
      <c r="A318" s="24"/>
      <c r="B318" s="24"/>
      <c r="C318" s="24"/>
      <c r="D318" s="24"/>
      <c r="E318" s="24"/>
      <c r="F318" s="24"/>
    </row>
    <row r="319" spans="1:6" ht="15" x14ac:dyDescent="0.25">
      <c r="A319" s="24"/>
      <c r="B319" s="24"/>
      <c r="C319" s="24"/>
      <c r="D319" s="24"/>
      <c r="E319" s="24"/>
      <c r="F319" s="24"/>
    </row>
    <row r="320" spans="1:6" ht="15" x14ac:dyDescent="0.25">
      <c r="A320" s="24"/>
      <c r="B320" s="24"/>
      <c r="C320" s="24"/>
      <c r="D320" s="24"/>
      <c r="E320" s="24"/>
      <c r="F320" s="24"/>
    </row>
    <row r="321" spans="1:6" ht="15" x14ac:dyDescent="0.25">
      <c r="A321" s="24"/>
      <c r="B321" s="24"/>
      <c r="C321" s="24"/>
      <c r="D321" s="24"/>
      <c r="E321" s="24"/>
      <c r="F321" s="24"/>
    </row>
    <row r="322" spans="1:6" ht="15" x14ac:dyDescent="0.25">
      <c r="A322" s="24"/>
      <c r="B322" s="24"/>
      <c r="C322" s="24"/>
      <c r="D322" s="24"/>
      <c r="E322" s="24"/>
      <c r="F322" s="24"/>
    </row>
    <row r="323" spans="1:6" ht="15" x14ac:dyDescent="0.25">
      <c r="A323" s="24"/>
      <c r="B323" s="24"/>
      <c r="C323" s="24"/>
      <c r="D323" s="24"/>
      <c r="E323" s="24"/>
      <c r="F323" s="24"/>
    </row>
    <row r="324" spans="1:6" ht="15" x14ac:dyDescent="0.25">
      <c r="A324" s="24"/>
      <c r="B324" s="24"/>
      <c r="C324" s="24"/>
      <c r="D324" s="24"/>
      <c r="E324" s="24"/>
      <c r="F324" s="24"/>
    </row>
    <row r="325" spans="1:6" ht="15" x14ac:dyDescent="0.25">
      <c r="A325" s="24"/>
      <c r="B325" s="24"/>
      <c r="C325" s="24"/>
      <c r="D325" s="24"/>
      <c r="E325" s="24"/>
      <c r="F325" s="24"/>
    </row>
    <row r="326" spans="1:6" ht="15" x14ac:dyDescent="0.25">
      <c r="A326" s="24"/>
      <c r="B326" s="24"/>
      <c r="C326" s="24"/>
      <c r="D326" s="24"/>
      <c r="E326" s="24"/>
      <c r="F326" s="24"/>
    </row>
    <row r="327" spans="1:6" ht="15" x14ac:dyDescent="0.25">
      <c r="A327" s="24"/>
      <c r="B327" s="24"/>
      <c r="C327" s="24"/>
      <c r="D327" s="24"/>
      <c r="E327" s="24"/>
      <c r="F327" s="24"/>
    </row>
    <row r="328" spans="1:6" ht="15" x14ac:dyDescent="0.25">
      <c r="A328" s="24"/>
      <c r="B328" s="24"/>
      <c r="C328" s="24"/>
      <c r="D328" s="24"/>
      <c r="E328" s="24"/>
      <c r="F328" s="24"/>
    </row>
    <row r="329" spans="1:6" ht="15" x14ac:dyDescent="0.25">
      <c r="A329" s="24"/>
      <c r="B329" s="24"/>
      <c r="C329" s="24"/>
      <c r="D329" s="24"/>
      <c r="E329" s="24"/>
      <c r="F329" s="24"/>
    </row>
    <row r="330" spans="1:6" ht="15" x14ac:dyDescent="0.25">
      <c r="A330" s="24"/>
      <c r="B330" s="24"/>
      <c r="C330" s="24"/>
      <c r="D330" s="24"/>
      <c r="E330" s="24"/>
      <c r="F330" s="24"/>
    </row>
    <row r="331" spans="1:6" ht="15" x14ac:dyDescent="0.25">
      <c r="A331" s="24"/>
      <c r="B331" s="24"/>
      <c r="C331" s="24"/>
      <c r="D331" s="24"/>
      <c r="E331" s="24"/>
      <c r="F331" s="24"/>
    </row>
    <row r="332" spans="1:6" ht="15" x14ac:dyDescent="0.25">
      <c r="A332" s="24"/>
      <c r="B332" s="24"/>
      <c r="C332" s="24"/>
      <c r="D332" s="24"/>
      <c r="E332" s="24"/>
      <c r="F332" s="24"/>
    </row>
    <row r="333" spans="1:6" ht="15" x14ac:dyDescent="0.25">
      <c r="A333" s="24"/>
      <c r="B333" s="24"/>
      <c r="C333" s="24"/>
      <c r="D333" s="24"/>
      <c r="E333" s="24"/>
      <c r="F333" s="24"/>
    </row>
    <row r="334" spans="1:6" ht="15" x14ac:dyDescent="0.25">
      <c r="A334" s="24"/>
      <c r="B334" s="24"/>
      <c r="C334" s="24"/>
      <c r="D334" s="24"/>
      <c r="E334" s="24"/>
      <c r="F334" s="24"/>
    </row>
    <row r="335" spans="1:6" ht="15" x14ac:dyDescent="0.25">
      <c r="A335" s="24"/>
      <c r="B335" s="24"/>
      <c r="C335" s="24"/>
      <c r="D335" s="24"/>
      <c r="E335" s="24"/>
      <c r="F335" s="24"/>
    </row>
    <row r="336" spans="1:6" ht="15" x14ac:dyDescent="0.25">
      <c r="A336" s="24"/>
      <c r="B336" s="24"/>
      <c r="C336" s="24"/>
      <c r="D336" s="24"/>
      <c r="E336" s="24"/>
      <c r="F336" s="24"/>
    </row>
  </sheetData>
  <mergeCells count="34">
    <mergeCell ref="A271:F271"/>
    <mergeCell ref="A221:F221"/>
    <mergeCell ref="A222:F222"/>
    <mergeCell ref="A169:F169"/>
    <mergeCell ref="A170:F170"/>
    <mergeCell ref="A171:F171"/>
    <mergeCell ref="D197:F197"/>
    <mergeCell ref="D198:F198"/>
    <mergeCell ref="A268:F268"/>
    <mergeCell ref="A269:F269"/>
    <mergeCell ref="A270:F270"/>
    <mergeCell ref="A120:F120"/>
    <mergeCell ref="A172:F172"/>
    <mergeCell ref="A1:F1"/>
    <mergeCell ref="A2:F2"/>
    <mergeCell ref="A3:F3"/>
    <mergeCell ref="A4:F4"/>
    <mergeCell ref="A5:F5"/>
    <mergeCell ref="D314:F314"/>
    <mergeCell ref="A117:F117"/>
    <mergeCell ref="A116:F116"/>
    <mergeCell ref="A60:F60"/>
    <mergeCell ref="A61:F61"/>
    <mergeCell ref="A62:F62"/>
    <mergeCell ref="D313:F313"/>
    <mergeCell ref="A63:F63"/>
    <mergeCell ref="A218:F218"/>
    <mergeCell ref="A118:F118"/>
    <mergeCell ref="A220:F220"/>
    <mergeCell ref="A119:F119"/>
    <mergeCell ref="A219:F219"/>
    <mergeCell ref="A272:F272"/>
    <mergeCell ref="A64:F64"/>
    <mergeCell ref="A173:F173"/>
  </mergeCells>
  <phoneticPr fontId="4" type="noConversion"/>
  <pageMargins left="1.25" right="0.75" top="0.75" bottom="0.5" header="0.5" footer="0.5"/>
  <pageSetup scale="9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3"/>
  <sheetViews>
    <sheetView tabSelected="1" view="pageLayout" topLeftCell="A3" zoomScale="115" zoomScaleNormal="93" zoomScalePageLayoutView="115" workbookViewId="0">
      <selection activeCell="F16" sqref="F16"/>
    </sheetView>
  </sheetViews>
  <sheetFormatPr defaultRowHeight="12.75" x14ac:dyDescent="0.2"/>
  <cols>
    <col min="2" max="2" width="36.28515625" customWidth="1"/>
    <col min="3" max="3" width="24" customWidth="1"/>
    <col min="4" max="4" width="21.42578125" customWidth="1"/>
    <col min="5" max="5" width="22" customWidth="1"/>
    <col min="6" max="6" width="23.5703125" customWidth="1"/>
  </cols>
  <sheetData>
    <row r="1" spans="1:6" ht="18" customHeight="1" x14ac:dyDescent="0.2">
      <c r="A1" s="101" t="s">
        <v>192</v>
      </c>
      <c r="B1" s="101"/>
      <c r="C1" s="101"/>
      <c r="D1" s="101"/>
      <c r="E1" s="101"/>
      <c r="F1" s="101"/>
    </row>
    <row r="2" spans="1:6" ht="18" customHeight="1" x14ac:dyDescent="0.2">
      <c r="A2" s="101" t="s">
        <v>191</v>
      </c>
      <c r="B2" s="101"/>
      <c r="C2" s="101"/>
      <c r="D2" s="101"/>
      <c r="E2" s="101"/>
      <c r="F2" s="101"/>
    </row>
    <row r="3" spans="1:6" ht="18" customHeight="1" x14ac:dyDescent="0.2">
      <c r="A3" s="100"/>
      <c r="B3" s="100"/>
      <c r="C3" s="100"/>
      <c r="D3" s="100"/>
      <c r="E3" s="100"/>
      <c r="F3" s="100"/>
    </row>
    <row r="4" spans="1:6" ht="18" customHeight="1" x14ac:dyDescent="0.2">
      <c r="A4" s="102" t="s">
        <v>213</v>
      </c>
      <c r="B4" s="102"/>
      <c r="C4" s="102"/>
      <c r="D4" s="102"/>
      <c r="E4" s="102"/>
      <c r="F4" s="102"/>
    </row>
    <row r="5" spans="1:6" ht="15" customHeight="1" x14ac:dyDescent="0.2">
      <c r="A5" s="103" t="s">
        <v>35</v>
      </c>
      <c r="B5" s="103"/>
      <c r="C5" s="103"/>
      <c r="D5" s="103"/>
      <c r="E5" s="103"/>
      <c r="F5" s="103"/>
    </row>
    <row r="6" spans="1:6" ht="15.75" customHeight="1" x14ac:dyDescent="0.2">
      <c r="A6" s="100"/>
      <c r="B6" s="100"/>
      <c r="C6" s="100"/>
      <c r="D6" s="100"/>
      <c r="E6" s="100"/>
      <c r="F6" s="100"/>
    </row>
    <row r="7" spans="1:6" ht="15.75" x14ac:dyDescent="0.25">
      <c r="B7" s="109"/>
      <c r="C7" s="110"/>
      <c r="D7" s="110"/>
      <c r="E7" s="110"/>
      <c r="F7" s="110"/>
    </row>
    <row r="8" spans="1:6" ht="22.5" customHeight="1" x14ac:dyDescent="0.25">
      <c r="A8" s="89"/>
      <c r="B8" s="112" t="s">
        <v>198</v>
      </c>
      <c r="C8" s="113" t="s">
        <v>194</v>
      </c>
      <c r="D8" s="114"/>
      <c r="E8" s="107" t="s">
        <v>195</v>
      </c>
      <c r="F8" s="107" t="s">
        <v>196</v>
      </c>
    </row>
    <row r="9" spans="1:6" ht="36" customHeight="1" x14ac:dyDescent="0.2">
      <c r="A9" s="89"/>
      <c r="B9" s="112"/>
      <c r="C9" s="87" t="s">
        <v>211</v>
      </c>
      <c r="D9" s="88" t="s">
        <v>212</v>
      </c>
      <c r="E9" s="108"/>
      <c r="F9" s="108"/>
    </row>
    <row r="10" spans="1:6" ht="15" x14ac:dyDescent="0.25">
      <c r="A10" s="104" t="s">
        <v>197</v>
      </c>
      <c r="B10" s="105"/>
      <c r="C10" s="93"/>
      <c r="D10" s="93"/>
      <c r="E10" s="93"/>
      <c r="F10" s="93"/>
    </row>
    <row r="11" spans="1:6" ht="15" x14ac:dyDescent="0.25">
      <c r="A11" s="89"/>
      <c r="B11" s="91" t="s">
        <v>199</v>
      </c>
      <c r="C11" s="93"/>
      <c r="D11" s="93"/>
      <c r="E11" s="93"/>
      <c r="F11" s="93">
        <f>D11-E11</f>
        <v>0</v>
      </c>
    </row>
    <row r="12" spans="1:6" ht="15" x14ac:dyDescent="0.25">
      <c r="A12" s="89"/>
      <c r="B12" s="91" t="s">
        <v>215</v>
      </c>
      <c r="C12" s="93"/>
      <c r="D12" s="93"/>
      <c r="E12" s="93"/>
      <c r="F12" s="93">
        <f t="shared" ref="F12:F17" si="0">D12-E12</f>
        <v>0</v>
      </c>
    </row>
    <row r="13" spans="1:6" ht="15" x14ac:dyDescent="0.25">
      <c r="A13" s="89"/>
      <c r="B13" s="91" t="s">
        <v>200</v>
      </c>
      <c r="C13" s="93"/>
      <c r="D13" s="93"/>
      <c r="E13" s="93"/>
      <c r="F13" s="93">
        <f t="shared" si="0"/>
        <v>0</v>
      </c>
    </row>
    <row r="14" spans="1:6" ht="15" x14ac:dyDescent="0.25">
      <c r="A14" s="89"/>
      <c r="B14" s="91" t="s">
        <v>201</v>
      </c>
      <c r="C14" s="93"/>
      <c r="D14" s="93"/>
      <c r="E14" s="93"/>
      <c r="F14" s="93">
        <f t="shared" si="0"/>
        <v>0</v>
      </c>
    </row>
    <row r="15" spans="1:6" ht="15" x14ac:dyDescent="0.25">
      <c r="A15" s="89"/>
      <c r="B15" s="91" t="s">
        <v>202</v>
      </c>
      <c r="C15" s="93"/>
      <c r="D15" s="93"/>
      <c r="E15" s="93"/>
      <c r="F15" s="93">
        <f t="shared" si="0"/>
        <v>0</v>
      </c>
    </row>
    <row r="16" spans="1:6" ht="15" x14ac:dyDescent="0.25">
      <c r="A16" s="89"/>
      <c r="B16" s="91" t="s">
        <v>203</v>
      </c>
      <c r="C16" s="93"/>
      <c r="D16" s="93"/>
      <c r="E16" s="93"/>
      <c r="F16" s="93">
        <f t="shared" si="0"/>
        <v>0</v>
      </c>
    </row>
    <row r="17" spans="1:6" ht="15" x14ac:dyDescent="0.25">
      <c r="A17" s="89"/>
      <c r="B17" s="90" t="s">
        <v>204</v>
      </c>
      <c r="C17" s="92">
        <f>SUM(C11:C16)</f>
        <v>0</v>
      </c>
      <c r="D17" s="92">
        <f t="shared" ref="D17:F17" si="1">SUM(D11:D16)</f>
        <v>0</v>
      </c>
      <c r="E17" s="92">
        <f t="shared" si="1"/>
        <v>0</v>
      </c>
      <c r="F17" s="93">
        <f t="shared" si="0"/>
        <v>0</v>
      </c>
    </row>
    <row r="18" spans="1:6" ht="15" x14ac:dyDescent="0.25">
      <c r="A18" s="89"/>
      <c r="B18" s="50"/>
      <c r="C18" s="81"/>
      <c r="D18" s="72"/>
      <c r="E18" s="72"/>
      <c r="F18" s="72"/>
    </row>
    <row r="19" spans="1:6" ht="15" x14ac:dyDescent="0.25">
      <c r="A19" s="104" t="s">
        <v>205</v>
      </c>
      <c r="B19" s="105"/>
      <c r="C19" s="81"/>
      <c r="D19" s="72"/>
      <c r="E19" s="72"/>
      <c r="F19" s="72"/>
    </row>
    <row r="20" spans="1:6" ht="15" x14ac:dyDescent="0.25">
      <c r="A20" s="89"/>
      <c r="B20" s="91" t="s">
        <v>206</v>
      </c>
      <c r="C20" s="92"/>
      <c r="D20" s="92"/>
      <c r="E20" s="92"/>
      <c r="F20" s="92">
        <f>D20-E20</f>
        <v>0</v>
      </c>
    </row>
    <row r="21" spans="1:6" ht="15" x14ac:dyDescent="0.25">
      <c r="A21" s="89"/>
      <c r="B21" s="91" t="s">
        <v>207</v>
      </c>
      <c r="C21" s="92"/>
      <c r="D21" s="92"/>
      <c r="E21" s="92"/>
      <c r="F21" s="92">
        <f t="shared" ref="F21:F26" si="2">D21-E21</f>
        <v>0</v>
      </c>
    </row>
    <row r="22" spans="1:6" ht="15" x14ac:dyDescent="0.25">
      <c r="A22" s="89"/>
      <c r="B22" s="91" t="s">
        <v>208</v>
      </c>
      <c r="C22" s="92"/>
      <c r="D22" s="92"/>
      <c r="E22" s="92"/>
      <c r="F22" s="92">
        <f t="shared" si="2"/>
        <v>0</v>
      </c>
    </row>
    <row r="23" spans="1:6" ht="15" x14ac:dyDescent="0.25">
      <c r="A23" s="89"/>
      <c r="B23" s="91" t="s">
        <v>209</v>
      </c>
      <c r="C23" s="92"/>
      <c r="D23" s="92"/>
      <c r="E23" s="92"/>
      <c r="F23" s="92">
        <f t="shared" si="2"/>
        <v>0</v>
      </c>
    </row>
    <row r="24" spans="1:6" ht="15" x14ac:dyDescent="0.25">
      <c r="A24" s="89"/>
      <c r="B24" s="91" t="s">
        <v>203</v>
      </c>
      <c r="C24" s="92"/>
      <c r="D24" s="92"/>
      <c r="E24" s="92"/>
      <c r="F24" s="92">
        <f t="shared" si="2"/>
        <v>0</v>
      </c>
    </row>
    <row r="25" spans="1:6" ht="15" x14ac:dyDescent="0.25">
      <c r="A25" s="86"/>
      <c r="B25" s="90" t="s">
        <v>210</v>
      </c>
      <c r="C25" s="92">
        <f t="shared" ref="C25" si="3">SUM(C20:C24)</f>
        <v>0</v>
      </c>
      <c r="D25" s="92">
        <f t="shared" ref="D25" si="4">SUM(D20:D24)</f>
        <v>0</v>
      </c>
      <c r="E25" s="92">
        <f t="shared" ref="E25:F25" si="5">SUM(E20:E24)</f>
        <v>0</v>
      </c>
      <c r="F25" s="92">
        <f t="shared" si="2"/>
        <v>0</v>
      </c>
    </row>
    <row r="26" spans="1:6" ht="15" x14ac:dyDescent="0.25">
      <c r="A26" s="106" t="s">
        <v>83</v>
      </c>
      <c r="B26" s="106"/>
      <c r="C26" s="92">
        <f>C17-C25</f>
        <v>0</v>
      </c>
      <c r="D26" s="92">
        <f t="shared" ref="D26:E26" si="6">D17-D25</f>
        <v>0</v>
      </c>
      <c r="E26" s="92">
        <f t="shared" si="6"/>
        <v>0</v>
      </c>
      <c r="F26" s="92">
        <f t="shared" si="2"/>
        <v>0</v>
      </c>
    </row>
    <row r="27" spans="1:6" ht="12.75" customHeight="1" x14ac:dyDescent="0.2">
      <c r="B27" s="55"/>
      <c r="C27" s="73"/>
      <c r="D27" s="70"/>
      <c r="E27" s="70"/>
      <c r="F27" s="70"/>
    </row>
    <row r="28" spans="1:6" ht="15" x14ac:dyDescent="0.25">
      <c r="A28" s="3" t="s">
        <v>214</v>
      </c>
      <c r="B28" s="68"/>
      <c r="C28" s="69"/>
      <c r="D28" s="24" t="s">
        <v>20</v>
      </c>
      <c r="E28" s="24"/>
      <c r="F28" s="24"/>
    </row>
    <row r="29" spans="1:6" ht="12" customHeight="1" x14ac:dyDescent="0.25">
      <c r="B29" s="68"/>
      <c r="C29" s="68"/>
      <c r="D29" s="24"/>
      <c r="E29" s="24"/>
      <c r="F29" s="24"/>
    </row>
    <row r="30" spans="1:6" ht="15" x14ac:dyDescent="0.25">
      <c r="A30" s="111"/>
      <c r="B30" s="111"/>
      <c r="C30" s="71"/>
      <c r="D30" s="71"/>
      <c r="E30" s="55" t="s">
        <v>193</v>
      </c>
      <c r="F30" s="24"/>
    </row>
    <row r="31" spans="1:6" ht="15" x14ac:dyDescent="0.25">
      <c r="A31" s="100"/>
      <c r="B31" s="100"/>
      <c r="C31" s="24"/>
      <c r="D31" s="24"/>
      <c r="E31" s="24" t="s">
        <v>164</v>
      </c>
      <c r="F31" s="24"/>
    </row>
    <row r="32" spans="1:6" ht="15" x14ac:dyDescent="0.25">
      <c r="B32" s="68"/>
      <c r="C32" s="68" t="s">
        <v>32</v>
      </c>
      <c r="D32" s="24" t="s">
        <v>32</v>
      </c>
      <c r="E32" s="24"/>
      <c r="F32" s="24"/>
    </row>
    <row r="33" spans="2:6" ht="15" x14ac:dyDescent="0.25">
      <c r="B33" s="24"/>
      <c r="C33" s="24"/>
      <c r="D33" s="24"/>
      <c r="E33" s="24"/>
      <c r="F33" s="24"/>
    </row>
    <row r="34" spans="2:6" ht="15" x14ac:dyDescent="0.25">
      <c r="B34" s="24"/>
      <c r="C34" s="24"/>
      <c r="D34" s="24"/>
      <c r="E34" s="55"/>
      <c r="F34" s="55"/>
    </row>
    <row r="35" spans="2:6" ht="15" x14ac:dyDescent="0.25">
      <c r="B35" s="24"/>
      <c r="C35" s="24"/>
      <c r="D35" s="24"/>
      <c r="E35" s="24"/>
      <c r="F35" s="24"/>
    </row>
    <row r="36" spans="2:6" ht="15" x14ac:dyDescent="0.25">
      <c r="B36" s="24"/>
      <c r="C36" s="24"/>
      <c r="D36" s="24"/>
      <c r="E36" s="24"/>
      <c r="F36" s="24"/>
    </row>
    <row r="37" spans="2:6" ht="15" x14ac:dyDescent="0.25">
      <c r="B37" s="24"/>
      <c r="C37" s="24"/>
      <c r="D37" s="24"/>
      <c r="E37" s="24" t="s">
        <v>32</v>
      </c>
      <c r="F37" s="24"/>
    </row>
    <row r="38" spans="2:6" ht="15" x14ac:dyDescent="0.25">
      <c r="B38" s="24"/>
      <c r="C38" s="24"/>
      <c r="D38" s="24"/>
      <c r="E38" s="24"/>
      <c r="F38" s="24"/>
    </row>
    <row r="39" spans="2:6" ht="15" x14ac:dyDescent="0.25">
      <c r="B39" s="24"/>
      <c r="C39" s="24"/>
      <c r="D39" s="24"/>
      <c r="E39" s="24"/>
      <c r="F39" s="24"/>
    </row>
    <row r="40" spans="2:6" ht="15" x14ac:dyDescent="0.25">
      <c r="B40" s="24"/>
      <c r="C40" s="24"/>
      <c r="D40" s="24"/>
      <c r="E40" s="24"/>
      <c r="F40" s="24"/>
    </row>
    <row r="41" spans="2:6" ht="15" x14ac:dyDescent="0.25">
      <c r="B41" s="24"/>
      <c r="C41" s="24"/>
      <c r="D41" s="24"/>
      <c r="E41" s="24"/>
      <c r="F41" s="24"/>
    </row>
    <row r="42" spans="2:6" ht="15" x14ac:dyDescent="0.25">
      <c r="B42" s="24"/>
      <c r="C42" s="24"/>
      <c r="D42" s="24"/>
      <c r="E42" s="24"/>
      <c r="F42" s="24"/>
    </row>
    <row r="43" spans="2:6" ht="15" x14ac:dyDescent="0.25">
      <c r="B43" s="24"/>
      <c r="C43" s="24"/>
      <c r="D43" s="24"/>
      <c r="E43" s="24"/>
      <c r="F43" s="24"/>
    </row>
    <row r="44" spans="2:6" ht="15" x14ac:dyDescent="0.25">
      <c r="B44" s="24"/>
      <c r="C44" s="24"/>
      <c r="D44" s="24"/>
      <c r="E44" s="24"/>
      <c r="F44" s="24"/>
    </row>
    <row r="45" spans="2:6" ht="15" x14ac:dyDescent="0.25">
      <c r="B45" s="24"/>
      <c r="C45" s="24"/>
      <c r="D45" s="24"/>
      <c r="E45" s="24"/>
      <c r="F45" s="24"/>
    </row>
    <row r="46" spans="2:6" ht="15" x14ac:dyDescent="0.25">
      <c r="B46" s="24"/>
      <c r="C46" s="24"/>
      <c r="D46" s="24"/>
      <c r="E46" s="24"/>
      <c r="F46" s="24"/>
    </row>
    <row r="47" spans="2:6" ht="15" x14ac:dyDescent="0.25">
      <c r="B47" s="24"/>
      <c r="C47" s="24"/>
      <c r="D47" s="24"/>
      <c r="E47" s="24"/>
      <c r="F47" s="24"/>
    </row>
    <row r="48" spans="2:6" ht="15" x14ac:dyDescent="0.25">
      <c r="B48" s="24"/>
      <c r="C48" s="24"/>
      <c r="D48" s="24"/>
      <c r="E48" s="24"/>
      <c r="F48" s="24"/>
    </row>
    <row r="49" spans="2:6" ht="15" x14ac:dyDescent="0.25">
      <c r="B49" s="24"/>
      <c r="C49" s="24"/>
      <c r="D49" s="24"/>
      <c r="E49" s="24"/>
      <c r="F49" s="24"/>
    </row>
    <row r="50" spans="2:6" ht="15" x14ac:dyDescent="0.25">
      <c r="B50" s="24"/>
      <c r="C50" s="24"/>
      <c r="D50" s="24"/>
      <c r="E50" s="24"/>
      <c r="F50" s="24"/>
    </row>
    <row r="51" spans="2:6" ht="15" x14ac:dyDescent="0.25">
      <c r="B51" s="24"/>
      <c r="C51" s="24"/>
      <c r="D51" s="24"/>
      <c r="E51" s="24"/>
      <c r="F51" s="24"/>
    </row>
    <row r="52" spans="2:6" ht="15" x14ac:dyDescent="0.25">
      <c r="B52" s="24"/>
      <c r="C52" s="24"/>
      <c r="D52" s="24"/>
      <c r="E52" s="24"/>
      <c r="F52" s="24"/>
    </row>
    <row r="53" spans="2:6" ht="15" x14ac:dyDescent="0.25">
      <c r="B53" s="24"/>
      <c r="C53" s="24"/>
      <c r="D53" s="24"/>
      <c r="E53" s="24"/>
      <c r="F53" s="24"/>
    </row>
    <row r="54" spans="2:6" ht="15" x14ac:dyDescent="0.25">
      <c r="B54" s="24"/>
      <c r="C54" s="24"/>
      <c r="D54" s="24"/>
      <c r="E54" s="24"/>
      <c r="F54" s="24"/>
    </row>
    <row r="55" spans="2:6" ht="15" x14ac:dyDescent="0.25">
      <c r="B55" s="24"/>
      <c r="C55" s="24"/>
      <c r="D55" s="24"/>
      <c r="E55" s="24"/>
      <c r="F55" s="24"/>
    </row>
    <row r="56" spans="2:6" ht="15" x14ac:dyDescent="0.25">
      <c r="B56" s="24"/>
      <c r="C56" s="24"/>
      <c r="D56" s="24"/>
      <c r="E56" s="24"/>
      <c r="F56" s="24"/>
    </row>
    <row r="57" spans="2:6" ht="15" x14ac:dyDescent="0.25">
      <c r="B57" s="24"/>
      <c r="C57" s="24"/>
      <c r="D57" s="24"/>
      <c r="E57" s="24"/>
      <c r="F57" s="24"/>
    </row>
    <row r="58" spans="2:6" ht="15" x14ac:dyDescent="0.25">
      <c r="B58" s="24"/>
      <c r="C58" s="24"/>
      <c r="D58" s="24"/>
      <c r="E58" s="24"/>
      <c r="F58" s="24"/>
    </row>
    <row r="59" spans="2:6" ht="15" x14ac:dyDescent="0.25">
      <c r="B59" s="24"/>
      <c r="C59" s="24"/>
      <c r="D59" s="24"/>
      <c r="E59" s="24"/>
      <c r="F59" s="24"/>
    </row>
    <row r="60" spans="2:6" ht="15" x14ac:dyDescent="0.25">
      <c r="B60" s="24"/>
      <c r="C60" s="24"/>
      <c r="D60" s="24"/>
      <c r="E60" s="24"/>
      <c r="F60" s="24"/>
    </row>
    <row r="61" spans="2:6" ht="15" x14ac:dyDescent="0.25">
      <c r="B61" s="24"/>
      <c r="C61" s="24"/>
      <c r="D61" s="24"/>
      <c r="E61" s="24"/>
      <c r="F61" s="24"/>
    </row>
    <row r="62" spans="2:6" ht="15" x14ac:dyDescent="0.25">
      <c r="B62" s="24"/>
      <c r="C62" s="24"/>
      <c r="D62" s="24"/>
      <c r="E62" s="24"/>
      <c r="F62" s="24"/>
    </row>
    <row r="63" spans="2:6" ht="15" x14ac:dyDescent="0.25">
      <c r="B63" s="24"/>
      <c r="C63" s="24"/>
      <c r="D63" s="24"/>
      <c r="E63" s="24"/>
      <c r="F63" s="24"/>
    </row>
    <row r="64" spans="2:6" ht="15" x14ac:dyDescent="0.25">
      <c r="B64" s="24"/>
      <c r="C64" s="24"/>
      <c r="D64" s="24"/>
      <c r="E64" s="24"/>
      <c r="F64" s="24"/>
    </row>
    <row r="65" spans="2:6" ht="15" x14ac:dyDescent="0.25">
      <c r="B65" s="24"/>
      <c r="C65" s="24"/>
      <c r="D65" s="24"/>
      <c r="E65" s="24"/>
      <c r="F65" s="24"/>
    </row>
    <row r="66" spans="2:6" ht="15" x14ac:dyDescent="0.25">
      <c r="B66" s="24"/>
      <c r="C66" s="24"/>
      <c r="D66" s="24"/>
      <c r="E66" s="24"/>
      <c r="F66" s="24"/>
    </row>
    <row r="67" spans="2:6" ht="15" x14ac:dyDescent="0.25">
      <c r="B67" s="24"/>
      <c r="C67" s="24"/>
      <c r="D67" s="24"/>
      <c r="E67" s="24"/>
      <c r="F67" s="24"/>
    </row>
    <row r="68" spans="2:6" ht="15" x14ac:dyDescent="0.25">
      <c r="B68" s="24"/>
      <c r="C68" s="24"/>
      <c r="D68" s="24"/>
      <c r="E68" s="24"/>
      <c r="F68" s="24"/>
    </row>
    <row r="69" spans="2:6" ht="15" x14ac:dyDescent="0.25">
      <c r="B69" s="24"/>
      <c r="C69" s="24"/>
      <c r="D69" s="24"/>
      <c r="E69" s="24"/>
      <c r="F69" s="24"/>
    </row>
    <row r="70" spans="2:6" ht="15" x14ac:dyDescent="0.25">
      <c r="B70" s="24"/>
      <c r="C70" s="24"/>
      <c r="D70" s="24"/>
      <c r="E70" s="24"/>
      <c r="F70" s="24"/>
    </row>
    <row r="71" spans="2:6" ht="15" x14ac:dyDescent="0.25">
      <c r="B71" s="24"/>
      <c r="C71" s="24"/>
      <c r="D71" s="24"/>
      <c r="E71" s="24"/>
      <c r="F71" s="24"/>
    </row>
    <row r="72" spans="2:6" ht="15" x14ac:dyDescent="0.25">
      <c r="B72" s="24"/>
      <c r="C72" s="24"/>
      <c r="D72" s="24"/>
      <c r="E72" s="24"/>
      <c r="F72" s="24"/>
    </row>
    <row r="73" spans="2:6" ht="15" x14ac:dyDescent="0.25">
      <c r="B73" s="24"/>
      <c r="C73" s="24"/>
      <c r="D73" s="24"/>
      <c r="E73" s="24"/>
      <c r="F73" s="24"/>
    </row>
    <row r="203" spans="2:4" x14ac:dyDescent="0.2">
      <c r="B203" t="s">
        <v>189</v>
      </c>
      <c r="C203" t="s">
        <v>94</v>
      </c>
      <c r="D203">
        <v>1400</v>
      </c>
    </row>
    <row r="207" spans="2:4" x14ac:dyDescent="0.2">
      <c r="D207">
        <f>SUM(D175:D206)</f>
        <v>1400</v>
      </c>
    </row>
    <row r="218" spans="2:4" x14ac:dyDescent="0.2">
      <c r="B218" t="s">
        <v>189</v>
      </c>
      <c r="C218" s="2" t="s">
        <v>161</v>
      </c>
      <c r="D218" s="1">
        <v>6000</v>
      </c>
    </row>
    <row r="223" spans="2:4" x14ac:dyDescent="0.2">
      <c r="C223" t="s">
        <v>190</v>
      </c>
      <c r="D223">
        <v>6912.07</v>
      </c>
    </row>
    <row r="256" spans="4:4" x14ac:dyDescent="0.2">
      <c r="D256" s="6">
        <f>SUM(D218:D255)</f>
        <v>12912.07</v>
      </c>
    </row>
    <row r="302" spans="4:4" x14ac:dyDescent="0.2">
      <c r="D302">
        <f>SUM(D269:D301)</f>
        <v>0</v>
      </c>
    </row>
    <row r="343" spans="4:4" x14ac:dyDescent="0.2">
      <c r="D343">
        <f>SUM(D316:D342)</f>
        <v>0</v>
      </c>
    </row>
  </sheetData>
  <mergeCells count="16">
    <mergeCell ref="A6:F6"/>
    <mergeCell ref="A31:B31"/>
    <mergeCell ref="A1:F1"/>
    <mergeCell ref="A2:F2"/>
    <mergeCell ref="A3:F3"/>
    <mergeCell ref="A4:F4"/>
    <mergeCell ref="A5:F5"/>
    <mergeCell ref="A10:B10"/>
    <mergeCell ref="A26:B26"/>
    <mergeCell ref="A19:B19"/>
    <mergeCell ref="F8:F9"/>
    <mergeCell ref="B7:F7"/>
    <mergeCell ref="A30:B30"/>
    <mergeCell ref="B8:B9"/>
    <mergeCell ref="C8:D8"/>
    <mergeCell ref="E8:E9"/>
  </mergeCells>
  <phoneticPr fontId="4" type="noConversion"/>
  <pageMargins left="1.25" right="0.25" top="0.5" bottom="0.25" header="0.5" footer="0.5"/>
  <pageSetup scale="63" orientation="portrait" horizontalDpi="300" verticalDpi="300" r:id="rId1"/>
  <headerFooter alignWithMargins="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TRIAL BALANCE</vt:lpstr>
      <vt:lpstr>Sheet1</vt:lpstr>
      <vt:lpstr>Sheet1!Print_Area</vt:lpstr>
    </vt:vector>
  </TitlesOfParts>
  <Company>Acctg.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Mun. of Piñan</dc:creator>
  <cp:lastModifiedBy>Christian Flores</cp:lastModifiedBy>
  <cp:lastPrinted>2016-06-07T18:40:20Z</cp:lastPrinted>
  <dcterms:created xsi:type="dcterms:W3CDTF">2002-02-19T08:14:54Z</dcterms:created>
  <dcterms:modified xsi:type="dcterms:W3CDTF">2024-01-26T21:44:54Z</dcterms:modified>
</cp:coreProperties>
</file>