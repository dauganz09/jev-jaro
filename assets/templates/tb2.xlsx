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pp\htdocs\jev-jaro\assets\templates\"/>
    </mc:Choice>
  </mc:AlternateContent>
  <xr:revisionPtr revIDLastSave="0" documentId="13_ncr:40009_{492A4A16-6C46-4344-8844-B1BC28AE9081}" xr6:coauthVersionLast="47" xr6:coauthVersionMax="47" xr10:uidLastSave="{00000000-0000-0000-0000-000000000000}"/>
  <bookViews>
    <workbookView xWindow="-120" yWindow="-120" windowWidth="29040" windowHeight="15840" tabRatio="872" firstSheet="15" activeTab="15"/>
  </bookViews>
  <sheets>
    <sheet name="JANUARY" sheetId="45" state="hidden" r:id="rId1"/>
    <sheet name="FEBRUARY" sheetId="46" state="hidden" r:id="rId2"/>
    <sheet name="MARCH" sheetId="47" state="hidden" r:id="rId3"/>
    <sheet name="JAN" sheetId="72" state="hidden" r:id="rId4"/>
    <sheet name="FEB" sheetId="71" state="hidden" r:id="rId5"/>
    <sheet name="MAR" sheetId="64" state="hidden" r:id="rId6"/>
    <sheet name="APR" sheetId="68" state="hidden" r:id="rId7"/>
    <sheet name="MAY" sheetId="69" state="hidden" r:id="rId8"/>
    <sheet name="JUNE" sheetId="60" state="hidden" r:id="rId9"/>
    <sheet name="JULY" sheetId="70" state="hidden" r:id="rId10"/>
    <sheet name="AUGUST" sheetId="62" state="hidden" r:id="rId11"/>
    <sheet name="SEPTEMBER" sheetId="63" state="hidden" r:id="rId12"/>
    <sheet name="OCTOBER" sheetId="65" state="hidden" r:id="rId13"/>
    <sheet name="NOVEMBER" sheetId="66" state="hidden" r:id="rId14"/>
    <sheet name="DECEMBER" sheetId="67" state="hidden" r:id="rId15"/>
    <sheet name="TL" sheetId="73" r:id="rId16"/>
  </sheets>
  <externalReferences>
    <externalReference r:id="rId17"/>
    <externalReference r:id="rId18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6" i="65" l="1"/>
  <c r="C13" i="65"/>
  <c r="C210" i="65"/>
  <c r="D210" i="66"/>
  <c r="C210" i="67"/>
  <c r="E13" i="66"/>
  <c r="D110" i="65"/>
  <c r="E110" i="65"/>
  <c r="E13" i="72"/>
  <c r="E143" i="70"/>
  <c r="E13" i="70"/>
  <c r="E143" i="72"/>
  <c r="E143" i="66"/>
  <c r="E11" i="63"/>
  <c r="E167" i="62"/>
  <c r="E11" i="60"/>
  <c r="E164" i="69"/>
  <c r="E85" i="69"/>
  <c r="E115" i="68"/>
  <c r="E157" i="68"/>
  <c r="E167" i="64"/>
  <c r="E115" i="66"/>
  <c r="E85" i="62"/>
  <c r="E43" i="64"/>
  <c r="E85" i="68"/>
  <c r="E183" i="70"/>
  <c r="E97" i="72"/>
  <c r="E136" i="67"/>
  <c r="E137" i="67"/>
  <c r="E138" i="67"/>
  <c r="E139" i="67"/>
  <c r="E140" i="67"/>
  <c r="E141" i="67"/>
  <c r="E142" i="67"/>
  <c r="E143" i="67"/>
  <c r="E144" i="67"/>
  <c r="E145" i="67"/>
  <c r="E146" i="67"/>
  <c r="E147" i="67"/>
  <c r="E148" i="67"/>
  <c r="E149" i="67"/>
  <c r="E150" i="67"/>
  <c r="E151" i="67"/>
  <c r="E152" i="67"/>
  <c r="E153" i="67"/>
  <c r="E154" i="67"/>
  <c r="E155" i="67"/>
  <c r="E156" i="67"/>
  <c r="E157" i="67"/>
  <c r="E158" i="67"/>
  <c r="E159" i="67"/>
  <c r="E160" i="67"/>
  <c r="E161" i="67"/>
  <c r="E162" i="67"/>
  <c r="E163" i="67"/>
  <c r="E164" i="67"/>
  <c r="E165" i="67"/>
  <c r="E166" i="67"/>
  <c r="E167" i="67"/>
  <c r="E170" i="67"/>
  <c r="E171" i="67"/>
  <c r="E172" i="67"/>
  <c r="E173" i="67"/>
  <c r="E174" i="67"/>
  <c r="E175" i="67"/>
  <c r="E176" i="67"/>
  <c r="E177" i="67"/>
  <c r="E178" i="67"/>
  <c r="E179" i="67"/>
  <c r="E180" i="67"/>
  <c r="E181" i="67"/>
  <c r="E182" i="67"/>
  <c r="E183" i="67"/>
  <c r="E184" i="67"/>
  <c r="E185" i="67"/>
  <c r="E186" i="67"/>
  <c r="E187" i="67"/>
  <c r="E188" i="67"/>
  <c r="E189" i="67"/>
  <c r="E190" i="67"/>
  <c r="E191" i="67"/>
  <c r="E192" i="67"/>
  <c r="E193" i="67"/>
  <c r="E194" i="67"/>
  <c r="E195" i="67"/>
  <c r="E196" i="67"/>
  <c r="E197" i="67"/>
  <c r="E198" i="67"/>
  <c r="E199" i="67"/>
  <c r="E200" i="67"/>
  <c r="E201" i="67"/>
  <c r="E202" i="67"/>
  <c r="E203" i="67"/>
  <c r="E204" i="67"/>
  <c r="E205" i="67"/>
  <c r="E206" i="67"/>
  <c r="E207" i="67"/>
  <c r="E208" i="67"/>
  <c r="E209" i="67"/>
  <c r="E135" i="67"/>
  <c r="E84" i="67"/>
  <c r="E86" i="67"/>
  <c r="E87" i="67"/>
  <c r="E88" i="67"/>
  <c r="E89" i="67"/>
  <c r="E90" i="67"/>
  <c r="E91" i="67"/>
  <c r="E92" i="67"/>
  <c r="E93" i="67"/>
  <c r="E94" i="67"/>
  <c r="E95" i="67"/>
  <c r="E98" i="67"/>
  <c r="E99" i="67"/>
  <c r="E100" i="67"/>
  <c r="E101" i="67"/>
  <c r="E102" i="67"/>
  <c r="E103" i="67"/>
  <c r="E104" i="67"/>
  <c r="E105" i="67"/>
  <c r="E106" i="67"/>
  <c r="E107" i="67"/>
  <c r="E108" i="67"/>
  <c r="E109" i="67"/>
  <c r="E110" i="67"/>
  <c r="E111" i="67"/>
  <c r="E112" i="67"/>
  <c r="E113" i="67"/>
  <c r="E114" i="67"/>
  <c r="E115" i="67"/>
  <c r="E116" i="67"/>
  <c r="E117" i="67"/>
  <c r="E118" i="67"/>
  <c r="E119" i="67"/>
  <c r="E120" i="67"/>
  <c r="E121" i="67"/>
  <c r="E122" i="67"/>
  <c r="E123" i="67"/>
  <c r="E124" i="67"/>
  <c r="E125" i="67"/>
  <c r="E126" i="67"/>
  <c r="E127" i="67"/>
  <c r="E128" i="67"/>
  <c r="E129" i="67"/>
  <c r="E130" i="67"/>
  <c r="E131" i="67"/>
  <c r="E132" i="67"/>
  <c r="E133" i="67"/>
  <c r="E134" i="67"/>
  <c r="E83" i="67"/>
  <c r="E12" i="67"/>
  <c r="E14" i="67"/>
  <c r="E15" i="67"/>
  <c r="E16" i="67"/>
  <c r="E17" i="67"/>
  <c r="E18" i="67"/>
  <c r="E19" i="67"/>
  <c r="E20" i="67"/>
  <c r="E21" i="67"/>
  <c r="E22" i="67"/>
  <c r="E23" i="67"/>
  <c r="E24" i="67"/>
  <c r="E25" i="67"/>
  <c r="E26" i="67"/>
  <c r="E27" i="67"/>
  <c r="E28" i="67"/>
  <c r="E29" i="67"/>
  <c r="E30" i="67"/>
  <c r="E32" i="67"/>
  <c r="E33" i="67"/>
  <c r="E34" i="67"/>
  <c r="E35" i="67"/>
  <c r="E36" i="67"/>
  <c r="E37" i="67"/>
  <c r="E38" i="67"/>
  <c r="E39" i="67"/>
  <c r="E40" i="67"/>
  <c r="E41" i="67"/>
  <c r="E42" i="67"/>
  <c r="E43" i="67"/>
  <c r="E44" i="67"/>
  <c r="E45" i="67"/>
  <c r="E46" i="67"/>
  <c r="E47" i="67"/>
  <c r="E48" i="67"/>
  <c r="E49" i="67"/>
  <c r="E50" i="67"/>
  <c r="E51" i="67"/>
  <c r="E52" i="67"/>
  <c r="E53" i="67"/>
  <c r="E54" i="67"/>
  <c r="E55" i="67"/>
  <c r="E56" i="67"/>
  <c r="E57" i="67"/>
  <c r="E58" i="67"/>
  <c r="E59" i="67"/>
  <c r="E60" i="67"/>
  <c r="E61" i="67"/>
  <c r="E62" i="67"/>
  <c r="E63" i="67"/>
  <c r="E64" i="67"/>
  <c r="E65" i="67"/>
  <c r="E66" i="67"/>
  <c r="E67" i="67"/>
  <c r="E68" i="67"/>
  <c r="E69" i="67"/>
  <c r="E70" i="67"/>
  <c r="E71" i="67"/>
  <c r="E72" i="67"/>
  <c r="E73" i="67"/>
  <c r="E74" i="67"/>
  <c r="E75" i="67"/>
  <c r="E76" i="67"/>
  <c r="E77" i="67"/>
  <c r="E78" i="67"/>
  <c r="E79" i="67"/>
  <c r="E80" i="67"/>
  <c r="E81" i="67"/>
  <c r="E82" i="67"/>
  <c r="E136" i="66"/>
  <c r="E137" i="66"/>
  <c r="E138" i="66"/>
  <c r="E139" i="66"/>
  <c r="E140" i="66"/>
  <c r="E141" i="66"/>
  <c r="E142" i="66"/>
  <c r="E144" i="66"/>
  <c r="E145" i="66"/>
  <c r="E146" i="66"/>
  <c r="E147" i="66"/>
  <c r="E148" i="66"/>
  <c r="E149" i="66"/>
  <c r="E150" i="66"/>
  <c r="E151" i="66"/>
  <c r="E152" i="66"/>
  <c r="E153" i="66"/>
  <c r="E154" i="66"/>
  <c r="E155" i="66"/>
  <c r="E156" i="66"/>
  <c r="E157" i="66"/>
  <c r="E158" i="66"/>
  <c r="E159" i="66"/>
  <c r="E160" i="66"/>
  <c r="E161" i="66"/>
  <c r="E162" i="66"/>
  <c r="E163" i="66"/>
  <c r="E164" i="66"/>
  <c r="E165" i="66"/>
  <c r="E166" i="66"/>
  <c r="E167" i="66"/>
  <c r="E168" i="66"/>
  <c r="E169" i="66"/>
  <c r="E170" i="66"/>
  <c r="E171" i="66"/>
  <c r="E172" i="66"/>
  <c r="E173" i="66"/>
  <c r="E174" i="66"/>
  <c r="E175" i="66"/>
  <c r="E176" i="66"/>
  <c r="E177" i="66"/>
  <c r="E178" i="66"/>
  <c r="E179" i="66"/>
  <c r="E180" i="66"/>
  <c r="E181" i="66"/>
  <c r="E182" i="66"/>
  <c r="E183" i="66"/>
  <c r="E184" i="66"/>
  <c r="E185" i="66"/>
  <c r="E186" i="66"/>
  <c r="E187" i="66"/>
  <c r="E188" i="66"/>
  <c r="E189" i="66"/>
  <c r="E190" i="66"/>
  <c r="E191" i="66"/>
  <c r="E192" i="66"/>
  <c r="E193" i="66"/>
  <c r="E194" i="66"/>
  <c r="E195" i="66"/>
  <c r="E196" i="66"/>
  <c r="E197" i="66"/>
  <c r="E198" i="66"/>
  <c r="E199" i="66"/>
  <c r="E200" i="66"/>
  <c r="E201" i="66"/>
  <c r="E202" i="66"/>
  <c r="E203" i="66"/>
  <c r="E204" i="66"/>
  <c r="E205" i="66"/>
  <c r="E206" i="66"/>
  <c r="E207" i="66"/>
  <c r="E208" i="66"/>
  <c r="E209" i="66"/>
  <c r="E135" i="66"/>
  <c r="E84" i="66"/>
  <c r="E85" i="66"/>
  <c r="E86" i="66"/>
  <c r="E87" i="66"/>
  <c r="E88" i="66"/>
  <c r="E89" i="66"/>
  <c r="E90" i="66"/>
  <c r="E91" i="66"/>
  <c r="E92" i="66"/>
  <c r="E93" i="66"/>
  <c r="E94" i="66"/>
  <c r="E95" i="66"/>
  <c r="E97" i="66"/>
  <c r="E98" i="66"/>
  <c r="E99" i="66"/>
  <c r="E100" i="66"/>
  <c r="E101" i="66"/>
  <c r="E102" i="66"/>
  <c r="E103" i="66"/>
  <c r="E104" i="66"/>
  <c r="E105" i="66"/>
  <c r="E106" i="66"/>
  <c r="E107" i="66"/>
  <c r="E108" i="66"/>
  <c r="E109" i="66"/>
  <c r="E110" i="66"/>
  <c r="E111" i="66"/>
  <c r="E112" i="66"/>
  <c r="E113" i="66"/>
  <c r="E114" i="66"/>
  <c r="E116" i="66"/>
  <c r="E117" i="66"/>
  <c r="E118" i="66"/>
  <c r="E119" i="66"/>
  <c r="E120" i="66"/>
  <c r="E121" i="66"/>
  <c r="E122" i="66"/>
  <c r="E123" i="66"/>
  <c r="E124" i="66"/>
  <c r="E125" i="66"/>
  <c r="E126" i="66"/>
  <c r="E127" i="66"/>
  <c r="E128" i="66"/>
  <c r="E129" i="66"/>
  <c r="E130" i="66"/>
  <c r="E131" i="66"/>
  <c r="E132" i="66"/>
  <c r="E133" i="66"/>
  <c r="E134" i="66"/>
  <c r="E83" i="66"/>
  <c r="E12" i="66"/>
  <c r="E14" i="66"/>
  <c r="E15" i="66"/>
  <c r="E16" i="66"/>
  <c r="E17" i="66"/>
  <c r="E18" i="66"/>
  <c r="E19" i="66"/>
  <c r="E20" i="66"/>
  <c r="E21" i="66"/>
  <c r="E22" i="66"/>
  <c r="E23" i="66"/>
  <c r="E24" i="66"/>
  <c r="E25" i="66"/>
  <c r="E26" i="66"/>
  <c r="E27" i="66"/>
  <c r="E28" i="66"/>
  <c r="E29" i="66"/>
  <c r="E30" i="66"/>
  <c r="E31" i="66"/>
  <c r="E32" i="66"/>
  <c r="E33" i="66"/>
  <c r="E34" i="66"/>
  <c r="E35" i="66"/>
  <c r="E36" i="66"/>
  <c r="E37" i="66"/>
  <c r="E38" i="66"/>
  <c r="E39" i="66"/>
  <c r="E40" i="66"/>
  <c r="E41" i="66"/>
  <c r="E42" i="66"/>
  <c r="E43" i="66"/>
  <c r="E44" i="66"/>
  <c r="E45" i="66"/>
  <c r="E46" i="66"/>
  <c r="E47" i="66"/>
  <c r="E48" i="66"/>
  <c r="E49" i="66"/>
  <c r="E50" i="66"/>
  <c r="E51" i="66"/>
  <c r="E52" i="66"/>
  <c r="E53" i="66"/>
  <c r="E54" i="66"/>
  <c r="E55" i="66"/>
  <c r="E56" i="66"/>
  <c r="E57" i="66"/>
  <c r="E58" i="66"/>
  <c r="E59" i="66"/>
  <c r="E60" i="66"/>
  <c r="E61" i="66"/>
  <c r="E62" i="66"/>
  <c r="E63" i="66"/>
  <c r="E64" i="66"/>
  <c r="E65" i="66"/>
  <c r="E66" i="66"/>
  <c r="E67" i="66"/>
  <c r="E68" i="66"/>
  <c r="E69" i="66"/>
  <c r="E70" i="66"/>
  <c r="E71" i="66"/>
  <c r="E72" i="66"/>
  <c r="E73" i="66"/>
  <c r="E74" i="66"/>
  <c r="E75" i="66"/>
  <c r="E76" i="66"/>
  <c r="E77" i="66"/>
  <c r="E78" i="66"/>
  <c r="E79" i="66"/>
  <c r="E80" i="66"/>
  <c r="E81" i="66"/>
  <c r="E82" i="66"/>
  <c r="E136" i="65"/>
  <c r="E137" i="65"/>
  <c r="E138" i="65"/>
  <c r="E139" i="65"/>
  <c r="E140" i="65"/>
  <c r="E141" i="65"/>
  <c r="E142" i="65"/>
  <c r="E143" i="65"/>
  <c r="E145" i="65"/>
  <c r="E146" i="65"/>
  <c r="E147" i="65"/>
  <c r="E148" i="65"/>
  <c r="E149" i="65"/>
  <c r="E150" i="65"/>
  <c r="E151" i="65"/>
  <c r="E152" i="65"/>
  <c r="E153" i="65"/>
  <c r="E154" i="65"/>
  <c r="E155" i="65"/>
  <c r="E156" i="65"/>
  <c r="E157" i="65"/>
  <c r="E158" i="65"/>
  <c r="E159" i="65"/>
  <c r="E160" i="65"/>
  <c r="E161" i="65"/>
  <c r="E162" i="65"/>
  <c r="E163" i="65"/>
  <c r="E164" i="65"/>
  <c r="E165" i="65"/>
  <c r="E166" i="65"/>
  <c r="E167" i="65"/>
  <c r="E168" i="65"/>
  <c r="E169" i="65"/>
  <c r="E170" i="65"/>
  <c r="E171" i="65"/>
  <c r="E172" i="65"/>
  <c r="E173" i="65"/>
  <c r="E174" i="65"/>
  <c r="E175" i="65"/>
  <c r="E176" i="65"/>
  <c r="E177" i="65"/>
  <c r="E178" i="65"/>
  <c r="E179" i="65"/>
  <c r="E180" i="65"/>
  <c r="E181" i="65"/>
  <c r="E182" i="65"/>
  <c r="E183" i="65"/>
  <c r="E184" i="65"/>
  <c r="E185" i="65"/>
  <c r="E186" i="65"/>
  <c r="E187" i="65"/>
  <c r="E188" i="65"/>
  <c r="E189" i="65"/>
  <c r="E190" i="65"/>
  <c r="E191" i="65"/>
  <c r="E192" i="65"/>
  <c r="E193" i="65"/>
  <c r="E194" i="65"/>
  <c r="E195" i="65"/>
  <c r="E196" i="65"/>
  <c r="E197" i="65"/>
  <c r="E198" i="65"/>
  <c r="E199" i="65"/>
  <c r="E200" i="65"/>
  <c r="E201" i="65"/>
  <c r="E202" i="65"/>
  <c r="E203" i="65"/>
  <c r="E204" i="65"/>
  <c r="E205" i="65"/>
  <c r="E206" i="65"/>
  <c r="E207" i="65"/>
  <c r="E208" i="65"/>
  <c r="E209" i="65"/>
  <c r="E135" i="65"/>
  <c r="E84" i="65"/>
  <c r="E85" i="65"/>
  <c r="E86" i="65"/>
  <c r="E87" i="65"/>
  <c r="E88" i="65"/>
  <c r="E89" i="65"/>
  <c r="E90" i="65"/>
  <c r="E91" i="65"/>
  <c r="E92" i="65"/>
  <c r="E93" i="65"/>
  <c r="E94" i="65"/>
  <c r="E95" i="65"/>
  <c r="E97" i="65"/>
  <c r="E98" i="65"/>
  <c r="E99" i="65"/>
  <c r="E100" i="65"/>
  <c r="E101" i="65"/>
  <c r="E102" i="65"/>
  <c r="E103" i="65"/>
  <c r="E104" i="65"/>
  <c r="E105" i="65"/>
  <c r="E106" i="65"/>
  <c r="E107" i="65"/>
  <c r="E108" i="65"/>
  <c r="E109" i="65"/>
  <c r="E111" i="65"/>
  <c r="E112" i="65"/>
  <c r="E113" i="65"/>
  <c r="E114" i="65"/>
  <c r="E115" i="65"/>
  <c r="E116" i="65"/>
  <c r="E117" i="65"/>
  <c r="E118" i="65"/>
  <c r="E119" i="65"/>
  <c r="E120" i="65"/>
  <c r="E121" i="65"/>
  <c r="E122" i="65"/>
  <c r="E123" i="65"/>
  <c r="E124" i="65"/>
  <c r="E125" i="65"/>
  <c r="E126" i="65"/>
  <c r="E127" i="65"/>
  <c r="E128" i="65"/>
  <c r="E129" i="65"/>
  <c r="E130" i="65"/>
  <c r="E131" i="65"/>
  <c r="E132" i="65"/>
  <c r="E133" i="65"/>
  <c r="E134" i="65"/>
  <c r="E83" i="65"/>
  <c r="E12" i="65"/>
  <c r="E14" i="65"/>
  <c r="E15" i="65"/>
  <c r="E16" i="65"/>
  <c r="E17" i="65"/>
  <c r="E18" i="65"/>
  <c r="E19" i="65"/>
  <c r="E20" i="65"/>
  <c r="E21" i="65"/>
  <c r="E22" i="65"/>
  <c r="E23" i="65"/>
  <c r="E24" i="65"/>
  <c r="E25" i="65"/>
  <c r="E26" i="65"/>
  <c r="E27" i="65"/>
  <c r="E28" i="65"/>
  <c r="E29" i="65"/>
  <c r="E30" i="65"/>
  <c r="E31" i="65"/>
  <c r="E32" i="65"/>
  <c r="E33" i="65"/>
  <c r="E34" i="65"/>
  <c r="E35" i="65"/>
  <c r="E36" i="65"/>
  <c r="E37" i="65"/>
  <c r="E38" i="65"/>
  <c r="E39" i="65"/>
  <c r="E40" i="65"/>
  <c r="E41" i="65"/>
  <c r="E42" i="65"/>
  <c r="E43" i="65"/>
  <c r="E44" i="65"/>
  <c r="E45" i="65"/>
  <c r="E46" i="65"/>
  <c r="E47" i="65"/>
  <c r="E48" i="65"/>
  <c r="E49" i="65"/>
  <c r="E50" i="65"/>
  <c r="E51" i="65"/>
  <c r="E52" i="65"/>
  <c r="E53" i="65"/>
  <c r="E54" i="65"/>
  <c r="E55" i="65"/>
  <c r="E56" i="65"/>
  <c r="E57" i="65"/>
  <c r="E58" i="65"/>
  <c r="E59" i="65"/>
  <c r="E60" i="65"/>
  <c r="E61" i="65"/>
  <c r="E62" i="65"/>
  <c r="E63" i="65"/>
  <c r="E64" i="65"/>
  <c r="E65" i="65"/>
  <c r="E66" i="65"/>
  <c r="E67" i="65"/>
  <c r="E68" i="65"/>
  <c r="E69" i="65"/>
  <c r="E70" i="65"/>
  <c r="E71" i="65"/>
  <c r="E72" i="65"/>
  <c r="E73" i="65"/>
  <c r="E74" i="65"/>
  <c r="E75" i="65"/>
  <c r="E76" i="65"/>
  <c r="E77" i="65"/>
  <c r="E78" i="65"/>
  <c r="E80" i="65"/>
  <c r="E81" i="65"/>
  <c r="E82" i="65"/>
  <c r="E11" i="65"/>
  <c r="E136" i="63"/>
  <c r="E137" i="63"/>
  <c r="E138" i="63"/>
  <c r="E139" i="63"/>
  <c r="E140" i="63"/>
  <c r="E141" i="63"/>
  <c r="E142" i="63"/>
  <c r="E143" i="63"/>
  <c r="E144" i="63"/>
  <c r="E145" i="63"/>
  <c r="E146" i="63"/>
  <c r="E147" i="63"/>
  <c r="E148" i="63"/>
  <c r="E149" i="63"/>
  <c r="E150" i="63"/>
  <c r="E151" i="63"/>
  <c r="E152" i="63"/>
  <c r="E153" i="63"/>
  <c r="E154" i="63"/>
  <c r="E155" i="63"/>
  <c r="E156" i="63"/>
  <c r="E157" i="63"/>
  <c r="E158" i="63"/>
  <c r="E159" i="63"/>
  <c r="E160" i="63"/>
  <c r="E161" i="63"/>
  <c r="E162" i="63"/>
  <c r="E163" i="63"/>
  <c r="E164" i="63"/>
  <c r="E165" i="63"/>
  <c r="E166" i="63"/>
  <c r="E167" i="63"/>
  <c r="E168" i="63"/>
  <c r="E169" i="63"/>
  <c r="E170" i="63"/>
  <c r="E171" i="63"/>
  <c r="E172" i="63"/>
  <c r="E173" i="63"/>
  <c r="E174" i="63"/>
  <c r="E175" i="63"/>
  <c r="E176" i="63"/>
  <c r="E177" i="63"/>
  <c r="E178" i="63"/>
  <c r="E179" i="63"/>
  <c r="E180" i="63"/>
  <c r="E181" i="63"/>
  <c r="E182" i="63"/>
  <c r="E183" i="63"/>
  <c r="E184" i="63"/>
  <c r="E185" i="63"/>
  <c r="E186" i="63"/>
  <c r="E187" i="63"/>
  <c r="E188" i="63"/>
  <c r="E189" i="63"/>
  <c r="E190" i="63"/>
  <c r="E191" i="63"/>
  <c r="E192" i="63"/>
  <c r="E193" i="63"/>
  <c r="E194" i="63"/>
  <c r="E195" i="63"/>
  <c r="E196" i="63"/>
  <c r="E197" i="63"/>
  <c r="E198" i="63"/>
  <c r="E199" i="63"/>
  <c r="E200" i="63"/>
  <c r="E201" i="63"/>
  <c r="E202" i="63"/>
  <c r="E203" i="63"/>
  <c r="E204" i="63"/>
  <c r="E205" i="63"/>
  <c r="E206" i="63"/>
  <c r="E207" i="63"/>
  <c r="E208" i="63"/>
  <c r="E209" i="63"/>
  <c r="E135" i="63"/>
  <c r="E84" i="63"/>
  <c r="E85" i="63"/>
  <c r="E86" i="63"/>
  <c r="E87" i="63"/>
  <c r="E88" i="63"/>
  <c r="E89" i="63"/>
  <c r="E90" i="63"/>
  <c r="E91" i="63"/>
  <c r="E92" i="63"/>
  <c r="E93" i="63"/>
  <c r="E94" i="63"/>
  <c r="E95" i="63"/>
  <c r="E97" i="63"/>
  <c r="E98" i="63"/>
  <c r="E99" i="63"/>
  <c r="E100" i="63"/>
  <c r="E101" i="63"/>
  <c r="E102" i="63"/>
  <c r="E103" i="63"/>
  <c r="E104" i="63"/>
  <c r="E105" i="63"/>
  <c r="E106" i="63"/>
  <c r="E107" i="63"/>
  <c r="E108" i="63"/>
  <c r="E109" i="63"/>
  <c r="E110" i="63"/>
  <c r="E111" i="63"/>
  <c r="E112" i="63"/>
  <c r="E113" i="63"/>
  <c r="E114" i="63"/>
  <c r="E115" i="63"/>
  <c r="E116" i="63"/>
  <c r="E117" i="63"/>
  <c r="E118" i="63"/>
  <c r="E119" i="63"/>
  <c r="E120" i="63"/>
  <c r="E121" i="63"/>
  <c r="E122" i="63"/>
  <c r="E123" i="63"/>
  <c r="E124" i="63"/>
  <c r="E125" i="63"/>
  <c r="E126" i="63"/>
  <c r="E127" i="63"/>
  <c r="E128" i="63"/>
  <c r="E129" i="63"/>
  <c r="E130" i="63"/>
  <c r="E131" i="63"/>
  <c r="E132" i="63"/>
  <c r="E133" i="63"/>
  <c r="E134" i="63"/>
  <c r="E83" i="63"/>
  <c r="E82" i="63"/>
  <c r="E12" i="63"/>
  <c r="E14" i="63"/>
  <c r="E15" i="63"/>
  <c r="E16" i="63"/>
  <c r="E17" i="63"/>
  <c r="E18" i="63"/>
  <c r="E19" i="63"/>
  <c r="E20" i="63"/>
  <c r="E21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6" i="63"/>
  <c r="E37" i="63"/>
  <c r="E38" i="63"/>
  <c r="E39" i="63"/>
  <c r="E40" i="63"/>
  <c r="E41" i="63"/>
  <c r="E42" i="63"/>
  <c r="E43" i="63"/>
  <c r="E44" i="63"/>
  <c r="E45" i="63"/>
  <c r="E46" i="63"/>
  <c r="E47" i="63"/>
  <c r="E48" i="63"/>
  <c r="E49" i="63"/>
  <c r="E50" i="63"/>
  <c r="E51" i="63"/>
  <c r="E52" i="63"/>
  <c r="E53" i="63"/>
  <c r="E54" i="63"/>
  <c r="E55" i="63"/>
  <c r="E56" i="63"/>
  <c r="E57" i="63"/>
  <c r="E58" i="63"/>
  <c r="E59" i="63"/>
  <c r="E60" i="63"/>
  <c r="E61" i="63"/>
  <c r="E62" i="63"/>
  <c r="E63" i="63"/>
  <c r="E64" i="63"/>
  <c r="E65" i="63"/>
  <c r="E66" i="63"/>
  <c r="E67" i="63"/>
  <c r="E68" i="63"/>
  <c r="E69" i="63"/>
  <c r="E70" i="63"/>
  <c r="E71" i="63"/>
  <c r="E72" i="63"/>
  <c r="E73" i="63"/>
  <c r="E74" i="63"/>
  <c r="E75" i="63"/>
  <c r="E76" i="63"/>
  <c r="E77" i="63"/>
  <c r="E78" i="63"/>
  <c r="E79" i="63"/>
  <c r="E80" i="63"/>
  <c r="E81" i="63"/>
  <c r="E136" i="62"/>
  <c r="E137" i="62"/>
  <c r="E138" i="62"/>
  <c r="E139" i="62"/>
  <c r="E140" i="62"/>
  <c r="E141" i="62"/>
  <c r="E142" i="62"/>
  <c r="E143" i="62"/>
  <c r="E144" i="62"/>
  <c r="E145" i="62"/>
  <c r="E146" i="62"/>
  <c r="E147" i="62"/>
  <c r="E148" i="62"/>
  <c r="E149" i="62"/>
  <c r="E150" i="62"/>
  <c r="E151" i="62"/>
  <c r="E152" i="62"/>
  <c r="E153" i="62"/>
  <c r="E154" i="62"/>
  <c r="E155" i="62"/>
  <c r="E156" i="62"/>
  <c r="E157" i="62"/>
  <c r="E158" i="62"/>
  <c r="E159" i="62"/>
  <c r="E160" i="62"/>
  <c r="E161" i="62"/>
  <c r="E162" i="62"/>
  <c r="E163" i="62"/>
  <c r="E164" i="62"/>
  <c r="E165" i="62"/>
  <c r="E166" i="62"/>
  <c r="E168" i="62"/>
  <c r="E169" i="62"/>
  <c r="E170" i="62"/>
  <c r="E171" i="62"/>
  <c r="E172" i="62"/>
  <c r="E173" i="62"/>
  <c r="E174" i="62"/>
  <c r="E175" i="62"/>
  <c r="E176" i="62"/>
  <c r="E177" i="62"/>
  <c r="E178" i="62"/>
  <c r="E179" i="62"/>
  <c r="E180" i="62"/>
  <c r="E181" i="62"/>
  <c r="E182" i="62"/>
  <c r="E184" i="62"/>
  <c r="E185" i="62"/>
  <c r="E186" i="62"/>
  <c r="E187" i="62"/>
  <c r="E188" i="62"/>
  <c r="E189" i="62"/>
  <c r="E190" i="62"/>
  <c r="E191" i="62"/>
  <c r="E192" i="62"/>
  <c r="E193" i="62"/>
  <c r="E194" i="62"/>
  <c r="E195" i="62"/>
  <c r="E196" i="62"/>
  <c r="E197" i="62"/>
  <c r="E198" i="62"/>
  <c r="E199" i="62"/>
  <c r="E200" i="62"/>
  <c r="E201" i="62"/>
  <c r="E202" i="62"/>
  <c r="E203" i="62"/>
  <c r="E204" i="62"/>
  <c r="E205" i="62"/>
  <c r="E206" i="62"/>
  <c r="E207" i="62"/>
  <c r="E208" i="62"/>
  <c r="E209" i="62"/>
  <c r="E135" i="62"/>
  <c r="E84" i="62"/>
  <c r="E86" i="62"/>
  <c r="E87" i="62"/>
  <c r="E88" i="62"/>
  <c r="E89" i="62"/>
  <c r="E90" i="62"/>
  <c r="E91" i="62"/>
  <c r="E92" i="62"/>
  <c r="E93" i="62"/>
  <c r="E94" i="62"/>
  <c r="E95" i="62"/>
  <c r="E97" i="62"/>
  <c r="E98" i="62"/>
  <c r="E99" i="62"/>
  <c r="E100" i="62"/>
  <c r="E101" i="62"/>
  <c r="E102" i="62"/>
  <c r="E103" i="62"/>
  <c r="E104" i="62"/>
  <c r="E105" i="62"/>
  <c r="E106" i="62"/>
  <c r="E107" i="62"/>
  <c r="E108" i="62"/>
  <c r="E109" i="62"/>
  <c r="E110" i="62"/>
  <c r="E111" i="62"/>
  <c r="E112" i="62"/>
  <c r="E113" i="62"/>
  <c r="E114" i="62"/>
  <c r="E115" i="62"/>
  <c r="E116" i="62"/>
  <c r="E117" i="62"/>
  <c r="E118" i="62"/>
  <c r="E119" i="62"/>
  <c r="E120" i="62"/>
  <c r="E121" i="62"/>
  <c r="E122" i="62"/>
  <c r="E123" i="62"/>
  <c r="E124" i="62"/>
  <c r="E125" i="62"/>
  <c r="E126" i="62"/>
  <c r="E127" i="62"/>
  <c r="E128" i="62"/>
  <c r="E129" i="62"/>
  <c r="E130" i="62"/>
  <c r="E131" i="62"/>
  <c r="E132" i="62"/>
  <c r="E133" i="62"/>
  <c r="E134" i="62"/>
  <c r="E83" i="62"/>
  <c r="E12" i="62"/>
  <c r="E14" i="62"/>
  <c r="E15" i="62"/>
  <c r="E16" i="62"/>
  <c r="E17" i="62"/>
  <c r="E18" i="62"/>
  <c r="E19" i="62"/>
  <c r="E20" i="62"/>
  <c r="E21" i="62"/>
  <c r="E22" i="62"/>
  <c r="E23" i="62"/>
  <c r="E24" i="62"/>
  <c r="E25" i="62"/>
  <c r="E26" i="62"/>
  <c r="E27" i="62"/>
  <c r="E28" i="62"/>
  <c r="E29" i="62"/>
  <c r="E30" i="62"/>
  <c r="E31" i="62"/>
  <c r="E32" i="62"/>
  <c r="E33" i="62"/>
  <c r="E34" i="62"/>
  <c r="E35" i="62"/>
  <c r="E36" i="62"/>
  <c r="E37" i="62"/>
  <c r="E38" i="62"/>
  <c r="E39" i="62"/>
  <c r="E40" i="62"/>
  <c r="E41" i="62"/>
  <c r="E42" i="62"/>
  <c r="E43" i="62"/>
  <c r="E44" i="62"/>
  <c r="E45" i="62"/>
  <c r="E46" i="62"/>
  <c r="E47" i="62"/>
  <c r="E48" i="62"/>
  <c r="E49" i="62"/>
  <c r="E50" i="62"/>
  <c r="E51" i="62"/>
  <c r="E52" i="62"/>
  <c r="E53" i="62"/>
  <c r="E54" i="62"/>
  <c r="E55" i="62"/>
  <c r="E56" i="62"/>
  <c r="E57" i="62"/>
  <c r="E58" i="62"/>
  <c r="E59" i="62"/>
  <c r="E60" i="62"/>
  <c r="E61" i="62"/>
  <c r="E62" i="62"/>
  <c r="E63" i="62"/>
  <c r="E64" i="62"/>
  <c r="E65" i="62"/>
  <c r="E66" i="62"/>
  <c r="E67" i="62"/>
  <c r="E68" i="62"/>
  <c r="E69" i="62"/>
  <c r="E70" i="62"/>
  <c r="E71" i="62"/>
  <c r="E73" i="62"/>
  <c r="E74" i="62"/>
  <c r="E75" i="62"/>
  <c r="E76" i="62"/>
  <c r="E77" i="62"/>
  <c r="E78" i="62"/>
  <c r="E79" i="62"/>
  <c r="E80" i="62"/>
  <c r="E81" i="62"/>
  <c r="E82" i="62"/>
  <c r="E136" i="70"/>
  <c r="E137" i="70"/>
  <c r="E138" i="70"/>
  <c r="E139" i="70"/>
  <c r="E140" i="70"/>
  <c r="E141" i="70"/>
  <c r="E142" i="70"/>
  <c r="E144" i="70"/>
  <c r="E145" i="70"/>
  <c r="E146" i="70"/>
  <c r="E147" i="70"/>
  <c r="E148" i="70"/>
  <c r="E149" i="70"/>
  <c r="E150" i="70"/>
  <c r="E151" i="70"/>
  <c r="E152" i="70"/>
  <c r="E153" i="70"/>
  <c r="E154" i="70"/>
  <c r="E155" i="70"/>
  <c r="E156" i="70"/>
  <c r="E157" i="70"/>
  <c r="E158" i="70"/>
  <c r="E159" i="70"/>
  <c r="E160" i="70"/>
  <c r="E161" i="70"/>
  <c r="E162" i="70"/>
  <c r="E163" i="70"/>
  <c r="E164" i="70"/>
  <c r="E165" i="70"/>
  <c r="E166" i="70"/>
  <c r="E167" i="70"/>
  <c r="E168" i="70"/>
  <c r="E169" i="70"/>
  <c r="E170" i="70"/>
  <c r="E171" i="70"/>
  <c r="E172" i="70"/>
  <c r="E173" i="70"/>
  <c r="E174" i="70"/>
  <c r="E175" i="70"/>
  <c r="E176" i="70"/>
  <c r="E177" i="70"/>
  <c r="E178" i="70"/>
  <c r="E179" i="70"/>
  <c r="E180" i="70"/>
  <c r="E181" i="70"/>
  <c r="E182" i="70"/>
  <c r="E184" i="70"/>
  <c r="E185" i="70"/>
  <c r="E186" i="70"/>
  <c r="E187" i="70"/>
  <c r="E188" i="70"/>
  <c r="E189" i="70"/>
  <c r="E190" i="70"/>
  <c r="E191" i="70"/>
  <c r="E192" i="70"/>
  <c r="E193" i="70"/>
  <c r="E194" i="70"/>
  <c r="E195" i="70"/>
  <c r="E196" i="70"/>
  <c r="E197" i="70"/>
  <c r="E198" i="70"/>
  <c r="E199" i="70"/>
  <c r="E200" i="70"/>
  <c r="E201" i="70"/>
  <c r="E202" i="70"/>
  <c r="E203" i="70"/>
  <c r="E204" i="70"/>
  <c r="E205" i="70"/>
  <c r="E206" i="70"/>
  <c r="E207" i="70"/>
  <c r="E208" i="70"/>
  <c r="E209" i="70"/>
  <c r="E135" i="70"/>
  <c r="E84" i="70"/>
  <c r="E85" i="70"/>
  <c r="E86" i="70"/>
  <c r="E87" i="70"/>
  <c r="E88" i="70"/>
  <c r="E89" i="70"/>
  <c r="E90" i="70"/>
  <c r="E91" i="70"/>
  <c r="E92" i="70"/>
  <c r="E93" i="70"/>
  <c r="E94" i="70"/>
  <c r="E95" i="70"/>
  <c r="E97" i="70"/>
  <c r="E98" i="70"/>
  <c r="E99" i="70"/>
  <c r="E100" i="70"/>
  <c r="E101" i="70"/>
  <c r="E102" i="70"/>
  <c r="E103" i="70"/>
  <c r="E104" i="70"/>
  <c r="E105" i="70"/>
  <c r="E106" i="70"/>
  <c r="E107" i="70"/>
  <c r="E108" i="70"/>
  <c r="E109" i="70"/>
  <c r="E110" i="70"/>
  <c r="E111" i="70"/>
  <c r="E112" i="70"/>
  <c r="E113" i="70"/>
  <c r="E114" i="70"/>
  <c r="E115" i="70"/>
  <c r="E116" i="70"/>
  <c r="E117" i="70"/>
  <c r="E118" i="70"/>
  <c r="E119" i="70"/>
  <c r="E120" i="70"/>
  <c r="E121" i="70"/>
  <c r="E122" i="70"/>
  <c r="E123" i="70"/>
  <c r="E124" i="70"/>
  <c r="E125" i="70"/>
  <c r="E126" i="70"/>
  <c r="E127" i="70"/>
  <c r="E128" i="70"/>
  <c r="E129" i="70"/>
  <c r="E130" i="70"/>
  <c r="E131" i="70"/>
  <c r="E132" i="70"/>
  <c r="E133" i="70"/>
  <c r="E134" i="70"/>
  <c r="E83" i="70"/>
  <c r="E12" i="70"/>
  <c r="E14" i="70"/>
  <c r="E15" i="70"/>
  <c r="E16" i="70"/>
  <c r="E17" i="70"/>
  <c r="E18" i="70"/>
  <c r="E19" i="70"/>
  <c r="E20" i="70"/>
  <c r="E21" i="70"/>
  <c r="E22" i="70"/>
  <c r="E23" i="70"/>
  <c r="E24" i="70"/>
  <c r="E25" i="70"/>
  <c r="E26" i="70"/>
  <c r="E27" i="70"/>
  <c r="E28" i="70"/>
  <c r="E29" i="70"/>
  <c r="E30" i="70"/>
  <c r="E31" i="70"/>
  <c r="E32" i="70"/>
  <c r="E33" i="70"/>
  <c r="E34" i="70"/>
  <c r="E35" i="70"/>
  <c r="E36" i="70"/>
  <c r="E37" i="70"/>
  <c r="E38" i="70"/>
  <c r="E39" i="70"/>
  <c r="E40" i="70"/>
  <c r="E41" i="70"/>
  <c r="E42" i="70"/>
  <c r="E43" i="70"/>
  <c r="E44" i="70"/>
  <c r="E45" i="70"/>
  <c r="E46" i="70"/>
  <c r="E47" i="70"/>
  <c r="E48" i="70"/>
  <c r="E49" i="70"/>
  <c r="E50" i="70"/>
  <c r="E51" i="70"/>
  <c r="E52" i="70"/>
  <c r="E53" i="70"/>
  <c r="E54" i="70"/>
  <c r="E55" i="70"/>
  <c r="E56" i="70"/>
  <c r="E57" i="70"/>
  <c r="E58" i="70"/>
  <c r="E59" i="70"/>
  <c r="E60" i="70"/>
  <c r="E61" i="70"/>
  <c r="E62" i="70"/>
  <c r="E63" i="70"/>
  <c r="E64" i="70"/>
  <c r="E65" i="70"/>
  <c r="E66" i="70"/>
  <c r="E67" i="70"/>
  <c r="E68" i="70"/>
  <c r="E69" i="70"/>
  <c r="E70" i="70"/>
  <c r="E71" i="70"/>
  <c r="E72" i="70"/>
  <c r="E73" i="70"/>
  <c r="E74" i="70"/>
  <c r="E75" i="70"/>
  <c r="E76" i="70"/>
  <c r="E77" i="70"/>
  <c r="E78" i="70"/>
  <c r="E79" i="70"/>
  <c r="E80" i="70"/>
  <c r="E81" i="70"/>
  <c r="E82" i="70"/>
  <c r="E11" i="70"/>
  <c r="E136" i="60"/>
  <c r="E137" i="60"/>
  <c r="E138" i="60"/>
  <c r="E139" i="60"/>
  <c r="E140" i="60"/>
  <c r="E141" i="60"/>
  <c r="E142" i="60"/>
  <c r="E143" i="60"/>
  <c r="E144" i="60"/>
  <c r="E145" i="60"/>
  <c r="E146" i="60"/>
  <c r="E147" i="60"/>
  <c r="E148" i="60"/>
  <c r="E149" i="60"/>
  <c r="E150" i="60"/>
  <c r="E151" i="60"/>
  <c r="E152" i="60"/>
  <c r="E153" i="60"/>
  <c r="E154" i="60"/>
  <c r="E155" i="60"/>
  <c r="E156" i="60"/>
  <c r="E157" i="60"/>
  <c r="E158" i="60"/>
  <c r="E159" i="60"/>
  <c r="E160" i="60"/>
  <c r="E161" i="60"/>
  <c r="E162" i="60"/>
  <c r="E163" i="60"/>
  <c r="E164" i="60"/>
  <c r="E165" i="60"/>
  <c r="E166" i="60"/>
  <c r="E167" i="60"/>
  <c r="E168" i="60"/>
  <c r="E169" i="60"/>
  <c r="E170" i="60"/>
  <c r="E171" i="60"/>
  <c r="E172" i="60"/>
  <c r="E173" i="60"/>
  <c r="E174" i="60"/>
  <c r="E175" i="60"/>
  <c r="E176" i="60"/>
  <c r="E177" i="60"/>
  <c r="E178" i="60"/>
  <c r="E179" i="60"/>
  <c r="E180" i="60"/>
  <c r="E181" i="60"/>
  <c r="E182" i="60"/>
  <c r="E183" i="60"/>
  <c r="E184" i="60"/>
  <c r="E185" i="60"/>
  <c r="E186" i="60"/>
  <c r="E187" i="60"/>
  <c r="E188" i="60"/>
  <c r="E189" i="60"/>
  <c r="E190" i="60"/>
  <c r="E191" i="60"/>
  <c r="E192" i="60"/>
  <c r="E193" i="60"/>
  <c r="E194" i="60"/>
  <c r="E196" i="60"/>
  <c r="E197" i="60"/>
  <c r="E198" i="60"/>
  <c r="E199" i="60"/>
  <c r="E200" i="60"/>
  <c r="E201" i="60"/>
  <c r="E202" i="60"/>
  <c r="E203" i="60"/>
  <c r="E204" i="60"/>
  <c r="E205" i="60"/>
  <c r="E206" i="60"/>
  <c r="E207" i="60"/>
  <c r="E208" i="60"/>
  <c r="E209" i="60"/>
  <c r="E135" i="60"/>
  <c r="E84" i="60"/>
  <c r="E86" i="60"/>
  <c r="E87" i="60"/>
  <c r="E88" i="60"/>
  <c r="E89" i="60"/>
  <c r="E90" i="60"/>
  <c r="E91" i="60"/>
  <c r="E92" i="60"/>
  <c r="E93" i="60"/>
  <c r="E94" i="60"/>
  <c r="E95" i="60"/>
  <c r="E97" i="60"/>
  <c r="E98" i="60"/>
  <c r="E99" i="60"/>
  <c r="E100" i="60"/>
  <c r="E101" i="60"/>
  <c r="E102" i="60"/>
  <c r="E103" i="60"/>
  <c r="E104" i="60"/>
  <c r="E105" i="60"/>
  <c r="E106" i="60"/>
  <c r="E107" i="60"/>
  <c r="E108" i="60"/>
  <c r="E109" i="60"/>
  <c r="E110" i="60"/>
  <c r="E111" i="60"/>
  <c r="E112" i="60"/>
  <c r="E113" i="60"/>
  <c r="E114" i="60"/>
  <c r="E115" i="60"/>
  <c r="E116" i="60"/>
  <c r="E117" i="60"/>
  <c r="E118" i="60"/>
  <c r="E119" i="60"/>
  <c r="E120" i="60"/>
  <c r="E121" i="60"/>
  <c r="E122" i="60"/>
  <c r="E123" i="60"/>
  <c r="E124" i="60"/>
  <c r="E125" i="60"/>
  <c r="E126" i="60"/>
  <c r="E127" i="60"/>
  <c r="E128" i="60"/>
  <c r="E129" i="60"/>
  <c r="E130" i="60"/>
  <c r="E131" i="60"/>
  <c r="E132" i="60"/>
  <c r="E133" i="60"/>
  <c r="E134" i="60"/>
  <c r="E83" i="60"/>
  <c r="E41" i="60"/>
  <c r="E42" i="60"/>
  <c r="E43" i="60"/>
  <c r="E44" i="60"/>
  <c r="E45" i="60"/>
  <c r="E46" i="60"/>
  <c r="E47" i="60"/>
  <c r="E48" i="60"/>
  <c r="E49" i="60"/>
  <c r="E50" i="60"/>
  <c r="E51" i="60"/>
  <c r="E52" i="60"/>
  <c r="E53" i="60"/>
  <c r="E54" i="60"/>
  <c r="E55" i="60"/>
  <c r="E56" i="60"/>
  <c r="E57" i="60"/>
  <c r="E58" i="60"/>
  <c r="E59" i="60"/>
  <c r="E60" i="60"/>
  <c r="E61" i="60"/>
  <c r="E62" i="60"/>
  <c r="E63" i="60"/>
  <c r="E64" i="60"/>
  <c r="E65" i="60"/>
  <c r="E66" i="60"/>
  <c r="E67" i="60"/>
  <c r="E68" i="60"/>
  <c r="E69" i="60"/>
  <c r="E70" i="60"/>
  <c r="E71" i="60"/>
  <c r="E72" i="60"/>
  <c r="E73" i="60"/>
  <c r="E74" i="60"/>
  <c r="E75" i="60"/>
  <c r="E76" i="60"/>
  <c r="E77" i="60"/>
  <c r="E78" i="60"/>
  <c r="E79" i="60"/>
  <c r="E80" i="60"/>
  <c r="E81" i="60"/>
  <c r="E82" i="60"/>
  <c r="E12" i="60"/>
  <c r="E14" i="60"/>
  <c r="E15" i="60"/>
  <c r="E16" i="60"/>
  <c r="E17" i="60"/>
  <c r="E18" i="60"/>
  <c r="E19" i="60"/>
  <c r="E20" i="60"/>
  <c r="E21" i="60"/>
  <c r="E22" i="60"/>
  <c r="E23" i="60"/>
  <c r="E24" i="60"/>
  <c r="E25" i="60"/>
  <c r="E26" i="60"/>
  <c r="E27" i="60"/>
  <c r="E28" i="60"/>
  <c r="E29" i="60"/>
  <c r="E30" i="60"/>
  <c r="E31" i="60"/>
  <c r="E32" i="60"/>
  <c r="E33" i="60"/>
  <c r="E34" i="60"/>
  <c r="E35" i="60"/>
  <c r="E36" i="60"/>
  <c r="E37" i="60"/>
  <c r="E38" i="60"/>
  <c r="E39" i="60"/>
  <c r="E40" i="60"/>
  <c r="E136" i="69"/>
  <c r="E137" i="69"/>
  <c r="E138" i="69"/>
  <c r="E139" i="69"/>
  <c r="E140" i="69"/>
  <c r="E141" i="69"/>
  <c r="E142" i="69"/>
  <c r="E143" i="69"/>
  <c r="E144" i="69"/>
  <c r="E145" i="69"/>
  <c r="E146" i="69"/>
  <c r="E147" i="69"/>
  <c r="E148" i="69"/>
  <c r="E149" i="69"/>
  <c r="E150" i="69"/>
  <c r="E151" i="69"/>
  <c r="E152" i="69"/>
  <c r="E153" i="69"/>
  <c r="E154" i="69"/>
  <c r="E155" i="69"/>
  <c r="E156" i="69"/>
  <c r="E157" i="69"/>
  <c r="E158" i="69"/>
  <c r="E159" i="69"/>
  <c r="E160" i="69"/>
  <c r="E161" i="69"/>
  <c r="E162" i="69"/>
  <c r="E163" i="69"/>
  <c r="E165" i="69"/>
  <c r="E166" i="69"/>
  <c r="E167" i="69"/>
  <c r="E168" i="69"/>
  <c r="E170" i="69"/>
  <c r="E171" i="69"/>
  <c r="E172" i="69"/>
  <c r="E173" i="69"/>
  <c r="E174" i="69"/>
  <c r="E175" i="69"/>
  <c r="E176" i="69"/>
  <c r="E177" i="69"/>
  <c r="E178" i="69"/>
  <c r="E179" i="69"/>
  <c r="E180" i="69"/>
  <c r="E181" i="69"/>
  <c r="E182" i="69"/>
  <c r="E184" i="69"/>
  <c r="E185" i="69"/>
  <c r="E186" i="69"/>
  <c r="E187" i="69"/>
  <c r="E188" i="69"/>
  <c r="E189" i="69"/>
  <c r="E190" i="69"/>
  <c r="E191" i="69"/>
  <c r="E192" i="69"/>
  <c r="E193" i="69"/>
  <c r="E194" i="69"/>
  <c r="E195" i="69"/>
  <c r="E196" i="69"/>
  <c r="E197" i="69"/>
  <c r="E198" i="69"/>
  <c r="E199" i="69"/>
  <c r="E200" i="69"/>
  <c r="E201" i="69"/>
  <c r="E202" i="69"/>
  <c r="E203" i="69"/>
  <c r="E204" i="69"/>
  <c r="E205" i="69"/>
  <c r="E206" i="69"/>
  <c r="E207" i="69"/>
  <c r="E208" i="69"/>
  <c r="E209" i="69"/>
  <c r="E135" i="69"/>
  <c r="E84" i="69"/>
  <c r="E86" i="69"/>
  <c r="E87" i="69"/>
  <c r="E88" i="69"/>
  <c r="E89" i="69"/>
  <c r="E90" i="69"/>
  <c r="E91" i="69"/>
  <c r="E92" i="69"/>
  <c r="E93" i="69"/>
  <c r="E94" i="69"/>
  <c r="E95" i="69"/>
  <c r="E97" i="69"/>
  <c r="E98" i="69"/>
  <c r="E99" i="69"/>
  <c r="E100" i="69"/>
  <c r="E101" i="69"/>
  <c r="E102" i="69"/>
  <c r="E103" i="69"/>
  <c r="E104" i="69"/>
  <c r="E105" i="69"/>
  <c r="E106" i="69"/>
  <c r="E107" i="69"/>
  <c r="E108" i="69"/>
  <c r="E109" i="69"/>
  <c r="E110" i="69"/>
  <c r="E111" i="69"/>
  <c r="E112" i="69"/>
  <c r="E113" i="69"/>
  <c r="E114" i="69"/>
  <c r="E115" i="69"/>
  <c r="E116" i="69"/>
  <c r="E117" i="69"/>
  <c r="E118" i="69"/>
  <c r="E119" i="69"/>
  <c r="E120" i="69"/>
  <c r="E121" i="69"/>
  <c r="E122" i="69"/>
  <c r="E123" i="69"/>
  <c r="E124" i="69"/>
  <c r="E125" i="69"/>
  <c r="E126" i="69"/>
  <c r="E127" i="69"/>
  <c r="E128" i="69"/>
  <c r="E129" i="69"/>
  <c r="E130" i="69"/>
  <c r="E131" i="69"/>
  <c r="E132" i="69"/>
  <c r="E133" i="69"/>
  <c r="E134" i="69"/>
  <c r="E83" i="69"/>
  <c r="E82" i="69"/>
  <c r="E12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38" i="69"/>
  <c r="E39" i="69"/>
  <c r="E40" i="69"/>
  <c r="E41" i="69"/>
  <c r="E42" i="69"/>
  <c r="E44" i="69"/>
  <c r="E45" i="69"/>
  <c r="E46" i="69"/>
  <c r="E47" i="69"/>
  <c r="E48" i="69"/>
  <c r="E49" i="69"/>
  <c r="E50" i="69"/>
  <c r="E51" i="69"/>
  <c r="E52" i="69"/>
  <c r="E53" i="69"/>
  <c r="E54" i="69"/>
  <c r="E55" i="69"/>
  <c r="E56" i="69"/>
  <c r="E57" i="69"/>
  <c r="E58" i="69"/>
  <c r="E59" i="69"/>
  <c r="E60" i="69"/>
  <c r="E61" i="69"/>
  <c r="E62" i="69"/>
  <c r="E63" i="69"/>
  <c r="E64" i="69"/>
  <c r="E65" i="69"/>
  <c r="E66" i="69"/>
  <c r="E67" i="69"/>
  <c r="E68" i="69"/>
  <c r="E69" i="69"/>
  <c r="E70" i="69"/>
  <c r="E71" i="69"/>
  <c r="E72" i="69"/>
  <c r="E73" i="69"/>
  <c r="E74" i="69"/>
  <c r="E75" i="69"/>
  <c r="E76" i="69"/>
  <c r="E77" i="69"/>
  <c r="E78" i="69"/>
  <c r="E79" i="69"/>
  <c r="E80" i="69"/>
  <c r="E81" i="69"/>
  <c r="E136" i="68"/>
  <c r="E137" i="68"/>
  <c r="E138" i="68"/>
  <c r="E139" i="68"/>
  <c r="E140" i="68"/>
  <c r="E141" i="68"/>
  <c r="E142" i="68"/>
  <c r="E144" i="68"/>
  <c r="E145" i="68"/>
  <c r="E146" i="68"/>
  <c r="E147" i="68"/>
  <c r="E148" i="68"/>
  <c r="E149" i="68"/>
  <c r="E150" i="68"/>
  <c r="E151" i="68"/>
  <c r="E152" i="68"/>
  <c r="E153" i="68"/>
  <c r="E154" i="68"/>
  <c r="E155" i="68"/>
  <c r="E156" i="68"/>
  <c r="E158" i="68"/>
  <c r="E159" i="68"/>
  <c r="E160" i="68"/>
  <c r="E161" i="68"/>
  <c r="E162" i="68"/>
  <c r="E163" i="68"/>
  <c r="E164" i="68"/>
  <c r="E165" i="68"/>
  <c r="E166" i="68"/>
  <c r="E167" i="68"/>
  <c r="E168" i="68"/>
  <c r="E169" i="68"/>
  <c r="E170" i="68"/>
  <c r="E171" i="68"/>
  <c r="E172" i="68"/>
  <c r="E173" i="68"/>
  <c r="E174" i="68"/>
  <c r="E175" i="68"/>
  <c r="E176" i="68"/>
  <c r="E177" i="68"/>
  <c r="E178" i="68"/>
  <c r="E179" i="68"/>
  <c r="E180" i="68"/>
  <c r="E181" i="68"/>
  <c r="E182" i="68"/>
  <c r="E183" i="68"/>
  <c r="E184" i="68"/>
  <c r="E185" i="68"/>
  <c r="E186" i="68"/>
  <c r="E187" i="68"/>
  <c r="E188" i="68"/>
  <c r="E189" i="68"/>
  <c r="E190" i="68"/>
  <c r="E191" i="68"/>
  <c r="E192" i="68"/>
  <c r="E193" i="68"/>
  <c r="E194" i="68"/>
  <c r="E195" i="68"/>
  <c r="E196" i="68"/>
  <c r="E197" i="68"/>
  <c r="E198" i="68"/>
  <c r="E199" i="68"/>
  <c r="E200" i="68"/>
  <c r="E201" i="68"/>
  <c r="E202" i="68"/>
  <c r="E203" i="68"/>
  <c r="E204" i="68"/>
  <c r="E205" i="68"/>
  <c r="E206" i="68"/>
  <c r="E207" i="68"/>
  <c r="E208" i="68"/>
  <c r="E209" i="68"/>
  <c r="E135" i="68"/>
  <c r="E98" i="68"/>
  <c r="E99" i="68"/>
  <c r="E100" i="68"/>
  <c r="E101" i="68"/>
  <c r="E102" i="68"/>
  <c r="E103" i="68"/>
  <c r="E104" i="68"/>
  <c r="E105" i="68"/>
  <c r="E106" i="68"/>
  <c r="E107" i="68"/>
  <c r="E108" i="68"/>
  <c r="E109" i="68"/>
  <c r="E111" i="68"/>
  <c r="E112" i="68"/>
  <c r="E113" i="68"/>
  <c r="E114" i="68"/>
  <c r="E116" i="68"/>
  <c r="E117" i="68"/>
  <c r="E118" i="68"/>
  <c r="E119" i="68"/>
  <c r="E120" i="68"/>
  <c r="E121" i="68"/>
  <c r="E122" i="68"/>
  <c r="E123" i="68"/>
  <c r="E124" i="68"/>
  <c r="E125" i="68"/>
  <c r="E126" i="68"/>
  <c r="E127" i="68"/>
  <c r="E128" i="68"/>
  <c r="E129" i="68"/>
  <c r="E130" i="68"/>
  <c r="E131" i="68"/>
  <c r="E132" i="68"/>
  <c r="E133" i="68"/>
  <c r="E134" i="68"/>
  <c r="E84" i="68"/>
  <c r="E86" i="68"/>
  <c r="E87" i="68"/>
  <c r="E88" i="68"/>
  <c r="E89" i="68"/>
  <c r="E90" i="68"/>
  <c r="E91" i="68"/>
  <c r="E92" i="68"/>
  <c r="E93" i="68"/>
  <c r="E94" i="68"/>
  <c r="E95" i="68"/>
  <c r="E97" i="68"/>
  <c r="E83" i="68"/>
  <c r="E12" i="68"/>
  <c r="E14" i="68"/>
  <c r="E15" i="68"/>
  <c r="E16" i="68"/>
  <c r="E17" i="68"/>
  <c r="E18" i="68"/>
  <c r="E19" i="68"/>
  <c r="E20" i="68"/>
  <c r="E21" i="68"/>
  <c r="E22" i="68"/>
  <c r="E23" i="68"/>
  <c r="E24" i="68"/>
  <c r="E25" i="68"/>
  <c r="E26" i="68"/>
  <c r="E28" i="68"/>
  <c r="E29" i="68"/>
  <c r="E30" i="68"/>
  <c r="E31" i="68"/>
  <c r="E32" i="68"/>
  <c r="E33" i="68"/>
  <c r="E34" i="68"/>
  <c r="E35" i="68"/>
  <c r="E36" i="68"/>
  <c r="E37" i="68"/>
  <c r="E38" i="68"/>
  <c r="E39" i="68"/>
  <c r="E40" i="68"/>
  <c r="E41" i="68"/>
  <c r="E42" i="68"/>
  <c r="E43" i="68"/>
  <c r="E44" i="68"/>
  <c r="E45" i="68"/>
  <c r="E46" i="68"/>
  <c r="E47" i="68"/>
  <c r="E48" i="68"/>
  <c r="E49" i="68"/>
  <c r="E50" i="68"/>
  <c r="E51" i="68"/>
  <c r="E52" i="68"/>
  <c r="E53" i="68"/>
  <c r="E54" i="68"/>
  <c r="E55" i="68"/>
  <c r="E56" i="68"/>
  <c r="E57" i="68"/>
  <c r="E58" i="68"/>
  <c r="E59" i="68"/>
  <c r="E60" i="68"/>
  <c r="E61" i="68"/>
  <c r="E62" i="68"/>
  <c r="E63" i="68"/>
  <c r="E64" i="68"/>
  <c r="E65" i="68"/>
  <c r="E66" i="68"/>
  <c r="E67" i="68"/>
  <c r="E68" i="68"/>
  <c r="E69" i="68"/>
  <c r="E70" i="68"/>
  <c r="E71" i="68"/>
  <c r="E72" i="68"/>
  <c r="E73" i="68"/>
  <c r="E74" i="68"/>
  <c r="E75" i="68"/>
  <c r="E76" i="68"/>
  <c r="E77" i="68"/>
  <c r="E78" i="68"/>
  <c r="E79" i="68"/>
  <c r="E80" i="68"/>
  <c r="E81" i="68"/>
  <c r="E82" i="68"/>
  <c r="E135" i="64"/>
  <c r="E136" i="64"/>
  <c r="E137" i="64"/>
  <c r="E138" i="64"/>
  <c r="E139" i="64"/>
  <c r="E140" i="64"/>
  <c r="E141" i="64"/>
  <c r="E142" i="64"/>
  <c r="E143" i="64"/>
  <c r="E144" i="64"/>
  <c r="E145" i="64"/>
  <c r="E146" i="64"/>
  <c r="E147" i="64"/>
  <c r="E148" i="64"/>
  <c r="E149" i="64"/>
  <c r="E150" i="64"/>
  <c r="E151" i="64"/>
  <c r="E152" i="64"/>
  <c r="E153" i="64"/>
  <c r="E154" i="64"/>
  <c r="E155" i="64"/>
  <c r="E156" i="64"/>
  <c r="E157" i="64"/>
  <c r="E158" i="64"/>
  <c r="E159" i="64"/>
  <c r="E160" i="64"/>
  <c r="E161" i="64"/>
  <c r="E162" i="64"/>
  <c r="E163" i="64"/>
  <c r="E164" i="64"/>
  <c r="E165" i="64"/>
  <c r="E166" i="64"/>
  <c r="E168" i="64"/>
  <c r="E169" i="64"/>
  <c r="E170" i="64"/>
  <c r="E171" i="64"/>
  <c r="E172" i="64"/>
  <c r="E173" i="64"/>
  <c r="E174" i="64"/>
  <c r="E175" i="64"/>
  <c r="E176" i="64"/>
  <c r="E177" i="64"/>
  <c r="E178" i="64"/>
  <c r="E179" i="64"/>
  <c r="E180" i="64"/>
  <c r="E181" i="64"/>
  <c r="E182" i="64"/>
  <c r="E183" i="64"/>
  <c r="E184" i="64"/>
  <c r="E185" i="64"/>
  <c r="E186" i="64"/>
  <c r="E187" i="64"/>
  <c r="E188" i="64"/>
  <c r="E189" i="64"/>
  <c r="E190" i="64"/>
  <c r="E191" i="64"/>
  <c r="E192" i="64"/>
  <c r="E193" i="64"/>
  <c r="E194" i="64"/>
  <c r="E195" i="64"/>
  <c r="E196" i="64"/>
  <c r="E197" i="64"/>
  <c r="E198" i="64"/>
  <c r="E199" i="64"/>
  <c r="E200" i="64"/>
  <c r="E201" i="64"/>
  <c r="E202" i="64"/>
  <c r="E203" i="64"/>
  <c r="E204" i="64"/>
  <c r="E205" i="64"/>
  <c r="E206" i="64"/>
  <c r="E207" i="64"/>
  <c r="E208" i="64"/>
  <c r="E209" i="64"/>
  <c r="E134" i="64"/>
  <c r="E84" i="64"/>
  <c r="E85" i="64"/>
  <c r="E86" i="64"/>
  <c r="E87" i="64"/>
  <c r="E88" i="64"/>
  <c r="E89" i="64"/>
  <c r="E90" i="64"/>
  <c r="E91" i="64"/>
  <c r="E92" i="64"/>
  <c r="E93" i="64"/>
  <c r="E94" i="64"/>
  <c r="E95" i="64"/>
  <c r="E97" i="64"/>
  <c r="E98" i="64"/>
  <c r="E99" i="64"/>
  <c r="E100" i="64"/>
  <c r="E101" i="64"/>
  <c r="E102" i="64"/>
  <c r="E103" i="64"/>
  <c r="E104" i="64"/>
  <c r="E105" i="64"/>
  <c r="E106" i="64"/>
  <c r="E107" i="64"/>
  <c r="E108" i="64"/>
  <c r="E109" i="64"/>
  <c r="E110" i="64"/>
  <c r="E111" i="64"/>
  <c r="E112" i="64"/>
  <c r="E113" i="64"/>
  <c r="E114" i="64"/>
  <c r="E115" i="64"/>
  <c r="E116" i="64"/>
  <c r="E117" i="64"/>
  <c r="E118" i="64"/>
  <c r="E119" i="64"/>
  <c r="E120" i="64"/>
  <c r="E121" i="64"/>
  <c r="E122" i="64"/>
  <c r="E123" i="64"/>
  <c r="E124" i="64"/>
  <c r="E125" i="64"/>
  <c r="E126" i="64"/>
  <c r="E127" i="64"/>
  <c r="E128" i="64"/>
  <c r="E129" i="64"/>
  <c r="E130" i="64"/>
  <c r="E131" i="64"/>
  <c r="E132" i="64"/>
  <c r="E133" i="64"/>
  <c r="E83" i="64"/>
  <c r="E14" i="64"/>
  <c r="E15" i="64"/>
  <c r="E16" i="64"/>
  <c r="E17" i="64"/>
  <c r="E18" i="64"/>
  <c r="E19" i="64"/>
  <c r="E20" i="64"/>
  <c r="E21" i="64"/>
  <c r="E22" i="64"/>
  <c r="E23" i="64"/>
  <c r="E24" i="64"/>
  <c r="E25" i="64"/>
  <c r="E26" i="64"/>
  <c r="E27" i="64"/>
  <c r="E28" i="64"/>
  <c r="E29" i="64"/>
  <c r="E30" i="64"/>
  <c r="E31" i="64"/>
  <c r="E32" i="64"/>
  <c r="E33" i="64"/>
  <c r="E34" i="64"/>
  <c r="E35" i="64"/>
  <c r="E36" i="64"/>
  <c r="E37" i="64"/>
  <c r="E38" i="64"/>
  <c r="E39" i="64"/>
  <c r="E40" i="64"/>
  <c r="E41" i="64"/>
  <c r="E42" i="64"/>
  <c r="E44" i="64"/>
  <c r="E45" i="64"/>
  <c r="E46" i="64"/>
  <c r="E47" i="64"/>
  <c r="E48" i="64"/>
  <c r="E49" i="64"/>
  <c r="E50" i="64"/>
  <c r="E51" i="64"/>
  <c r="E52" i="64"/>
  <c r="E53" i="64"/>
  <c r="E54" i="64"/>
  <c r="E55" i="64"/>
  <c r="E56" i="64"/>
  <c r="E57" i="64"/>
  <c r="E58" i="64"/>
  <c r="E59" i="64"/>
  <c r="E60" i="64"/>
  <c r="E61" i="64"/>
  <c r="E62" i="64"/>
  <c r="E63" i="64"/>
  <c r="E64" i="64"/>
  <c r="E65" i="64"/>
  <c r="E66" i="64"/>
  <c r="E67" i="64"/>
  <c r="E68" i="64"/>
  <c r="E69" i="64"/>
  <c r="E70" i="64"/>
  <c r="E71" i="64"/>
  <c r="E72" i="64"/>
  <c r="E73" i="64"/>
  <c r="E74" i="64"/>
  <c r="E75" i="64"/>
  <c r="E76" i="64"/>
  <c r="E77" i="64"/>
  <c r="E78" i="64"/>
  <c r="E79" i="64"/>
  <c r="E80" i="64"/>
  <c r="E81" i="64"/>
  <c r="E82" i="64"/>
  <c r="E11" i="64"/>
  <c r="E99" i="72"/>
  <c r="E100" i="72"/>
  <c r="E101" i="72"/>
  <c r="E102" i="72"/>
  <c r="E103" i="72"/>
  <c r="E104" i="72"/>
  <c r="E105" i="72"/>
  <c r="E106" i="72"/>
  <c r="E107" i="72"/>
  <c r="E108" i="72"/>
  <c r="E109" i="72"/>
  <c r="E110" i="72"/>
  <c r="E111" i="72"/>
  <c r="E112" i="72"/>
  <c r="E113" i="72"/>
  <c r="E114" i="72"/>
  <c r="E115" i="72"/>
  <c r="E116" i="72"/>
  <c r="E117" i="72"/>
  <c r="E118" i="72"/>
  <c r="E119" i="72"/>
  <c r="E120" i="72"/>
  <c r="E121" i="72"/>
  <c r="E122" i="72"/>
  <c r="E123" i="72"/>
  <c r="E124" i="72"/>
  <c r="E125" i="72"/>
  <c r="E126" i="72"/>
  <c r="E127" i="72"/>
  <c r="E128" i="72"/>
  <c r="E129" i="72"/>
  <c r="E130" i="72"/>
  <c r="E131" i="72"/>
  <c r="E132" i="72"/>
  <c r="E133" i="72"/>
  <c r="E134" i="72"/>
  <c r="E98" i="72"/>
  <c r="E136" i="71"/>
  <c r="E137" i="71"/>
  <c r="E138" i="71"/>
  <c r="E139" i="71"/>
  <c r="E140" i="71"/>
  <c r="E141" i="71"/>
  <c r="E142" i="71"/>
  <c r="E143" i="71"/>
  <c r="E144" i="71"/>
  <c r="E145" i="71"/>
  <c r="E146" i="71"/>
  <c r="E147" i="71"/>
  <c r="E148" i="71"/>
  <c r="E149" i="71"/>
  <c r="E150" i="71"/>
  <c r="E151" i="71"/>
  <c r="E152" i="71"/>
  <c r="E153" i="71"/>
  <c r="E154" i="71"/>
  <c r="E155" i="71"/>
  <c r="E156" i="71"/>
  <c r="E157" i="71"/>
  <c r="E158" i="71"/>
  <c r="E159" i="71"/>
  <c r="E160" i="71"/>
  <c r="E161" i="71"/>
  <c r="E162" i="71"/>
  <c r="E163" i="71"/>
  <c r="E164" i="71"/>
  <c r="E165" i="71"/>
  <c r="E166" i="71"/>
  <c r="E167" i="71"/>
  <c r="E168" i="71"/>
  <c r="E169" i="71"/>
  <c r="E170" i="71"/>
  <c r="E171" i="71"/>
  <c r="E172" i="71"/>
  <c r="E173" i="71"/>
  <c r="E174" i="71"/>
  <c r="E175" i="71"/>
  <c r="E176" i="71"/>
  <c r="E177" i="71"/>
  <c r="E178" i="71"/>
  <c r="E179" i="71"/>
  <c r="E180" i="71"/>
  <c r="E181" i="71"/>
  <c r="E182" i="71"/>
  <c r="E183" i="71"/>
  <c r="E184" i="71"/>
  <c r="E185" i="71"/>
  <c r="E186" i="71"/>
  <c r="E187" i="71"/>
  <c r="E188" i="71"/>
  <c r="E189" i="71"/>
  <c r="E190" i="71"/>
  <c r="E191" i="71"/>
  <c r="E192" i="71"/>
  <c r="E193" i="71"/>
  <c r="E194" i="71"/>
  <c r="E195" i="71"/>
  <c r="E196" i="71"/>
  <c r="E197" i="71"/>
  <c r="E198" i="71"/>
  <c r="E199" i="71"/>
  <c r="E200" i="71"/>
  <c r="E201" i="71"/>
  <c r="E202" i="71"/>
  <c r="E203" i="71"/>
  <c r="E204" i="71"/>
  <c r="E205" i="71"/>
  <c r="E206" i="71"/>
  <c r="E207" i="71"/>
  <c r="E208" i="71"/>
  <c r="E209" i="71"/>
  <c r="E135" i="71"/>
  <c r="E134" i="71"/>
  <c r="E98" i="71"/>
  <c r="E99" i="71"/>
  <c r="E100" i="71"/>
  <c r="E101" i="71"/>
  <c r="E102" i="71"/>
  <c r="E103" i="71"/>
  <c r="E104" i="71"/>
  <c r="E105" i="71"/>
  <c r="E106" i="71"/>
  <c r="E107" i="71"/>
  <c r="E108" i="71"/>
  <c r="E109" i="71"/>
  <c r="E110" i="71"/>
  <c r="E111" i="71"/>
  <c r="E112" i="71"/>
  <c r="E113" i="71"/>
  <c r="E114" i="71"/>
  <c r="E116" i="71"/>
  <c r="E117" i="71"/>
  <c r="E118" i="71"/>
  <c r="E119" i="71"/>
  <c r="E120" i="71"/>
  <c r="E121" i="71"/>
  <c r="E122" i="71"/>
  <c r="E123" i="71"/>
  <c r="E124" i="71"/>
  <c r="E125" i="71"/>
  <c r="E126" i="71"/>
  <c r="E127" i="71"/>
  <c r="E128" i="71"/>
  <c r="E129" i="71"/>
  <c r="E130" i="71"/>
  <c r="E131" i="71"/>
  <c r="E132" i="71"/>
  <c r="E133" i="71"/>
  <c r="E84" i="71"/>
  <c r="E85" i="71"/>
  <c r="E86" i="71"/>
  <c r="E87" i="71"/>
  <c r="E88" i="71"/>
  <c r="E89" i="71"/>
  <c r="E90" i="71"/>
  <c r="E91" i="71"/>
  <c r="E92" i="71"/>
  <c r="E93" i="71"/>
  <c r="E94" i="71"/>
  <c r="E95" i="71"/>
  <c r="E97" i="71"/>
  <c r="E83" i="71"/>
  <c r="E12" i="71"/>
  <c r="E14" i="71"/>
  <c r="E15" i="71"/>
  <c r="E16" i="71"/>
  <c r="E17" i="71"/>
  <c r="E18" i="71"/>
  <c r="E19" i="71"/>
  <c r="E20" i="71"/>
  <c r="E21" i="71"/>
  <c r="E22" i="71"/>
  <c r="E23" i="71"/>
  <c r="E24" i="71"/>
  <c r="E25" i="71"/>
  <c r="E26" i="71"/>
  <c r="E27" i="71"/>
  <c r="E28" i="71"/>
  <c r="E29" i="71"/>
  <c r="E30" i="71"/>
  <c r="E31" i="71"/>
  <c r="E32" i="71"/>
  <c r="E33" i="71"/>
  <c r="E34" i="71"/>
  <c r="E35" i="71"/>
  <c r="E36" i="71"/>
  <c r="E37" i="71"/>
  <c r="E38" i="71"/>
  <c r="E39" i="71"/>
  <c r="E40" i="71"/>
  <c r="E41" i="71"/>
  <c r="E42" i="71"/>
  <c r="E43" i="71"/>
  <c r="E44" i="71"/>
  <c r="E45" i="71"/>
  <c r="E46" i="71"/>
  <c r="E47" i="71"/>
  <c r="E48" i="71"/>
  <c r="E49" i="71"/>
  <c r="E50" i="71"/>
  <c r="E51" i="71"/>
  <c r="E52" i="71"/>
  <c r="E53" i="71"/>
  <c r="E54" i="71"/>
  <c r="E55" i="71"/>
  <c r="E56" i="71"/>
  <c r="E57" i="71"/>
  <c r="E58" i="71"/>
  <c r="E59" i="71"/>
  <c r="E60" i="71"/>
  <c r="E61" i="71"/>
  <c r="E62" i="71"/>
  <c r="E63" i="71"/>
  <c r="E64" i="71"/>
  <c r="E65" i="71"/>
  <c r="E66" i="71"/>
  <c r="E67" i="71"/>
  <c r="E68" i="71"/>
  <c r="E69" i="71"/>
  <c r="E70" i="71"/>
  <c r="E71" i="71"/>
  <c r="E72" i="71"/>
  <c r="E73" i="71"/>
  <c r="E74" i="71"/>
  <c r="E75" i="71"/>
  <c r="E76" i="71"/>
  <c r="E77" i="71"/>
  <c r="E78" i="71"/>
  <c r="E79" i="71"/>
  <c r="E80" i="71"/>
  <c r="E81" i="71"/>
  <c r="E82" i="71"/>
  <c r="E135" i="72"/>
  <c r="E136" i="72"/>
  <c r="E137" i="72"/>
  <c r="E138" i="72"/>
  <c r="E139" i="72"/>
  <c r="E140" i="72"/>
  <c r="E141" i="72"/>
  <c r="E142" i="72"/>
  <c r="E144" i="72"/>
  <c r="E145" i="72"/>
  <c r="E146" i="72"/>
  <c r="E147" i="72"/>
  <c r="E148" i="72"/>
  <c r="E149" i="72"/>
  <c r="E150" i="72"/>
  <c r="E151" i="72"/>
  <c r="E152" i="72"/>
  <c r="E153" i="72"/>
  <c r="E154" i="72"/>
  <c r="E155" i="72"/>
  <c r="E156" i="72"/>
  <c r="E157" i="72"/>
  <c r="E158" i="72"/>
  <c r="E159" i="72"/>
  <c r="E160" i="72"/>
  <c r="E161" i="72"/>
  <c r="E162" i="72"/>
  <c r="E163" i="72"/>
  <c r="E164" i="72"/>
  <c r="E165" i="72"/>
  <c r="E166" i="72"/>
  <c r="E167" i="72"/>
  <c r="E168" i="72"/>
  <c r="E169" i="72"/>
  <c r="E170" i="72"/>
  <c r="E171" i="72"/>
  <c r="E172" i="72"/>
  <c r="E173" i="72"/>
  <c r="E174" i="72"/>
  <c r="E175" i="72"/>
  <c r="E176" i="72"/>
  <c r="E177" i="72"/>
  <c r="E178" i="72"/>
  <c r="E179" i="72"/>
  <c r="E180" i="72"/>
  <c r="E181" i="72"/>
  <c r="E182" i="72"/>
  <c r="E183" i="72"/>
  <c r="E184" i="72"/>
  <c r="E185" i="72"/>
  <c r="E186" i="72"/>
  <c r="E187" i="72"/>
  <c r="E188" i="72"/>
  <c r="E189" i="72"/>
  <c r="E190" i="72"/>
  <c r="E191" i="72"/>
  <c r="E192" i="72"/>
  <c r="E193" i="72"/>
  <c r="E194" i="72"/>
  <c r="E195" i="72"/>
  <c r="E196" i="72"/>
  <c r="E197" i="72"/>
  <c r="E198" i="72"/>
  <c r="E199" i="72"/>
  <c r="E200" i="72"/>
  <c r="E202" i="72"/>
  <c r="E203" i="72"/>
  <c r="E204" i="72"/>
  <c r="E205" i="72"/>
  <c r="E206" i="72"/>
  <c r="E207" i="72"/>
  <c r="E208" i="72"/>
  <c r="E209" i="72"/>
  <c r="E84" i="72"/>
  <c r="E85" i="72"/>
  <c r="E86" i="72"/>
  <c r="E87" i="72"/>
  <c r="E88" i="72"/>
  <c r="E89" i="72"/>
  <c r="E90" i="72"/>
  <c r="E91" i="72"/>
  <c r="E92" i="72"/>
  <c r="E93" i="72"/>
  <c r="E94" i="72"/>
  <c r="E95" i="72"/>
  <c r="E83" i="72"/>
  <c r="E82" i="72"/>
  <c r="E12" i="72"/>
  <c r="E15" i="72"/>
  <c r="E16" i="72"/>
  <c r="E17" i="72"/>
  <c r="E18" i="72"/>
  <c r="E19" i="72"/>
  <c r="E20" i="72"/>
  <c r="E21" i="72"/>
  <c r="E22" i="72"/>
  <c r="E23" i="72"/>
  <c r="E24" i="72"/>
  <c r="E25" i="72"/>
  <c r="E26" i="72"/>
  <c r="E27" i="72"/>
  <c r="E28" i="72"/>
  <c r="E29" i="72"/>
  <c r="E30" i="72"/>
  <c r="E31" i="72"/>
  <c r="E32" i="72"/>
  <c r="E33" i="72"/>
  <c r="E34" i="72"/>
  <c r="E35" i="72"/>
  <c r="E36" i="72"/>
  <c r="E37" i="72"/>
  <c r="E38" i="72"/>
  <c r="E39" i="72"/>
  <c r="E40" i="72"/>
  <c r="E41" i="72"/>
  <c r="E42" i="72"/>
  <c r="E43" i="72"/>
  <c r="E44" i="72"/>
  <c r="E45" i="72"/>
  <c r="E46" i="72"/>
  <c r="E47" i="72"/>
  <c r="E48" i="72"/>
  <c r="E49" i="72"/>
  <c r="E50" i="72"/>
  <c r="E51" i="72"/>
  <c r="E52" i="72"/>
  <c r="E53" i="72"/>
  <c r="E54" i="72"/>
  <c r="E55" i="72"/>
  <c r="E56" i="72"/>
  <c r="E57" i="72"/>
  <c r="E58" i="72"/>
  <c r="E59" i="72"/>
  <c r="E60" i="72"/>
  <c r="E61" i="72"/>
  <c r="E62" i="72"/>
  <c r="E63" i="72"/>
  <c r="E64" i="72"/>
  <c r="E65" i="72"/>
  <c r="E66" i="72"/>
  <c r="E67" i="72"/>
  <c r="E68" i="72"/>
  <c r="E69" i="72"/>
  <c r="E70" i="72"/>
  <c r="E71" i="72"/>
  <c r="E72" i="72"/>
  <c r="E73" i="72"/>
  <c r="E74" i="72"/>
  <c r="E75" i="72"/>
  <c r="E76" i="72"/>
  <c r="E77" i="72"/>
  <c r="E78" i="72"/>
  <c r="E79" i="72"/>
  <c r="E80" i="72"/>
  <c r="E81" i="72"/>
  <c r="E11" i="72"/>
  <c r="E72" i="62"/>
  <c r="C12" i="47"/>
  <c r="G11" i="47"/>
  <c r="C14" i="47"/>
  <c r="G14" i="47"/>
  <c r="J14" i="47"/>
  <c r="I15" i="47"/>
  <c r="C16" i="47"/>
  <c r="C210" i="47"/>
  <c r="J16" i="47"/>
  <c r="C17" i="47"/>
  <c r="G15" i="47"/>
  <c r="J17" i="47"/>
  <c r="C18" i="47"/>
  <c r="J18" i="47"/>
  <c r="I19" i="47"/>
  <c r="I20" i="47"/>
  <c r="I21" i="47"/>
  <c r="I22" i="47"/>
  <c r="K21" i="47"/>
  <c r="C23" i="47"/>
  <c r="J23" i="47"/>
  <c r="K22" i="47"/>
  <c r="C24" i="47"/>
  <c r="J24" i="47"/>
  <c r="J25" i="47"/>
  <c r="G26" i="47"/>
  <c r="C34" i="47"/>
  <c r="G32" i="47"/>
  <c r="G35" i="47"/>
  <c r="C36" i="47"/>
  <c r="C37" i="47"/>
  <c r="G36" i="47"/>
  <c r="D42" i="47"/>
  <c r="D210" i="47"/>
  <c r="G210" i="47"/>
  <c r="C44" i="47"/>
  <c r="C46" i="47"/>
  <c r="C47" i="47"/>
  <c r="C50" i="47"/>
  <c r="C56" i="47"/>
  <c r="C58" i="47"/>
  <c r="C60" i="47"/>
  <c r="C64" i="47"/>
  <c r="C66" i="47"/>
  <c r="C67" i="47"/>
  <c r="C74" i="47"/>
  <c r="C81" i="47"/>
  <c r="G81" i="47"/>
  <c r="H83" i="47"/>
  <c r="I83" i="47"/>
  <c r="J84" i="47"/>
  <c r="H85" i="47"/>
  <c r="H92" i="47"/>
  <c r="H93" i="47"/>
  <c r="H94" i="47"/>
  <c r="L90" i="47"/>
  <c r="H95" i="47"/>
  <c r="H96" i="47"/>
  <c r="H98" i="47"/>
  <c r="C12" i="46"/>
  <c r="C210" i="46"/>
  <c r="G11" i="46"/>
  <c r="I11" i="46"/>
  <c r="C14" i="46"/>
  <c r="G14" i="46"/>
  <c r="J14" i="46"/>
  <c r="I15" i="46"/>
  <c r="C16" i="46"/>
  <c r="J16" i="46"/>
  <c r="C17" i="46"/>
  <c r="J17" i="46"/>
  <c r="C18" i="46"/>
  <c r="J18" i="46"/>
  <c r="I19" i="46"/>
  <c r="I20" i="46"/>
  <c r="I21" i="46"/>
  <c r="I22" i="46"/>
  <c r="K21" i="46"/>
  <c r="K23" i="46"/>
  <c r="C23" i="46"/>
  <c r="G15" i="46"/>
  <c r="J23" i="46"/>
  <c r="K22" i="46"/>
  <c r="C24" i="46"/>
  <c r="J24" i="46"/>
  <c r="J25" i="46"/>
  <c r="G26" i="46"/>
  <c r="C34" i="46"/>
  <c r="G32" i="46"/>
  <c r="G35" i="46"/>
  <c r="C36" i="46"/>
  <c r="C37" i="46"/>
  <c r="D42" i="46"/>
  <c r="D210" i="46"/>
  <c r="F210" i="46"/>
  <c r="F1" i="46"/>
  <c r="C44" i="46"/>
  <c r="C46" i="46"/>
  <c r="C47" i="46"/>
  <c r="G36" i="46"/>
  <c r="C50" i="46"/>
  <c r="C56" i="46"/>
  <c r="C58" i="46"/>
  <c r="C60" i="46"/>
  <c r="C64" i="46"/>
  <c r="C66" i="46"/>
  <c r="C67" i="46"/>
  <c r="C74" i="46"/>
  <c r="C81" i="46"/>
  <c r="G81" i="46"/>
  <c r="H83" i="46"/>
  <c r="I83" i="46"/>
  <c r="J84" i="46"/>
  <c r="H85" i="46"/>
  <c r="H92" i="46"/>
  <c r="H93" i="46"/>
  <c r="H94" i="46"/>
  <c r="L90" i="46"/>
  <c r="H95" i="46"/>
  <c r="H96" i="46"/>
  <c r="H98" i="46"/>
  <c r="C12" i="45"/>
  <c r="C210" i="45"/>
  <c r="G11" i="45"/>
  <c r="I11" i="45"/>
  <c r="C14" i="45"/>
  <c r="G14" i="45"/>
  <c r="J14" i="45"/>
  <c r="I15" i="45"/>
  <c r="K21" i="45"/>
  <c r="C16" i="45"/>
  <c r="G15" i="45"/>
  <c r="J16" i="45"/>
  <c r="C17" i="45"/>
  <c r="J17" i="45"/>
  <c r="C18" i="45"/>
  <c r="J18" i="45"/>
  <c r="I19" i="45"/>
  <c r="I20" i="45"/>
  <c r="I21" i="45"/>
  <c r="I22" i="45"/>
  <c r="C23" i="45"/>
  <c r="J23" i="45"/>
  <c r="C24" i="45"/>
  <c r="J24" i="45"/>
  <c r="J25" i="45"/>
  <c r="G26" i="45"/>
  <c r="C34" i="45"/>
  <c r="G32" i="45"/>
  <c r="G35" i="45"/>
  <c r="C36" i="45"/>
  <c r="C37" i="45"/>
  <c r="G36" i="45"/>
  <c r="D42" i="45"/>
  <c r="D210" i="45"/>
  <c r="C44" i="45"/>
  <c r="C46" i="45"/>
  <c r="C47" i="45"/>
  <c r="C50" i="45"/>
  <c r="C54" i="45"/>
  <c r="C56" i="45"/>
  <c r="C58" i="45"/>
  <c r="C60" i="45"/>
  <c r="C64" i="45"/>
  <c r="C66" i="45"/>
  <c r="C67" i="45"/>
  <c r="C74" i="45"/>
  <c r="C81" i="45"/>
  <c r="G81" i="45"/>
  <c r="H83" i="45"/>
  <c r="H98" i="45"/>
  <c r="I83" i="45"/>
  <c r="J84" i="45"/>
  <c r="H85" i="45"/>
  <c r="H92" i="45"/>
  <c r="H93" i="45"/>
  <c r="H94" i="45"/>
  <c r="L90" i="45"/>
  <c r="H95" i="45"/>
  <c r="D96" i="45"/>
  <c r="H96" i="45"/>
  <c r="E11" i="68"/>
  <c r="E195" i="60"/>
  <c r="E11" i="67"/>
  <c r="E11" i="62"/>
  <c r="E85" i="60"/>
  <c r="E115" i="71"/>
  <c r="E31" i="67"/>
  <c r="E169" i="67"/>
  <c r="E97" i="67"/>
  <c r="E79" i="65"/>
  <c r="E183" i="62"/>
  <c r="E183" i="69"/>
  <c r="E43" i="69"/>
  <c r="E169" i="69"/>
  <c r="E143" i="68"/>
  <c r="E27" i="68"/>
  <c r="E110" i="68"/>
  <c r="E201" i="72"/>
  <c r="D210" i="72"/>
  <c r="E96" i="72"/>
  <c r="D210" i="71"/>
  <c r="E96" i="71"/>
  <c r="E13" i="64"/>
  <c r="D210" i="64"/>
  <c r="E96" i="64"/>
  <c r="E96" i="68"/>
  <c r="D210" i="68"/>
  <c r="C210" i="68"/>
  <c r="E210" i="68"/>
  <c r="D210" i="69"/>
  <c r="E96" i="69"/>
  <c r="E13" i="69"/>
  <c r="E13" i="60"/>
  <c r="C210" i="60"/>
  <c r="E96" i="60"/>
  <c r="D210" i="60"/>
  <c r="D210" i="70"/>
  <c r="E96" i="70"/>
  <c r="C210" i="70"/>
  <c r="C210" i="62"/>
  <c r="E13" i="62"/>
  <c r="E96" i="62"/>
  <c r="D210" i="62"/>
  <c r="D210" i="63"/>
  <c r="E96" i="63"/>
  <c r="E13" i="63"/>
  <c r="C210" i="63"/>
  <c r="D210" i="65"/>
  <c r="E96" i="65"/>
  <c r="E13" i="65"/>
  <c r="E96" i="66"/>
  <c r="E13" i="67"/>
  <c r="E96" i="67"/>
  <c r="E11" i="71"/>
  <c r="C210" i="71"/>
  <c r="C210" i="69"/>
  <c r="E11" i="69"/>
  <c r="G210" i="46"/>
  <c r="E13" i="68"/>
  <c r="C210" i="64"/>
  <c r="E13" i="71"/>
  <c r="C210" i="72"/>
  <c r="E210" i="72"/>
  <c r="F12" i="72"/>
  <c r="C210" i="66"/>
  <c r="E210" i="66"/>
  <c r="E11" i="66"/>
  <c r="D210" i="67"/>
  <c r="E85" i="67"/>
  <c r="I11" i="47"/>
  <c r="K23" i="47"/>
  <c r="K22" i="45"/>
  <c r="H81" i="47"/>
  <c r="H99" i="47"/>
  <c r="G210" i="45"/>
  <c r="F210" i="45"/>
  <c r="F1" i="45"/>
  <c r="K23" i="45"/>
  <c r="H81" i="45"/>
  <c r="H99" i="45"/>
  <c r="H81" i="46"/>
  <c r="H99" i="46"/>
  <c r="F210" i="47"/>
  <c r="F1" i="47"/>
</calcChain>
</file>

<file path=xl/comments1.xml><?xml version="1.0" encoding="utf-8"?>
<comments xmlns="http://schemas.openxmlformats.org/spreadsheetml/2006/main">
  <authors>
    <author>Macco</author>
  </authors>
  <commentList>
    <comment ref="J19" authorId="0" shapeId="0">
      <text>
        <r>
          <rPr>
            <b/>
            <sz val="9"/>
            <color indexed="81"/>
            <rFont val="Tahoma"/>
            <family val="2"/>
          </rPr>
          <t>MACCO:</t>
        </r>
        <r>
          <rPr>
            <sz val="9"/>
            <color indexed="81"/>
            <rFont val="Tahoma"/>
            <family val="2"/>
          </rPr>
          <t xml:space="preserve">
Beginning Balance as of December 31, 2019</t>
        </r>
      </text>
    </comment>
  </commentList>
</comments>
</file>

<file path=xl/comments2.xml><?xml version="1.0" encoding="utf-8"?>
<comments xmlns="http://schemas.openxmlformats.org/spreadsheetml/2006/main">
  <authors>
    <author>Macco</author>
  </authors>
  <commentList>
    <comment ref="J19" authorId="0" shapeId="0">
      <text>
        <r>
          <rPr>
            <b/>
            <sz val="9"/>
            <color indexed="81"/>
            <rFont val="Tahoma"/>
            <family val="2"/>
          </rPr>
          <t>MACCO:</t>
        </r>
        <r>
          <rPr>
            <sz val="9"/>
            <color indexed="81"/>
            <rFont val="Tahoma"/>
            <family val="2"/>
          </rPr>
          <t xml:space="preserve">
Beginning Balance as of December 31, 2019</t>
        </r>
      </text>
    </comment>
  </commentList>
</comments>
</file>

<file path=xl/comments3.xml><?xml version="1.0" encoding="utf-8"?>
<comments xmlns="http://schemas.openxmlformats.org/spreadsheetml/2006/main">
  <authors>
    <author>Macco</author>
  </authors>
  <commentList>
    <comment ref="J19" authorId="0" shapeId="0">
      <text>
        <r>
          <rPr>
            <b/>
            <sz val="9"/>
            <color indexed="81"/>
            <rFont val="Tahoma"/>
            <family val="2"/>
          </rPr>
          <t>MACCO:</t>
        </r>
        <r>
          <rPr>
            <sz val="9"/>
            <color indexed="81"/>
            <rFont val="Tahoma"/>
            <family val="2"/>
          </rPr>
          <t xml:space="preserve">
Beginning Balance as of December 31, 2019</t>
        </r>
      </text>
    </comment>
  </commentList>
</comments>
</file>

<file path=xl/sharedStrings.xml><?xml version="1.0" encoding="utf-8"?>
<sst xmlns="http://schemas.openxmlformats.org/spreadsheetml/2006/main" count="3413" uniqueCount="263">
  <si>
    <t>Certified Correct:</t>
  </si>
  <si>
    <t>Municipality of Jaro</t>
  </si>
  <si>
    <t>Republic of the Philippines</t>
  </si>
  <si>
    <t>PROVINCE OF LEYTE</t>
  </si>
  <si>
    <t>DEBIT</t>
  </si>
  <si>
    <t>CREDIT</t>
  </si>
  <si>
    <t>TOTAL</t>
  </si>
  <si>
    <t>TRIAL BALANCE</t>
  </si>
  <si>
    <t>GENERAL FUND</t>
  </si>
  <si>
    <t>ACCOUNT CODE</t>
  </si>
  <si>
    <t>ACCOUNT NAME</t>
  </si>
  <si>
    <t>Real Property Tax Receivable</t>
  </si>
  <si>
    <t>Due from Other Funds</t>
  </si>
  <si>
    <t>Other Receivables</t>
  </si>
  <si>
    <t>Land</t>
  </si>
  <si>
    <t>School Buildings</t>
  </si>
  <si>
    <t>Office Equipment</t>
  </si>
  <si>
    <t>Machinery</t>
  </si>
  <si>
    <t>Communication Equipment</t>
  </si>
  <si>
    <t>Motor Vehicles</t>
  </si>
  <si>
    <t>Honoraria</t>
  </si>
  <si>
    <t>Hazard Pay</t>
  </si>
  <si>
    <t>Sports Equipment</t>
  </si>
  <si>
    <t>Office Supplies Expenses</t>
  </si>
  <si>
    <t>Representation Expenses</t>
  </si>
  <si>
    <t>Water Expenses</t>
  </si>
  <si>
    <t>Electricity Expenses</t>
  </si>
  <si>
    <t>Consultancy Services</t>
  </si>
  <si>
    <t>Donations</t>
  </si>
  <si>
    <t>Due to Officers &amp; Employees</t>
  </si>
  <si>
    <t>Due to BIR</t>
  </si>
  <si>
    <t>Due to GSIS</t>
  </si>
  <si>
    <t>Due to Other Funds</t>
  </si>
  <si>
    <t>Other Payables</t>
  </si>
  <si>
    <t>Loans Payable-Domestic</t>
  </si>
  <si>
    <t>Government Equity</t>
  </si>
  <si>
    <t>Business Tax</t>
  </si>
  <si>
    <t>Community Tax</t>
  </si>
  <si>
    <t>Tax on Delivery Trucks &amp; Vans</t>
  </si>
  <si>
    <t>Permit Fees</t>
  </si>
  <si>
    <t>Registration Fees</t>
  </si>
  <si>
    <t>Clearance &amp; Certification Fees</t>
  </si>
  <si>
    <t>Garbage Fees</t>
  </si>
  <si>
    <t>Inspection Fees</t>
  </si>
  <si>
    <t>Other Service Income</t>
  </si>
  <si>
    <t>Rent Income</t>
  </si>
  <si>
    <t>Terminal Leave Benefits</t>
  </si>
  <si>
    <t>Training Expenses</t>
  </si>
  <si>
    <t>Accountable Forms Expenses</t>
  </si>
  <si>
    <t>Prepaid Insurance</t>
  </si>
  <si>
    <t>Due from GOCCs</t>
  </si>
  <si>
    <t>Due from LGUs</t>
  </si>
  <si>
    <t>Construction &amp; Heavy Equipment</t>
  </si>
  <si>
    <t>Other Property, Plant &amp; Equipment</t>
  </si>
  <si>
    <t>Due to PAG-IBIG</t>
  </si>
  <si>
    <t>Due to PHILHEALTH</t>
  </si>
  <si>
    <t>Due to LGUs</t>
  </si>
  <si>
    <t>Personnel Economic Relief Allowance (PERA)</t>
  </si>
  <si>
    <t>Clothing/Uniform Allowance</t>
  </si>
  <si>
    <t>PAG-IBIG Contributions</t>
  </si>
  <si>
    <t>PHILHEALTH Contributions</t>
  </si>
  <si>
    <t>Technical &amp; Scientific Equipment</t>
  </si>
  <si>
    <t>Furniture &amp; Fixtures</t>
  </si>
  <si>
    <t>Other Professional Services</t>
  </si>
  <si>
    <t>Prepared by:</t>
  </si>
  <si>
    <t>Office Supplies Inventory</t>
  </si>
  <si>
    <t>Auditing Services</t>
  </si>
  <si>
    <t xml:space="preserve">Petty Cash </t>
  </si>
  <si>
    <t>Other Investments</t>
  </si>
  <si>
    <t>Advances for Payroll</t>
  </si>
  <si>
    <t>Advances for Officers &amp; Employees</t>
  </si>
  <si>
    <t>Other Supplies &amp; Materials Inventory</t>
  </si>
  <si>
    <t>Land Improvements, Aquaculture Structures</t>
  </si>
  <si>
    <t>Power Supply Systems</t>
  </si>
  <si>
    <t>Buildings</t>
  </si>
  <si>
    <t xml:space="preserve">Markets </t>
  </si>
  <si>
    <t>Information &amp; Communication Technology Equipment</t>
  </si>
  <si>
    <t>Agricultural &amp; Forestry Equipment</t>
  </si>
  <si>
    <t>Other Machinery &amp; Equipment</t>
  </si>
  <si>
    <t>Books</t>
  </si>
  <si>
    <t>Construction in Progress- Infrastructure Assets</t>
  </si>
  <si>
    <t>Construction in Progress-Buildings &amp; Other Structures</t>
  </si>
  <si>
    <t>Accumulated Depreciation- Power Supply Systems</t>
  </si>
  <si>
    <t>Accumulated Depreciation- Machinery</t>
  </si>
  <si>
    <t>Accumulated Depreciation- Office Equipment</t>
  </si>
  <si>
    <t>Accumulated Depreciation- Information &amp; Communication Technology Equipment</t>
  </si>
  <si>
    <t>Accumulated Depreciation- Agricultural &amp; Forestry Equipment</t>
  </si>
  <si>
    <t>Accumulated Depreciation- Communication Equipment</t>
  </si>
  <si>
    <t>Accumulated Depreciation- Construction &amp; Heavy Equipment</t>
  </si>
  <si>
    <t>Accumulated Depreciation- Other Machinery &amp; Equipment</t>
  </si>
  <si>
    <t>Accumulated Depreciation- Motor Vehicles</t>
  </si>
  <si>
    <t>Accumulated Depreciation- Furniture &amp; Fixtures</t>
  </si>
  <si>
    <t>Accumulated Depreciation- Other Property, Plant &amp; Equipment</t>
  </si>
  <si>
    <t>Due to NGAs</t>
  </si>
  <si>
    <t>Due to GOCCs</t>
  </si>
  <si>
    <t>Guaranty/Security Deposits Payable</t>
  </si>
  <si>
    <t xml:space="preserve">Deferred Real Property Tax </t>
  </si>
  <si>
    <t>Prior Period Adjustment</t>
  </si>
  <si>
    <t>Real Property Tax-Basic</t>
  </si>
  <si>
    <t>Discount on Real Property Tax- Basic</t>
  </si>
  <si>
    <t>Other Taxes</t>
  </si>
  <si>
    <t>Tax Revenue- Fines &amp; Penalties- Property Taxes</t>
  </si>
  <si>
    <t>Share from Internal Revenue Collections (IRA)</t>
  </si>
  <si>
    <t>Occupation Fees</t>
  </si>
  <si>
    <t>Fees for Sealing &amp; Licensing of Weights &amp; Measures</t>
  </si>
  <si>
    <t>Receipt from Market Operations</t>
  </si>
  <si>
    <t>Receipt from Slaughterhouse Operation</t>
  </si>
  <si>
    <t>Receipt from Cemetery Operations</t>
  </si>
  <si>
    <t>Share from PCSO</t>
  </si>
  <si>
    <t>Salaries &amp; Wages- Regular</t>
  </si>
  <si>
    <t>Salaries &amp; Wages-Casual/Contractual</t>
  </si>
  <si>
    <t>Representation Allowance (RA)</t>
  </si>
  <si>
    <t>Transportation Allowance (TA)</t>
  </si>
  <si>
    <t>Subsistence Allowance</t>
  </si>
  <si>
    <t>Laundry Allowance</t>
  </si>
  <si>
    <t>Retirement &amp; Life Insurance Premiums</t>
  </si>
  <si>
    <t>Employees Compensation Insurance Premiums</t>
  </si>
  <si>
    <t>Traveling Expenses- Local</t>
  </si>
  <si>
    <t>Fuel, Oil &amp; Lubricants Expenses</t>
  </si>
  <si>
    <t>Other Supplies &amp; Materials  Expenses</t>
  </si>
  <si>
    <t>Repairs &amp; Maintenance - Buildings &amp; Other Structures</t>
  </si>
  <si>
    <t>Repairs &amp; Maintenance - Machinery &amp; Equipment</t>
  </si>
  <si>
    <t>Repairs &amp; Maintenance - Transportation Equipment</t>
  </si>
  <si>
    <t>Cash Local Treasury</t>
  </si>
  <si>
    <t>Receivables- Disallowances/Charges</t>
  </si>
  <si>
    <t>Advances for Operating Expenses</t>
  </si>
  <si>
    <t>Franchise Tax</t>
  </si>
  <si>
    <t>Fines &amp; Penalties- Service Income</t>
  </si>
  <si>
    <t xml:space="preserve">Professional Tax </t>
  </si>
  <si>
    <t>Other Business Income</t>
  </si>
  <si>
    <t>Real Property Transfer Tax</t>
  </si>
  <si>
    <t>Interest Income</t>
  </si>
  <si>
    <t>Tax on Sand, Gravel &amp; Other Quarry Products</t>
  </si>
  <si>
    <t>Due from National Government Agencies</t>
  </si>
  <si>
    <t>Due from Officers and Employees</t>
  </si>
  <si>
    <t>Property &amp; Equipment for Distribution</t>
  </si>
  <si>
    <t>Construction in Progress-Investment Property, Buildings</t>
  </si>
  <si>
    <t>Disaster Response &amp; Rescue Equipment</t>
  </si>
  <si>
    <t>Accumulated Depreciation-Disaster Response &amp; Rescue Equipment</t>
  </si>
  <si>
    <t>Amusement Tax</t>
  </si>
  <si>
    <t>Overtime &amp; Night Pay</t>
  </si>
  <si>
    <t>Year-End Bonus</t>
  </si>
  <si>
    <t>Cash Gift</t>
  </si>
  <si>
    <t>Other Bonuses &amp; Allowances</t>
  </si>
  <si>
    <t>Welfare Goods Expenses</t>
  </si>
  <si>
    <t>Drugs &amp; Medicines Expenses</t>
  </si>
  <si>
    <t>Medical, Dental &amp; Laboratory Supplies Expenses</t>
  </si>
  <si>
    <t>Agricultural &amp; Marine Supplies Expenses</t>
  </si>
  <si>
    <t>Internet Subscription Expenses</t>
  </si>
  <si>
    <t>Extraordinary &amp; Miscellaneous Expenses</t>
  </si>
  <si>
    <t>Legal Services</t>
  </si>
  <si>
    <t>Telephone Expenses</t>
  </si>
  <si>
    <t>Repairs &amp; Maintenance - Furniture and Fixtures</t>
  </si>
  <si>
    <t>Subsidy to LGUs</t>
  </si>
  <si>
    <t>Taxes, Duties &amp; Licenses</t>
  </si>
  <si>
    <t>Fidelity Bond Premiums</t>
  </si>
  <si>
    <t>Insurance Expenses</t>
  </si>
  <si>
    <t>Advertising Expenses</t>
  </si>
  <si>
    <t>Printing &amp; Publication Expenses</t>
  </si>
  <si>
    <t>Rent Expenses</t>
  </si>
  <si>
    <t>Membership Dues &amp; Contributions to Organizations</t>
  </si>
  <si>
    <t>Other Financial Charges</t>
  </si>
  <si>
    <t>Depreciation - Machinery &amp; Equipment</t>
  </si>
  <si>
    <t>Depreciation - Transportation Equipment</t>
  </si>
  <si>
    <t>Depreciation -  Furniture, Fixtures &amp; Books</t>
  </si>
  <si>
    <t>Depreciation - Other Property, Plant &amp; Equipment</t>
  </si>
  <si>
    <t>Other Intangible Assets</t>
  </si>
  <si>
    <t>Postage and Courier Services</t>
  </si>
  <si>
    <t>Other Maintenance &amp; Operating Expenses</t>
  </si>
  <si>
    <t>Computer Software</t>
  </si>
  <si>
    <t>Repairs &amp; Maintenance - Other PPE</t>
  </si>
  <si>
    <t>DIFFERENCE</t>
  </si>
  <si>
    <t>Cash</t>
  </si>
  <si>
    <t>Investment</t>
  </si>
  <si>
    <t>Receivables</t>
  </si>
  <si>
    <t>Inventories</t>
  </si>
  <si>
    <t>Prepayment/Deferred Charges</t>
  </si>
  <si>
    <t>Investment Prop</t>
  </si>
  <si>
    <t>PPE</t>
  </si>
  <si>
    <t>Intangible Assets</t>
  </si>
  <si>
    <t>Financial Liabilities</t>
  </si>
  <si>
    <t>Inter-Agency Payables</t>
  </si>
  <si>
    <t>Intra-Agency Payables</t>
  </si>
  <si>
    <t>Trust Liabilities</t>
  </si>
  <si>
    <t>Deferred Credit/Unearned Income</t>
  </si>
  <si>
    <t>Research, Exploration &amp; Development Expenses</t>
  </si>
  <si>
    <t>Repairs &amp; Maintenance - Infrastructures &amp; Assets</t>
  </si>
  <si>
    <t>Grants &amp; Donations in Cash</t>
  </si>
  <si>
    <t>Agricultural &amp; Marine Supplies Inventory</t>
  </si>
  <si>
    <t>CURRENT</t>
  </si>
  <si>
    <t>NON-CURRENT</t>
  </si>
  <si>
    <t>Depreciation - Infrastructure Assets</t>
  </si>
  <si>
    <t>Share from National Wealth</t>
  </si>
  <si>
    <t>Slaughterhouse</t>
  </si>
  <si>
    <t>Award/Rewards Expenses</t>
  </si>
  <si>
    <t>Municipal Accountant</t>
  </si>
  <si>
    <t>Medical, Dental &amp; Laboratory Supplies Inventory</t>
  </si>
  <si>
    <t>Medical Equipment</t>
  </si>
  <si>
    <t>Animal/Zoological Supplies Expenses</t>
  </si>
  <si>
    <t>Prizes</t>
  </si>
  <si>
    <t>JUDY G. PARADO, CPA</t>
  </si>
  <si>
    <t>Food Supplies Expenses</t>
  </si>
  <si>
    <t>Other General Services</t>
  </si>
  <si>
    <t>Other Personnel Benefits</t>
  </si>
  <si>
    <t>Road Networks</t>
  </si>
  <si>
    <t>Registration Plates, Tags &amp; Stickers Fees</t>
  </si>
  <si>
    <t>Non - Accountable Forms Expenses</t>
  </si>
  <si>
    <t>Accumulated Depreciation- Books</t>
  </si>
  <si>
    <t>Military, Police &amp; Security Equipment</t>
  </si>
  <si>
    <t>Other Structure</t>
  </si>
  <si>
    <t>Accumulated Depreciation- Medical Equipment</t>
  </si>
  <si>
    <t>Transfer of Project Equity Share</t>
  </si>
  <si>
    <t>Subsidy from National Government Agencies (NGAs)</t>
  </si>
  <si>
    <t>Miscellaneous Income</t>
  </si>
  <si>
    <t>Water Supply System</t>
  </si>
  <si>
    <t>Survey Expenses</t>
  </si>
  <si>
    <t>Security Services</t>
  </si>
  <si>
    <t>Transfer from Gen. Fund as Project Equity Share</t>
  </si>
  <si>
    <t>Other Prepayments</t>
  </si>
  <si>
    <t>Drugs &amp; Medicines Inventory</t>
  </si>
  <si>
    <t>Subsidy to Other Funds</t>
  </si>
  <si>
    <t>Accumulated Depreciation-Military, Police &amp; Security Equipment</t>
  </si>
  <si>
    <t>Fines &amp; Penalties- Business Income</t>
  </si>
  <si>
    <t>Construction in Progress- Land Improvements</t>
  </si>
  <si>
    <t>Repairs &amp; Maintenance - Land Improvements</t>
  </si>
  <si>
    <t>JESSA  S. CABIYAAN</t>
  </si>
  <si>
    <t>Cash in Bank-Local Currency, Savings Account</t>
  </si>
  <si>
    <t>Grants &amp; Donations in Kind</t>
  </si>
  <si>
    <t>Advances to Contractors</t>
  </si>
  <si>
    <t>Adiministrative Aide III</t>
  </si>
  <si>
    <t>As of JANUARY 31,2022</t>
  </si>
  <si>
    <t>Flood Control Sysems</t>
  </si>
  <si>
    <t>As of February 28,2022</t>
  </si>
  <si>
    <t>As of March 31,2022</t>
  </si>
  <si>
    <t xml:space="preserve">    </t>
  </si>
  <si>
    <t>others</t>
  </si>
  <si>
    <t>suppliers</t>
  </si>
  <si>
    <t>ppe</t>
  </si>
  <si>
    <t>chairman</t>
  </si>
  <si>
    <t xml:space="preserve"> councilor </t>
  </si>
  <si>
    <t>sk</t>
  </si>
  <si>
    <t>treasurer</t>
  </si>
  <si>
    <t>secretary</t>
  </si>
  <si>
    <t>bhws and others</t>
  </si>
  <si>
    <t xml:space="preserve">  </t>
  </si>
  <si>
    <t>As of January 31,2022</t>
  </si>
  <si>
    <t>Accounting Staff</t>
  </si>
  <si>
    <t>JUVELYN A. CABARRUBIAS</t>
  </si>
  <si>
    <t>Accounting staff</t>
  </si>
  <si>
    <t>Accounting  Staff</t>
  </si>
  <si>
    <t>As of April 30,2022</t>
  </si>
  <si>
    <t>As of May 31,2022</t>
  </si>
  <si>
    <t>As of June 30,2022</t>
  </si>
  <si>
    <t>As of July 31,2022</t>
  </si>
  <si>
    <t>As of August 31,2022</t>
  </si>
  <si>
    <t>As of September 30,2022</t>
  </si>
  <si>
    <t>As of October 31,2022</t>
  </si>
  <si>
    <t>As of November 30,2022</t>
  </si>
  <si>
    <t>As of December 31,2022</t>
  </si>
  <si>
    <t>BRGY.PARASAN</t>
  </si>
  <si>
    <t>BRGY. PARASAN</t>
  </si>
  <si>
    <t>BRGY .PARASAN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</si>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</sst>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71" formatCode="_-* #,##0.00_-;\-* #,##0.00_-;_-* &quot;-&quot;??_-;_-@_-"/>
  </numFmts>
  <fonts count="33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 Black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2"/>
      <name val="Arial Black"/>
      <family val="2"/>
    </font>
    <font>
      <sz val="14"/>
      <name val="Arial"/>
      <family val="2"/>
    </font>
    <font>
      <b/>
      <sz val="14"/>
      <name val="Arial"/>
      <family val="2"/>
    </font>
    <font>
      <b/>
      <sz val="14"/>
      <name val="Arial Black"/>
      <family val="2"/>
    </font>
    <font>
      <b/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Arial"/>
      <family val="2"/>
    </font>
    <font>
      <sz val="14"/>
      <color rgb="FFFF000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4" fontId="5" fillId="0" borderId="0" xfId="0" applyNumberFormat="1" applyFont="1" applyAlignment="1">
      <alignment vertical="center"/>
    </xf>
    <xf numFmtId="4" fontId="3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/>
    <xf numFmtId="0" fontId="5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1" applyFont="1" applyFill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4" fontId="5" fillId="0" borderId="2" xfId="0" applyNumberFormat="1" applyFont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4" fontId="18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4" fontId="7" fillId="0" borderId="0" xfId="0" applyNumberFormat="1" applyFont="1" applyAlignment="1">
      <alignment horizontal="left" vertical="center"/>
    </xf>
    <xf numFmtId="4" fontId="7" fillId="0" borderId="0" xfId="0" applyNumberFormat="1" applyFont="1" applyFill="1" applyAlignment="1">
      <alignment horizontal="left" vertical="center"/>
    </xf>
    <xf numFmtId="43" fontId="7" fillId="0" borderId="0" xfId="0" applyNumberFormat="1" applyFont="1" applyFill="1" applyAlignment="1">
      <alignment vertical="center"/>
    </xf>
    <xf numFmtId="0" fontId="19" fillId="0" borderId="0" xfId="0" applyFont="1" applyFill="1"/>
    <xf numFmtId="4" fontId="7" fillId="0" borderId="0" xfId="0" applyNumberFormat="1" applyFont="1" applyAlignment="1">
      <alignment horizontal="right" vertical="center"/>
    </xf>
    <xf numFmtId="43" fontId="18" fillId="0" borderId="0" xfId="0" applyNumberFormat="1" applyFont="1" applyFill="1" applyAlignment="1">
      <alignment vertical="center"/>
    </xf>
    <xf numFmtId="0" fontId="7" fillId="3" borderId="0" xfId="0" applyFont="1" applyFill="1" applyAlignment="1">
      <alignment horizontal="center" vertical="center"/>
    </xf>
    <xf numFmtId="43" fontId="7" fillId="0" borderId="0" xfId="0" applyNumberFormat="1" applyFont="1" applyFill="1" applyAlignment="1">
      <alignment horizontal="right" vertical="center"/>
    </xf>
    <xf numFmtId="0" fontId="20" fillId="0" borderId="0" xfId="0" applyFont="1" applyFill="1" applyAlignment="1">
      <alignment horizontal="right" vertical="center"/>
    </xf>
    <xf numFmtId="0" fontId="18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vertical="center"/>
    </xf>
    <xf numFmtId="0" fontId="5" fillId="0" borderId="3" xfId="0" applyFont="1" applyFill="1" applyBorder="1" applyAlignment="1">
      <alignment vertical="center"/>
    </xf>
    <xf numFmtId="0" fontId="5" fillId="0" borderId="3" xfId="0" applyFont="1" applyFill="1" applyBorder="1" applyAlignment="1">
      <alignment horizontal="center" vertical="center"/>
    </xf>
    <xf numFmtId="43" fontId="3" fillId="0" borderId="0" xfId="0" applyNumberFormat="1" applyFont="1" applyFill="1"/>
    <xf numFmtId="43" fontId="20" fillId="0" borderId="0" xfId="0" applyNumberFormat="1" applyFont="1" applyFill="1" applyAlignment="1">
      <alignment horizontal="right" vertical="center"/>
    </xf>
    <xf numFmtId="4" fontId="18" fillId="0" borderId="0" xfId="0" applyNumberFormat="1" applyFont="1" applyFill="1" applyAlignment="1">
      <alignment vertical="center"/>
    </xf>
    <xf numFmtId="4" fontId="20" fillId="0" borderId="0" xfId="0" applyNumberFormat="1" applyFont="1" applyFill="1" applyAlignment="1">
      <alignment horizontal="left" vertical="center"/>
    </xf>
    <xf numFmtId="0" fontId="20" fillId="0" borderId="0" xfId="0" applyFont="1" applyFill="1" applyAlignment="1">
      <alignment vertical="center"/>
    </xf>
    <xf numFmtId="4" fontId="7" fillId="0" borderId="0" xfId="0" applyNumberFormat="1" applyFont="1" applyFill="1" applyAlignment="1">
      <alignment horizontal="right" vertical="center"/>
    </xf>
    <xf numFmtId="0" fontId="21" fillId="0" borderId="0" xfId="0" applyFont="1" applyAlignment="1">
      <alignment vertical="center"/>
    </xf>
    <xf numFmtId="4" fontId="21" fillId="0" borderId="2" xfId="0" applyNumberFormat="1" applyFont="1" applyBorder="1" applyAlignment="1">
      <alignment vertical="center"/>
    </xf>
    <xf numFmtId="0" fontId="21" fillId="0" borderId="0" xfId="0" applyFont="1" applyAlignment="1">
      <alignment horizontal="left" vertical="center"/>
    </xf>
    <xf numFmtId="43" fontId="21" fillId="0" borderId="0" xfId="1" applyFont="1" applyAlignment="1">
      <alignment horizontal="center" vertical="center"/>
    </xf>
    <xf numFmtId="4" fontId="21" fillId="0" borderId="0" xfId="0" applyNumberFormat="1" applyFont="1" applyAlignment="1">
      <alignment vertical="center"/>
    </xf>
    <xf numFmtId="4" fontId="22" fillId="0" borderId="0" xfId="0" applyNumberFormat="1" applyFont="1" applyAlignment="1">
      <alignment vertical="center"/>
    </xf>
    <xf numFmtId="0" fontId="22" fillId="0" borderId="0" xfId="0" applyFont="1" applyAlignment="1">
      <alignment vertical="center"/>
    </xf>
    <xf numFmtId="4" fontId="23" fillId="4" borderId="0" xfId="0" applyNumberFormat="1" applyFont="1" applyFill="1" applyAlignment="1">
      <alignment horizontal="right" vertical="center"/>
    </xf>
    <xf numFmtId="43" fontId="5" fillId="4" borderId="3" xfId="1" applyFont="1" applyFill="1" applyBorder="1" applyAlignment="1">
      <alignment vertical="center"/>
    </xf>
    <xf numFmtId="43" fontId="5" fillId="4" borderId="1" xfId="1" applyFont="1" applyFill="1" applyBorder="1" applyAlignment="1">
      <alignment vertical="center"/>
    </xf>
    <xf numFmtId="43" fontId="21" fillId="4" borderId="1" xfId="1" applyFont="1" applyFill="1" applyBorder="1" applyAlignment="1">
      <alignment vertical="center"/>
    </xf>
    <xf numFmtId="171" fontId="7" fillId="0" borderId="0" xfId="0" applyNumberFormat="1" applyFont="1" applyAlignment="1">
      <alignment horizontal="right" vertical="center"/>
    </xf>
    <xf numFmtId="171" fontId="7" fillId="0" borderId="0" xfId="0" applyNumberFormat="1" applyFont="1" applyAlignment="1">
      <alignment vertical="center"/>
    </xf>
    <xf numFmtId="171" fontId="7" fillId="0" borderId="0" xfId="0" applyNumberFormat="1" applyFont="1" applyFill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19" fillId="4" borderId="0" xfId="0" applyFont="1" applyFill="1"/>
    <xf numFmtId="43" fontId="18" fillId="4" borderId="0" xfId="0" applyNumberFormat="1" applyFont="1" applyFill="1" applyAlignment="1">
      <alignment vertical="center"/>
    </xf>
    <xf numFmtId="0" fontId="20" fillId="4" borderId="0" xfId="0" applyFont="1" applyFill="1" applyAlignment="1">
      <alignment horizontal="right" vertical="center"/>
    </xf>
    <xf numFmtId="171" fontId="7" fillId="0" borderId="0" xfId="0" applyNumberFormat="1" applyFont="1" applyFill="1" applyAlignment="1">
      <alignment horizontal="right" vertical="center"/>
    </xf>
    <xf numFmtId="0" fontId="3" fillId="4" borderId="0" xfId="0" applyFont="1" applyFill="1"/>
    <xf numFmtId="4" fontId="7" fillId="4" borderId="0" xfId="0" applyNumberFormat="1" applyFont="1" applyFill="1" applyAlignment="1">
      <alignment horizontal="left" vertical="center"/>
    </xf>
    <xf numFmtId="0" fontId="7" fillId="4" borderId="0" xfId="0" applyFont="1" applyFill="1" applyAlignment="1">
      <alignment horizontal="right" vertical="center"/>
    </xf>
    <xf numFmtId="0" fontId="7" fillId="4" borderId="0" xfId="0" applyFont="1" applyFill="1" applyAlignment="1">
      <alignment vertical="center"/>
    </xf>
    <xf numFmtId="43" fontId="7" fillId="0" borderId="0" xfId="0" applyNumberFormat="1" applyFont="1" applyFill="1" applyAlignment="1">
      <alignment horizontal="left" vertical="center"/>
    </xf>
    <xf numFmtId="0" fontId="4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" fontId="20" fillId="0" borderId="0" xfId="0" applyNumberFormat="1" applyFont="1" applyFill="1" applyAlignment="1">
      <alignment horizontal="right" vertical="center"/>
    </xf>
    <xf numFmtId="43" fontId="18" fillId="0" borderId="0" xfId="0" applyNumberFormat="1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171" fontId="3" fillId="0" borderId="0" xfId="0" applyNumberFormat="1" applyFont="1" applyFill="1"/>
    <xf numFmtId="43" fontId="20" fillId="3" borderId="0" xfId="0" applyNumberFormat="1" applyFont="1" applyFill="1" applyAlignment="1">
      <alignment horizontal="right" vertical="center"/>
    </xf>
    <xf numFmtId="43" fontId="18" fillId="4" borderId="0" xfId="0" applyNumberFormat="1" applyFont="1" applyFill="1" applyAlignment="1">
      <alignment horizontal="right" vertical="center"/>
    </xf>
    <xf numFmtId="43" fontId="7" fillId="4" borderId="0" xfId="0" applyNumberFormat="1" applyFont="1" applyFill="1" applyAlignment="1">
      <alignment horizontal="right" vertical="center"/>
    </xf>
    <xf numFmtId="43" fontId="3" fillId="4" borderId="0" xfId="0" applyNumberFormat="1" applyFont="1" applyFill="1"/>
    <xf numFmtId="43" fontId="18" fillId="0" borderId="0" xfId="0" applyNumberFormat="1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3" fontId="18" fillId="0" borderId="0" xfId="0" applyNumberFormat="1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4" fontId="7" fillId="0" borderId="0" xfId="0" applyNumberFormat="1" applyFont="1" applyAlignment="1">
      <alignment vertical="center"/>
    </xf>
    <xf numFmtId="4" fontId="5" fillId="4" borderId="0" xfId="1" applyNumberFormat="1" applyFont="1" applyFill="1" applyBorder="1" applyAlignment="1">
      <alignment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43" fontId="5" fillId="4" borderId="0" xfId="1" applyFont="1" applyFill="1" applyBorder="1" applyAlignment="1">
      <alignment vertical="center"/>
    </xf>
    <xf numFmtId="43" fontId="2" fillId="2" borderId="0" xfId="1" applyFont="1" applyFill="1" applyBorder="1" applyAlignment="1">
      <alignment vertical="center"/>
    </xf>
    <xf numFmtId="4" fontId="5" fillId="0" borderId="0" xfId="0" applyNumberFormat="1" applyFont="1" applyBorder="1" applyAlignment="1">
      <alignment vertical="center"/>
    </xf>
    <xf numFmtId="171" fontId="7" fillId="0" borderId="0" xfId="0" applyNumberFormat="1" applyFont="1"/>
    <xf numFmtId="4" fontId="0" fillId="0" borderId="0" xfId="0" applyNumberFormat="1"/>
    <xf numFmtId="0" fontId="10" fillId="0" borderId="0" xfId="0" applyFont="1"/>
    <xf numFmtId="0" fontId="10" fillId="0" borderId="0" xfId="0" applyFont="1" applyAlignment="1">
      <alignment horizontal="center"/>
    </xf>
    <xf numFmtId="4" fontId="0" fillId="3" borderId="0" xfId="0" applyNumberFormat="1" applyFill="1"/>
    <xf numFmtId="171" fontId="0" fillId="3" borderId="0" xfId="0" applyNumberFormat="1" applyFill="1"/>
    <xf numFmtId="43" fontId="11" fillId="3" borderId="0" xfId="1" applyFont="1" applyFill="1"/>
    <xf numFmtId="4" fontId="0" fillId="4" borderId="0" xfId="0" applyNumberFormat="1" applyFill="1"/>
    <xf numFmtId="43" fontId="11" fillId="4" borderId="0" xfId="1" applyFont="1" applyFill="1"/>
    <xf numFmtId="0" fontId="0" fillId="4" borderId="0" xfId="0" applyFill="1"/>
    <xf numFmtId="0" fontId="26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/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13" fillId="0" borderId="0" xfId="0" applyFont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0" fontId="12" fillId="0" borderId="3" xfId="0" applyFont="1" applyFill="1" applyBorder="1" applyAlignment="1">
      <alignment vertical="center"/>
    </xf>
    <xf numFmtId="0" fontId="12" fillId="0" borderId="3" xfId="0" applyFont="1" applyFill="1" applyBorder="1" applyAlignment="1">
      <alignment horizontal="center" vertical="center"/>
    </xf>
    <xf numFmtId="43" fontId="12" fillId="4" borderId="3" xfId="1" applyFont="1" applyFill="1" applyBorder="1" applyAlignment="1">
      <alignment vertical="center"/>
    </xf>
    <xf numFmtId="43" fontId="12" fillId="4" borderId="0" xfId="1" applyFont="1" applyFill="1" applyBorder="1" applyAlignment="1">
      <alignment vertical="center"/>
    </xf>
    <xf numFmtId="171" fontId="12" fillId="3" borderId="0" xfId="0" applyNumberFormat="1" applyFont="1" applyFill="1"/>
    <xf numFmtId="43" fontId="12" fillId="3" borderId="0" xfId="1" applyFont="1" applyFill="1" applyBorder="1" applyAlignment="1">
      <alignment vertical="center"/>
    </xf>
    <xf numFmtId="4" fontId="12" fillId="0" borderId="0" xfId="0" applyNumberFormat="1" applyFont="1"/>
    <xf numFmtId="0" fontId="12" fillId="4" borderId="1" xfId="0" applyFont="1" applyFill="1" applyBorder="1" applyAlignment="1">
      <alignment vertical="center"/>
    </xf>
    <xf numFmtId="0" fontId="12" fillId="4" borderId="1" xfId="0" applyFont="1" applyFill="1" applyBorder="1" applyAlignment="1">
      <alignment horizontal="center" vertical="center"/>
    </xf>
    <xf numFmtId="43" fontId="12" fillId="4" borderId="1" xfId="1" applyFont="1" applyFill="1" applyBorder="1" applyAlignment="1">
      <alignment vertical="center"/>
    </xf>
    <xf numFmtId="43" fontId="12" fillId="3" borderId="0" xfId="1" applyFont="1" applyFill="1"/>
    <xf numFmtId="171" fontId="12" fillId="0" borderId="0" xfId="0" applyNumberFormat="1" applyFont="1"/>
    <xf numFmtId="43" fontId="12" fillId="0" borderId="0" xfId="1" applyFont="1"/>
    <xf numFmtId="43" fontId="28" fillId="4" borderId="1" xfId="1" applyFont="1" applyFill="1" applyBorder="1" applyAlignment="1">
      <alignment vertical="center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horizontal="center" vertical="center"/>
    </xf>
    <xf numFmtId="43" fontId="12" fillId="0" borderId="1" xfId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43" fontId="13" fillId="2" borderId="1" xfId="1" applyFont="1" applyFill="1" applyBorder="1" applyAlignment="1">
      <alignment vertical="center"/>
    </xf>
    <xf numFmtId="43" fontId="13" fillId="2" borderId="0" xfId="1" applyFont="1" applyFill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0" borderId="2" xfId="0" applyFont="1" applyBorder="1" applyAlignment="1">
      <alignment horizontal="center" vertical="center"/>
    </xf>
    <xf numFmtId="4" fontId="28" fillId="0" borderId="2" xfId="0" applyNumberFormat="1" applyFont="1" applyBorder="1" applyAlignment="1">
      <alignment vertical="center"/>
    </xf>
    <xf numFmtId="4" fontId="12" fillId="0" borderId="2" xfId="0" applyNumberFormat="1" applyFont="1" applyBorder="1" applyAlignment="1">
      <alignment vertical="center"/>
    </xf>
    <xf numFmtId="4" fontId="12" fillId="0" borderId="0" xfId="0" applyNumberFormat="1" applyFont="1" applyBorder="1" applyAlignment="1">
      <alignment vertical="center"/>
    </xf>
    <xf numFmtId="0" fontId="12" fillId="0" borderId="0" xfId="0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43" fontId="28" fillId="0" borderId="0" xfId="1" applyFont="1" applyAlignment="1">
      <alignment horizontal="center" vertical="center"/>
    </xf>
    <xf numFmtId="4" fontId="12" fillId="3" borderId="0" xfId="0" applyNumberFormat="1" applyFont="1" applyFill="1"/>
    <xf numFmtId="4" fontId="13" fillId="0" borderId="0" xfId="0" applyNumberFormat="1" applyFont="1" applyAlignment="1"/>
    <xf numFmtId="0" fontId="12" fillId="4" borderId="0" xfId="0" applyFont="1" applyFill="1"/>
    <xf numFmtId="4" fontId="12" fillId="0" borderId="0" xfId="0" applyNumberFormat="1" applyFont="1" applyAlignment="1"/>
    <xf numFmtId="0" fontId="12" fillId="0" borderId="0" xfId="0" applyFont="1" applyAlignment="1"/>
    <xf numFmtId="4" fontId="12" fillId="4" borderId="0" xfId="0" applyNumberFormat="1" applyFont="1" applyFill="1"/>
    <xf numFmtId="4" fontId="13" fillId="0" borderId="0" xfId="0" applyNumberFormat="1" applyFont="1"/>
    <xf numFmtId="4" fontId="14" fillId="0" borderId="0" xfId="0" applyNumberFormat="1" applyFont="1"/>
    <xf numFmtId="4" fontId="13" fillId="3" borderId="0" xfId="0" applyNumberFormat="1" applyFont="1" applyFill="1"/>
    <xf numFmtId="4" fontId="14" fillId="3" borderId="0" xfId="0" applyNumberFormat="1" applyFont="1" applyFill="1"/>
    <xf numFmtId="0" fontId="13" fillId="0" borderId="0" xfId="0" applyFont="1"/>
    <xf numFmtId="0" fontId="12" fillId="3" borderId="0" xfId="0" applyFont="1" applyFill="1"/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16" fillId="0" borderId="0" xfId="0" applyFont="1" applyBorder="1" applyAlignment="1">
      <alignment horizontal="center" vertical="center"/>
    </xf>
    <xf numFmtId="0" fontId="16" fillId="5" borderId="0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17" fillId="0" borderId="0" xfId="0" applyFont="1"/>
    <xf numFmtId="0" fontId="15" fillId="0" borderId="3" xfId="0" applyFont="1" applyFill="1" applyBorder="1" applyAlignment="1">
      <alignment vertical="center"/>
    </xf>
    <xf numFmtId="0" fontId="15" fillId="0" borderId="3" xfId="0" applyFont="1" applyFill="1" applyBorder="1" applyAlignment="1">
      <alignment horizontal="center" vertical="center"/>
    </xf>
    <xf numFmtId="43" fontId="15" fillId="4" borderId="3" xfId="1" applyFont="1" applyFill="1" applyBorder="1" applyAlignment="1">
      <alignment vertical="center"/>
    </xf>
    <xf numFmtId="43" fontId="15" fillId="4" borderId="0" xfId="1" applyFont="1" applyFill="1" applyBorder="1" applyAlignment="1">
      <alignment vertical="center"/>
    </xf>
    <xf numFmtId="4" fontId="15" fillId="3" borderId="0" xfId="0" applyNumberFormat="1" applyFont="1" applyFill="1"/>
    <xf numFmtId="4" fontId="15" fillId="0" borderId="0" xfId="0" applyNumberFormat="1" applyFont="1"/>
    <xf numFmtId="0" fontId="15" fillId="4" borderId="1" xfId="0" applyFont="1" applyFill="1" applyBorder="1" applyAlignment="1">
      <alignment vertical="center"/>
    </xf>
    <xf numFmtId="0" fontId="15" fillId="4" borderId="1" xfId="0" applyFont="1" applyFill="1" applyBorder="1" applyAlignment="1">
      <alignment horizontal="center" vertical="center"/>
    </xf>
    <xf numFmtId="43" fontId="15" fillId="4" borderId="1" xfId="1" applyFont="1" applyFill="1" applyBorder="1" applyAlignment="1">
      <alignment vertical="center"/>
    </xf>
    <xf numFmtId="171" fontId="15" fillId="3" borderId="0" xfId="0" applyNumberFormat="1" applyFont="1" applyFill="1"/>
    <xf numFmtId="0" fontId="29" fillId="0" borderId="0" xfId="0" applyFont="1"/>
    <xf numFmtId="43" fontId="29" fillId="4" borderId="1" xfId="1" applyFont="1" applyFill="1" applyBorder="1" applyAlignment="1">
      <alignment vertical="center"/>
    </xf>
    <xf numFmtId="0" fontId="15" fillId="0" borderId="1" xfId="0" applyFont="1" applyFill="1" applyBorder="1" applyAlignment="1">
      <alignment vertical="center"/>
    </xf>
    <xf numFmtId="0" fontId="15" fillId="0" borderId="1" xfId="0" applyFont="1" applyFill="1" applyBorder="1" applyAlignment="1">
      <alignment horizontal="center" vertical="center"/>
    </xf>
    <xf numFmtId="43" fontId="15" fillId="0" borderId="1" xfId="1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horizontal="center" vertical="center"/>
    </xf>
    <xf numFmtId="43" fontId="16" fillId="2" borderId="1" xfId="1" applyFont="1" applyFill="1" applyBorder="1" applyAlignment="1">
      <alignment vertical="center"/>
    </xf>
    <xf numFmtId="43" fontId="16" fillId="2" borderId="0" xfId="1" applyFont="1" applyFill="1" applyBorder="1" applyAlignment="1">
      <alignment vertical="center"/>
    </xf>
    <xf numFmtId="0" fontId="15" fillId="0" borderId="2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4" fontId="29" fillId="0" borderId="2" xfId="0" applyNumberFormat="1" applyFont="1" applyBorder="1" applyAlignment="1">
      <alignment vertical="center"/>
    </xf>
    <xf numFmtId="4" fontId="15" fillId="0" borderId="2" xfId="0" applyNumberFormat="1" applyFont="1" applyBorder="1" applyAlignment="1">
      <alignment vertical="center"/>
    </xf>
    <xf numFmtId="4" fontId="15" fillId="0" borderId="0" xfId="0" applyNumberFormat="1" applyFont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3" fontId="29" fillId="0" borderId="0" xfId="1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15" fillId="3" borderId="0" xfId="0" applyFont="1" applyFill="1"/>
    <xf numFmtId="4" fontId="15" fillId="3" borderId="0" xfId="0" applyNumberFormat="1" applyFont="1" applyFill="1" applyAlignment="1"/>
    <xf numFmtId="0" fontId="15" fillId="0" borderId="0" xfId="0" applyFont="1" applyAlignment="1"/>
    <xf numFmtId="4" fontId="15" fillId="0" borderId="0" xfId="0" applyNumberFormat="1" applyFont="1" applyAlignment="1"/>
    <xf numFmtId="4" fontId="15" fillId="4" borderId="0" xfId="0" applyNumberFormat="1" applyFont="1" applyFill="1"/>
    <xf numFmtId="43" fontId="15" fillId="0" borderId="0" xfId="1" applyFont="1"/>
    <xf numFmtId="0" fontId="15" fillId="4" borderId="0" xfId="0" applyFont="1" applyFill="1"/>
    <xf numFmtId="43" fontId="15" fillId="4" borderId="0" xfId="1" applyFont="1" applyFill="1"/>
    <xf numFmtId="43" fontId="15" fillId="3" borderId="0" xfId="1" applyFont="1" applyFill="1"/>
    <xf numFmtId="43" fontId="15" fillId="0" borderId="0" xfId="0" applyNumberFormat="1" applyFont="1"/>
    <xf numFmtId="171" fontId="15" fillId="0" borderId="0" xfId="0" applyNumberFormat="1" applyFont="1"/>
    <xf numFmtId="0" fontId="15" fillId="4" borderId="0" xfId="1" applyNumberFormat="1" applyFont="1" applyFill="1" applyBorder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4" fontId="7" fillId="0" borderId="0" xfId="0" applyNumberFormat="1" applyFont="1" applyFill="1" applyAlignment="1">
      <alignment horizontal="right" vertical="center"/>
    </xf>
    <xf numFmtId="4" fontId="7" fillId="4" borderId="0" xfId="0" applyNumberFormat="1" applyFont="1" applyFill="1" applyAlignment="1">
      <alignment horizontal="right" vertical="center"/>
    </xf>
    <xf numFmtId="4" fontId="20" fillId="4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3" fontId="7" fillId="0" borderId="0" xfId="0" applyNumberFormat="1" applyFont="1" applyFill="1" applyAlignment="1">
      <alignment horizontal="right" vertical="center"/>
    </xf>
    <xf numFmtId="0" fontId="7" fillId="0" borderId="0" xfId="0" applyFont="1" applyFill="1" applyAlignment="1">
      <alignment horizontal="right" vertical="center"/>
    </xf>
    <xf numFmtId="43" fontId="18" fillId="0" borderId="0" xfId="0" applyNumberFormat="1" applyFont="1" applyFill="1" applyAlignment="1">
      <alignment horizontal="center" vertical="center"/>
    </xf>
    <xf numFmtId="0" fontId="18" fillId="0" borderId="0" xfId="0" applyFont="1" applyFill="1" applyAlignment="1">
      <alignment horizontal="center" vertical="center"/>
    </xf>
    <xf numFmtId="4" fontId="7" fillId="0" borderId="0" xfId="0" applyNumberFormat="1" applyFont="1" applyFill="1" applyAlignment="1">
      <alignment horizontal="center" vertical="center" wrapText="1"/>
    </xf>
    <xf numFmtId="4" fontId="7" fillId="0" borderId="0" xfId="0" applyNumberFormat="1" applyFont="1" applyFill="1" applyAlignment="1">
      <alignment horizontal="left" vertical="center"/>
    </xf>
    <xf numFmtId="4" fontId="18" fillId="0" borderId="0" xfId="0" applyNumberFormat="1" applyFont="1" applyFill="1" applyAlignment="1">
      <alignment horizontal="right" vertical="center"/>
    </xf>
    <xf numFmtId="43" fontId="18" fillId="0" borderId="0" xfId="0" applyNumberFormat="1" applyFont="1" applyFill="1" applyAlignment="1">
      <alignment horizontal="right" vertical="center"/>
    </xf>
    <xf numFmtId="0" fontId="18" fillId="0" borderId="0" xfId="0" applyFont="1" applyFill="1" applyAlignment="1">
      <alignment horizontal="right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2" fillId="5" borderId="4" xfId="0" applyFont="1" applyFill="1" applyBorder="1" applyAlignment="1">
      <alignment horizontal="center" vertical="center" wrapText="1"/>
    </xf>
    <xf numFmtId="0" fontId="32" fillId="5" borderId="5" xfId="0" applyFont="1" applyFill="1" applyBorder="1" applyAlignment="1">
      <alignment horizontal="center" vertical="center" wrapText="1"/>
    </xf>
    <xf numFmtId="0" fontId="32" fillId="5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3" fillId="5" borderId="4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26" fillId="0" borderId="0" xfId="0" applyFont="1" applyAlignment="1">
      <alignment horizontal="center" vertical="center"/>
    </xf>
    <xf numFmtId="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171" fontId="14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171" fontId="0" fillId="0" borderId="0" xfId="0" applyNumberFormat="1" applyAlignment="1">
      <alignment horizontal="center"/>
    </xf>
    <xf numFmtId="0" fontId="2" fillId="0" borderId="7" xfId="0" applyFont="1" applyBorder="1" applyAlignment="1">
      <alignment horizontal="center" vertical="center"/>
    </xf>
    <xf numFmtId="4" fontId="12" fillId="3" borderId="0" xfId="0" applyNumberFormat="1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0" borderId="0" xfId="0" applyNumberFormat="1" applyFont="1" applyAlignment="1">
      <alignment horizontal="center"/>
    </xf>
    <xf numFmtId="4" fontId="13" fillId="3" borderId="0" xfId="0" applyNumberFormat="1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171" fontId="12" fillId="0" borderId="0" xfId="0" applyNumberFormat="1" applyFont="1" applyAlignment="1">
      <alignment horizontal="center"/>
    </xf>
    <xf numFmtId="4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4" fontId="16" fillId="3" borderId="0" xfId="0" applyNumberFormat="1" applyFon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31" fillId="0" borderId="0" xfId="0" applyFont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4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161925</xdr:rowOff>
    </xdr:from>
    <xdr:to>
      <xdr:col>0</xdr:col>
      <xdr:colOff>2438400</xdr:colOff>
      <xdr:row>5</xdr:row>
      <xdr:rowOff>85725</xdr:rowOff>
    </xdr:to>
    <xdr:pic>
      <xdr:nvPicPr>
        <xdr:cNvPr id="234507" name="Picture 1">
          <a:extLst>
            <a:ext uri="{FF2B5EF4-FFF2-40B4-BE49-F238E27FC236}">
              <a16:creationId xmlns:a16="http://schemas.microsoft.com/office/drawing/2014/main" id="{56F573FB-9360-8940-DA51-4F1E9A224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61925"/>
          <a:ext cx="99060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161925</xdr:rowOff>
    </xdr:from>
    <xdr:to>
      <xdr:col>0</xdr:col>
      <xdr:colOff>2571750</xdr:colOff>
      <xdr:row>6</xdr:row>
      <xdr:rowOff>38100</xdr:rowOff>
    </xdr:to>
    <xdr:pic>
      <xdr:nvPicPr>
        <xdr:cNvPr id="211770" name="Picture 1">
          <a:extLst>
            <a:ext uri="{FF2B5EF4-FFF2-40B4-BE49-F238E27FC236}">
              <a16:creationId xmlns:a16="http://schemas.microsoft.com/office/drawing/2014/main" id="{90859522-9774-48A2-799D-458A6324A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61925"/>
          <a:ext cx="11239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1304925</xdr:colOff>
      <xdr:row>0</xdr:row>
      <xdr:rowOff>85725</xdr:rowOff>
    </xdr:from>
    <xdr:to>
      <xdr:col>0</xdr:col>
      <xdr:colOff>2619375</xdr:colOff>
      <xdr:row>5</xdr:row>
      <xdr:rowOff>133350</xdr:rowOff>
    </xdr:to>
    <xdr:pic>
      <xdr:nvPicPr>
        <xdr:cNvPr id="212728" name="Picture 1">
          <a:extLst>
            <a:ext uri="{FF2B5EF4-FFF2-40B4-BE49-F238E27FC236}">
              <a16:creationId xmlns:a16="http://schemas.microsoft.com/office/drawing/2014/main" id="{8FC65420-24B4-0DBE-5AE8-CD2D8F8E5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4925" y="85725"/>
          <a:ext cx="131445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1552575</xdr:colOff>
      <xdr:row>0</xdr:row>
      <xdr:rowOff>104775</xdr:rowOff>
    </xdr:from>
    <xdr:to>
      <xdr:col>0</xdr:col>
      <xdr:colOff>2476500</xdr:colOff>
      <xdr:row>5</xdr:row>
      <xdr:rowOff>114300</xdr:rowOff>
    </xdr:to>
    <xdr:pic>
      <xdr:nvPicPr>
        <xdr:cNvPr id="228923" name="Picture 1">
          <a:extLst>
            <a:ext uri="{FF2B5EF4-FFF2-40B4-BE49-F238E27FC236}">
              <a16:creationId xmlns:a16="http://schemas.microsoft.com/office/drawing/2014/main" id="{1AB59F1E-141B-2308-0548-A5C8494C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04775"/>
          <a:ext cx="9239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1733550</xdr:colOff>
      <xdr:row>0</xdr:row>
      <xdr:rowOff>190500</xdr:rowOff>
    </xdr:from>
    <xdr:to>
      <xdr:col>0</xdr:col>
      <xdr:colOff>2771775</xdr:colOff>
      <xdr:row>5</xdr:row>
      <xdr:rowOff>161925</xdr:rowOff>
    </xdr:to>
    <xdr:pic>
      <xdr:nvPicPr>
        <xdr:cNvPr id="229944" name="Picture 1">
          <a:extLst>
            <a:ext uri="{FF2B5EF4-FFF2-40B4-BE49-F238E27FC236}">
              <a16:creationId xmlns:a16="http://schemas.microsoft.com/office/drawing/2014/main" id="{76BD34C1-81A8-0B7F-4378-43C961AD2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90500"/>
          <a:ext cx="103822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161925</xdr:rowOff>
    </xdr:from>
    <xdr:to>
      <xdr:col>0</xdr:col>
      <xdr:colOff>2438400</xdr:colOff>
      <xdr:row>5</xdr:row>
      <xdr:rowOff>161925</xdr:rowOff>
    </xdr:to>
    <xdr:pic>
      <xdr:nvPicPr>
        <xdr:cNvPr id="224851" name="Picture 1">
          <a:extLst>
            <a:ext uri="{FF2B5EF4-FFF2-40B4-BE49-F238E27FC236}">
              <a16:creationId xmlns:a16="http://schemas.microsoft.com/office/drawing/2014/main" id="{ABA220B9-4D12-C976-9EE8-D0150CB49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61925"/>
          <a:ext cx="990600" cy="971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142875</xdr:rowOff>
    </xdr:from>
    <xdr:to>
      <xdr:col>0</xdr:col>
      <xdr:colOff>2390775</xdr:colOff>
      <xdr:row>6</xdr:row>
      <xdr:rowOff>0</xdr:rowOff>
    </xdr:to>
    <xdr:pic>
      <xdr:nvPicPr>
        <xdr:cNvPr id="230966" name="Picture 1">
          <a:extLst>
            <a:ext uri="{FF2B5EF4-FFF2-40B4-BE49-F238E27FC236}">
              <a16:creationId xmlns:a16="http://schemas.microsoft.com/office/drawing/2014/main" id="{EAB30773-9783-0399-6B34-A14F8545B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42875"/>
          <a:ext cx="9429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1343025</xdr:colOff>
      <xdr:row>0</xdr:row>
      <xdr:rowOff>142875</xdr:rowOff>
    </xdr:from>
    <xdr:to>
      <xdr:col>0</xdr:col>
      <xdr:colOff>2276475</xdr:colOff>
      <xdr:row>5</xdr:row>
      <xdr:rowOff>85725</xdr:rowOff>
    </xdr:to>
    <xdr:pic>
      <xdr:nvPicPr>
        <xdr:cNvPr id="232242" name="Picture 1">
          <a:extLst>
            <a:ext uri="{FF2B5EF4-FFF2-40B4-BE49-F238E27FC236}">
              <a16:creationId xmlns:a16="http://schemas.microsoft.com/office/drawing/2014/main" id="{C4B63221-BEC4-9474-96FE-2D57AE6C7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5" y="142875"/>
          <a:ext cx="933450" cy="895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1933575</xdr:colOff>
      <xdr:row>0</xdr:row>
      <xdr:rowOff>161925</xdr:rowOff>
    </xdr:from>
    <xdr:to>
      <xdr:col>0</xdr:col>
      <xdr:colOff>2981325</xdr:colOff>
      <xdr:row>6</xdr:row>
      <xdr:rowOff>9525</xdr:rowOff>
    </xdr:to>
    <xdr:pic>
      <xdr:nvPicPr>
        <xdr:cNvPr id="220765" name="Picture 1">
          <a:extLst>
            <a:ext uri="{FF2B5EF4-FFF2-40B4-BE49-F238E27FC236}">
              <a16:creationId xmlns:a16="http://schemas.microsoft.com/office/drawing/2014/main" id="{999E12D7-DF42-B782-CB51-18284C6F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161925"/>
          <a:ext cx="10477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1447800</xdr:colOff>
      <xdr:row>0</xdr:row>
      <xdr:rowOff>123825</xdr:rowOff>
    </xdr:from>
    <xdr:to>
      <xdr:col>0</xdr:col>
      <xdr:colOff>2390775</xdr:colOff>
      <xdr:row>5</xdr:row>
      <xdr:rowOff>152400</xdr:rowOff>
    </xdr:to>
    <xdr:pic>
      <xdr:nvPicPr>
        <xdr:cNvPr id="233006" name="Picture 1">
          <a:extLst>
            <a:ext uri="{FF2B5EF4-FFF2-40B4-BE49-F238E27FC236}">
              <a16:creationId xmlns:a16="http://schemas.microsoft.com/office/drawing/2014/main" id="{4E508627-E766-DBB7-F9E3-16F1B3B4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7800" y="123825"/>
          <a:ext cx="94297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1276350</xdr:colOff>
      <xdr:row>0</xdr:row>
      <xdr:rowOff>95250</xdr:rowOff>
    </xdr:from>
    <xdr:to>
      <xdr:col>0</xdr:col>
      <xdr:colOff>2305050</xdr:colOff>
      <xdr:row>5</xdr:row>
      <xdr:rowOff>142875</xdr:rowOff>
    </xdr:to>
    <xdr:pic>
      <xdr:nvPicPr>
        <xdr:cNvPr id="222808" name="Picture 1">
          <a:extLst>
            <a:ext uri="{FF2B5EF4-FFF2-40B4-BE49-F238E27FC236}">
              <a16:creationId xmlns:a16="http://schemas.microsoft.com/office/drawing/2014/main" id="{4D557F81-5FAB-B084-BC8D-F4CD5547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" y="95250"/>
          <a:ext cx="102870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114300</xdr:rowOff>
    </xdr:from>
    <xdr:to>
      <xdr:col>0</xdr:col>
      <xdr:colOff>2762250</xdr:colOff>
      <xdr:row>6</xdr:row>
      <xdr:rowOff>38100</xdr:rowOff>
    </xdr:to>
    <xdr:pic>
      <xdr:nvPicPr>
        <xdr:cNvPr id="223830" name="Picture 1">
          <a:extLst>
            <a:ext uri="{FF2B5EF4-FFF2-40B4-BE49-F238E27FC236}">
              <a16:creationId xmlns:a16="http://schemas.microsoft.com/office/drawing/2014/main" id="{59815A93-E962-432E-CBC9-7CF45D45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114300"/>
          <a:ext cx="1095375" cy="1085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1666875</xdr:colOff>
      <xdr:row>0</xdr:row>
      <xdr:rowOff>38100</xdr:rowOff>
    </xdr:from>
    <xdr:to>
      <xdr:col>0</xdr:col>
      <xdr:colOff>2762250</xdr:colOff>
      <xdr:row>4</xdr:row>
      <xdr:rowOff>219075</xdr:rowOff>
    </xdr:to>
    <xdr:pic>
      <xdr:nvPicPr>
        <xdr:cNvPr id="225864" name="Picture 1">
          <a:extLst>
            <a:ext uri="{FF2B5EF4-FFF2-40B4-BE49-F238E27FC236}">
              <a16:creationId xmlns:a16="http://schemas.microsoft.com/office/drawing/2014/main" id="{D3ADD38A-D72A-3DDC-322C-9A58E8C75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" y="38100"/>
          <a:ext cx="1095375" cy="1095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2314575</xdr:colOff>
      <xdr:row>0</xdr:row>
      <xdr:rowOff>171450</xdr:rowOff>
    </xdr:from>
    <xdr:to>
      <xdr:col>0</xdr:col>
      <xdr:colOff>3429000</xdr:colOff>
      <xdr:row>5</xdr:row>
      <xdr:rowOff>142875</xdr:rowOff>
    </xdr:to>
    <xdr:pic>
      <xdr:nvPicPr>
        <xdr:cNvPr id="226885" name="Picture 1">
          <a:extLst>
            <a:ext uri="{FF2B5EF4-FFF2-40B4-BE49-F238E27FC236}">
              <a16:creationId xmlns:a16="http://schemas.microsoft.com/office/drawing/2014/main" id="{A6993733-236F-0671-15E5-8C3F5CA63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171450"/>
          <a:ext cx="11144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2295525</xdr:colOff>
      <xdr:row>0</xdr:row>
      <xdr:rowOff>209550</xdr:rowOff>
    </xdr:from>
    <xdr:to>
      <xdr:col>0</xdr:col>
      <xdr:colOff>3238500</xdr:colOff>
      <xdr:row>5</xdr:row>
      <xdr:rowOff>28575</xdr:rowOff>
    </xdr:to>
    <xdr:pic>
      <xdr:nvPicPr>
        <xdr:cNvPr id="227907" name="Picture 1">
          <a:extLst>
            <a:ext uri="{FF2B5EF4-FFF2-40B4-BE49-F238E27FC236}">
              <a16:creationId xmlns:a16="http://schemas.microsoft.com/office/drawing/2014/main" id="{93F4C982-9AF4-7962-23BD-32AF217E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5525" y="209550"/>
          <a:ext cx="942975" cy="962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1905000</xdr:colOff>
      <xdr:row>0</xdr:row>
      <xdr:rowOff>0</xdr:rowOff>
    </xdr:from>
    <xdr:to>
      <xdr:col>0</xdr:col>
      <xdr:colOff>2800350</xdr:colOff>
      <xdr:row>4</xdr:row>
      <xdr:rowOff>114300</xdr:rowOff>
    </xdr:to>
    <xdr:pic>
      <xdr:nvPicPr>
        <xdr:cNvPr id="234008" name="Picture 1">
          <a:extLst>
            <a:ext uri="{FF2B5EF4-FFF2-40B4-BE49-F238E27FC236}">
              <a16:creationId xmlns:a16="http://schemas.microsoft.com/office/drawing/2014/main" id="{6814B180-9DE3-3E27-A3AA-BC2B125A8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0"/>
          <a:ext cx="895350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les\General%20Ledgers\GL%20DEBIT%20-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les\General%20Ledgers\GL%20CREDIT%20-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101010"/>
      <sheetName val="10101020"/>
      <sheetName val="10102010"/>
      <sheetName val="10205990"/>
      <sheetName val="10301020"/>
      <sheetName val="10303010"/>
      <sheetName val="10303020"/>
      <sheetName val="10303030"/>
      <sheetName val="10304050"/>
      <sheetName val="10305010"/>
      <sheetName val="10305020"/>
      <sheetName val="10305040"/>
      <sheetName val="10306010"/>
      <sheetName val="10306020"/>
      <sheetName val="10306990"/>
      <sheetName val="10402090"/>
      <sheetName val="10404010"/>
      <sheetName val="10404060"/>
      <sheetName val="10404070"/>
      <sheetName val="10404090"/>
      <sheetName val="10404990"/>
      <sheetName val="10501010"/>
      <sheetName val="10501050"/>
      <sheetName val="10501990"/>
      <sheetName val="10601030"/>
      <sheetName val="10701010"/>
      <sheetName val="10702010"/>
      <sheetName val="10703010"/>
      <sheetName val="10703040"/>
      <sheetName val="10703050"/>
      <sheetName val="10704010"/>
      <sheetName val="10704020"/>
      <sheetName val="10704040"/>
      <sheetName val="10704050"/>
      <sheetName val="10704990"/>
      <sheetName val="10705010"/>
      <sheetName val="10705020"/>
      <sheetName val="10705030"/>
      <sheetName val="10705040"/>
      <sheetName val="10705070"/>
      <sheetName val="10705080"/>
      <sheetName val="10705090"/>
      <sheetName val="10705100"/>
      <sheetName val="10705110"/>
      <sheetName val="10705130"/>
      <sheetName val="10705140"/>
      <sheetName val="10705990"/>
      <sheetName val="10706010"/>
      <sheetName val="10707010"/>
      <sheetName val="10707020"/>
      <sheetName val="10710020"/>
      <sheetName val="10710030"/>
      <sheetName val="10799990"/>
      <sheetName val="10901020"/>
      <sheetName val="10901990"/>
      <sheetName val="30101020"/>
      <sheetName val="40102041"/>
      <sheetName val="50101010"/>
      <sheetName val="50101020"/>
      <sheetName val="50102010"/>
      <sheetName val="50102020"/>
      <sheetName val="50102030"/>
      <sheetName val="50102040"/>
      <sheetName val="50102050"/>
      <sheetName val="50102060"/>
      <sheetName val="50102100"/>
      <sheetName val="50102110"/>
      <sheetName val="50102130"/>
      <sheetName val="50102140"/>
      <sheetName val="50102150"/>
      <sheetName val="50102990"/>
      <sheetName val="50103010"/>
      <sheetName val="50103020"/>
      <sheetName val="50103030"/>
      <sheetName val="50103040"/>
      <sheetName val="50104030"/>
      <sheetName val="50104990"/>
      <sheetName val="50201010"/>
      <sheetName val="50202010"/>
      <sheetName val="50203010"/>
      <sheetName val="50203020"/>
      <sheetName val="50203030"/>
      <sheetName val="50203040"/>
      <sheetName val="50203050"/>
      <sheetName val="50203060"/>
      <sheetName val="50203070"/>
      <sheetName val="50203080"/>
      <sheetName val="50203090"/>
      <sheetName val="50203100"/>
      <sheetName val="50203110"/>
      <sheetName val="50203120"/>
      <sheetName val="50203130"/>
      <sheetName val="50203990"/>
      <sheetName val="50204010"/>
      <sheetName val="50204020"/>
      <sheetName val="50205010"/>
      <sheetName val="50205020"/>
      <sheetName val="50205030"/>
      <sheetName val="50206010"/>
      <sheetName val="50206020"/>
      <sheetName val="50207010"/>
      <sheetName val="50207020"/>
      <sheetName val="50210030"/>
      <sheetName val="50211010"/>
      <sheetName val="50211020"/>
      <sheetName val="50211030"/>
      <sheetName val="50211990"/>
      <sheetName val="50212030"/>
      <sheetName val="50212990"/>
      <sheetName val="50213030"/>
      <sheetName val="50213040"/>
      <sheetName val="50213050"/>
      <sheetName val="50213060"/>
      <sheetName val="50213070"/>
      <sheetName val="50213990"/>
      <sheetName val="50214030"/>
      <sheetName val="50214060"/>
      <sheetName val="50215020"/>
      <sheetName val="50216010"/>
      <sheetName val="50216020"/>
      <sheetName val="50216030"/>
      <sheetName val="50299010"/>
      <sheetName val="50299020"/>
      <sheetName val="50299030"/>
      <sheetName val="50299050"/>
      <sheetName val="50299060"/>
      <sheetName val="50299080"/>
      <sheetName val="50299990"/>
      <sheetName val="50301040"/>
      <sheetName val="50301990"/>
      <sheetName val="50501030"/>
      <sheetName val="50501050 "/>
      <sheetName val="50501060 "/>
      <sheetName val="50501070 "/>
      <sheetName val="50501990 "/>
    </sheetNames>
    <sheetDataSet>
      <sheetData sheetId="0" refreshError="1"/>
      <sheetData sheetId="1" refreshError="1">
        <row r="46">
          <cell r="F46">
            <v>43642.380000000005</v>
          </cell>
        </row>
      </sheetData>
      <sheetData sheetId="2" refreshError="1"/>
      <sheetData sheetId="3" refreshError="1">
        <row r="44">
          <cell r="F44">
            <v>72000</v>
          </cell>
        </row>
      </sheetData>
      <sheetData sheetId="4" refreshError="1"/>
      <sheetData sheetId="5" refreshError="1">
        <row r="44">
          <cell r="F44">
            <v>33742.129999999997</v>
          </cell>
        </row>
      </sheetData>
      <sheetData sheetId="6" refreshError="1">
        <row r="44">
          <cell r="F44">
            <v>45818.23</v>
          </cell>
        </row>
      </sheetData>
      <sheetData sheetId="7" refreshError="1">
        <row r="44">
          <cell r="F44">
            <v>85141.1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>
        <row r="44">
          <cell r="F44">
            <v>23333.02</v>
          </cell>
        </row>
      </sheetData>
      <sheetData sheetId="13" refreshError="1">
        <row r="44">
          <cell r="F44">
            <v>4002.72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44">
          <cell r="F44">
            <v>30000</v>
          </cell>
        </row>
      </sheetData>
      <sheetData sheetId="24" refreshError="1"/>
      <sheetData sheetId="25" refreshError="1">
        <row r="44">
          <cell r="F44">
            <v>7224640</v>
          </cell>
        </row>
      </sheetData>
      <sheetData sheetId="26" refreshError="1">
        <row r="44">
          <cell r="F44">
            <v>15439991.949999999</v>
          </cell>
        </row>
      </sheetData>
      <sheetData sheetId="27" refreshError="1"/>
      <sheetData sheetId="28" refreshError="1"/>
      <sheetData sheetId="29" refreshError="1"/>
      <sheetData sheetId="30" refreshError="1"/>
      <sheetData sheetId="31" refreshError="1">
        <row r="44">
          <cell r="F44">
            <v>5572357.3899999997</v>
          </cell>
        </row>
      </sheetData>
      <sheetData sheetId="32" refreshError="1"/>
      <sheetData sheetId="33" refreshError="1">
        <row r="44">
          <cell r="F44">
            <v>2496748.44</v>
          </cell>
        </row>
      </sheetData>
      <sheetData sheetId="34" refreshError="1">
        <row r="44">
          <cell r="F44">
            <v>3971491.5600000005</v>
          </cell>
        </row>
      </sheetData>
      <sheetData sheetId="35" refreshError="1"/>
      <sheetData sheetId="36" refreshError="1">
        <row r="44">
          <cell r="F44">
            <v>1071276</v>
          </cell>
        </row>
      </sheetData>
      <sheetData sheetId="37" refreshError="1"/>
      <sheetData sheetId="38" refreshError="1">
        <row r="44">
          <cell r="F44">
            <v>6402132</v>
          </cell>
        </row>
      </sheetData>
      <sheetData sheetId="39" refreshError="1">
        <row r="44">
          <cell r="F44">
            <v>90861.88</v>
          </cell>
        </row>
      </sheetData>
      <sheetData sheetId="40" refreshError="1">
        <row r="44">
          <cell r="F44">
            <v>12978512.390000001</v>
          </cell>
        </row>
      </sheetData>
      <sheetData sheetId="41" refreshError="1">
        <row r="44">
          <cell r="F44">
            <v>4821085</v>
          </cell>
        </row>
      </sheetData>
      <sheetData sheetId="42" refreshError="1"/>
      <sheetData sheetId="43" refreshError="1">
        <row r="44">
          <cell r="F44">
            <v>367000</v>
          </cell>
        </row>
      </sheetData>
      <sheetData sheetId="44" refreshError="1">
        <row r="44">
          <cell r="F44">
            <v>127616.5</v>
          </cell>
        </row>
      </sheetData>
      <sheetData sheetId="45" refreshError="1">
        <row r="44">
          <cell r="F44">
            <v>21340.17</v>
          </cell>
        </row>
      </sheetData>
      <sheetData sheetId="46" refreshError="1"/>
      <sheetData sheetId="47" refreshError="1"/>
      <sheetData sheetId="48" refreshError="1"/>
      <sheetData sheetId="49" refreshError="1">
        <row r="44">
          <cell r="F44">
            <v>22350</v>
          </cell>
        </row>
      </sheetData>
      <sheetData sheetId="50" refreshError="1"/>
      <sheetData sheetId="51" refreshError="1"/>
      <sheetData sheetId="52" refreshError="1"/>
      <sheetData sheetId="53" refreshError="1">
        <row r="44">
          <cell r="F44">
            <v>306599</v>
          </cell>
        </row>
      </sheetData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703051"/>
      <sheetName val="10705011"/>
      <sheetName val="10705021"/>
      <sheetName val="10705031"/>
      <sheetName val="10705041"/>
      <sheetName val="10705071"/>
      <sheetName val="10705081"/>
      <sheetName val="10705091"/>
      <sheetName val="10705101"/>
      <sheetName val="10705111"/>
      <sheetName val="10705991"/>
      <sheetName val="10706011"/>
      <sheetName val="10707011"/>
      <sheetName val="10707021"/>
      <sheetName val="10799991"/>
      <sheetName val="20101020"/>
      <sheetName val="20102040"/>
      <sheetName val="20201010"/>
      <sheetName val="20201020"/>
      <sheetName val="20201030"/>
      <sheetName val="20201040"/>
      <sheetName val="20201050"/>
      <sheetName val="20201060"/>
      <sheetName val="20201070"/>
      <sheetName val="20301010"/>
      <sheetName val="20401040"/>
      <sheetName val="20501010"/>
      <sheetName val="29999990"/>
      <sheetName val="30101010"/>
      <sheetName val="40101020"/>
      <sheetName val="40101050"/>
      <sheetName val="40102040"/>
      <sheetName val="40102080"/>
      <sheetName val="40103030"/>
      <sheetName val="40103040"/>
      <sheetName val="40103050"/>
      <sheetName val="40103060"/>
      <sheetName val="40103070"/>
      <sheetName val="40104990"/>
      <sheetName val="40105020"/>
      <sheetName val="40106010"/>
      <sheetName val="40106030"/>
      <sheetName val="40201010"/>
      <sheetName val="40201020"/>
      <sheetName val="40201030"/>
      <sheetName val="40201040"/>
      <sheetName val="40201100"/>
      <sheetName val="40201140"/>
      <sheetName val="40201160"/>
      <sheetName val="40201980"/>
      <sheetName val="40201990"/>
      <sheetName val="40202050"/>
      <sheetName val="40202140"/>
      <sheetName val="40202150"/>
      <sheetName val="40202160"/>
      <sheetName val="40202190"/>
      <sheetName val="40202220"/>
      <sheetName val="40202990"/>
      <sheetName val="40301010"/>
      <sheetName val="40302010"/>
      <sheetName val="40401020"/>
      <sheetName val="40402010"/>
      <sheetName val="40601010"/>
    </sheetNames>
    <sheetDataSet>
      <sheetData sheetId="0" refreshError="1">
        <row r="44">
          <cell r="F44">
            <v>2659.55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7"/>
  <sheetViews>
    <sheetView topLeftCell="A200" zoomScaleNormal="100" workbookViewId="0">
      <selection activeCell="A89" sqref="A89:IV89"/>
    </sheetView>
  </sheetViews>
  <sheetFormatPr defaultRowHeight="12.75" x14ac:dyDescent="0.2"/>
  <cols>
    <col min="1" max="1" width="51.42578125" style="3" customWidth="1"/>
    <col min="2" max="2" width="18" style="6" customWidth="1"/>
    <col min="3" max="3" width="17.7109375" style="48" customWidth="1"/>
    <col min="4" max="4" width="18.28515625" style="3" customWidth="1"/>
    <col min="5" max="5" width="18.28515625" hidden="1" customWidth="1"/>
    <col min="6" max="6" width="18.28515625" style="23" customWidth="1"/>
    <col min="7" max="7" width="18.28515625" style="21" customWidth="1"/>
    <col min="8" max="8" width="18.28515625" style="18" customWidth="1"/>
    <col min="9" max="10" width="18.28515625" style="21" customWidth="1"/>
    <col min="11" max="16" width="18.28515625" customWidth="1"/>
  </cols>
  <sheetData>
    <row r="1" spans="1:10" ht="14.25" x14ac:dyDescent="0.2">
      <c r="A1" s="235" t="s">
        <v>2</v>
      </c>
      <c r="B1" s="235"/>
      <c r="C1" s="235"/>
      <c r="D1" s="235"/>
      <c r="F1" s="20">
        <f>F210</f>
        <v>0</v>
      </c>
      <c r="G1" s="27"/>
    </row>
    <row r="2" spans="1:10" ht="15" x14ac:dyDescent="0.2">
      <c r="A2" s="236" t="s">
        <v>3</v>
      </c>
      <c r="B2" s="236"/>
      <c r="C2" s="236"/>
      <c r="D2" s="236"/>
    </row>
    <row r="3" spans="1:10" ht="14.25" x14ac:dyDescent="0.2">
      <c r="A3" s="235" t="s">
        <v>1</v>
      </c>
      <c r="B3" s="235"/>
      <c r="C3" s="235"/>
      <c r="D3" s="235"/>
    </row>
    <row r="4" spans="1:10" ht="14.25" x14ac:dyDescent="0.2">
      <c r="A4" s="2"/>
      <c r="B4" s="1"/>
      <c r="C4" s="42"/>
      <c r="D4" s="2"/>
    </row>
    <row r="5" spans="1:10" ht="15" x14ac:dyDescent="0.2">
      <c r="A5" s="236" t="s">
        <v>7</v>
      </c>
      <c r="B5" s="236"/>
      <c r="C5" s="236"/>
      <c r="D5" s="236"/>
      <c r="G5" s="53"/>
    </row>
    <row r="6" spans="1:10" ht="14.25" x14ac:dyDescent="0.2">
      <c r="A6" s="235" t="s">
        <v>230</v>
      </c>
      <c r="B6" s="235"/>
      <c r="C6" s="235"/>
      <c r="D6" s="235"/>
      <c r="G6" s="27"/>
      <c r="H6" s="54"/>
    </row>
    <row r="7" spans="1:10" ht="15.75" thickBot="1" x14ac:dyDescent="0.25">
      <c r="A7" s="236" t="s">
        <v>8</v>
      </c>
      <c r="B7" s="236"/>
      <c r="C7" s="236"/>
      <c r="D7" s="236"/>
    </row>
    <row r="8" spans="1:10" ht="12.75" customHeight="1" thickTop="1" x14ac:dyDescent="0.2">
      <c r="A8" s="229" t="s">
        <v>10</v>
      </c>
      <c r="B8" s="229" t="s">
        <v>9</v>
      </c>
      <c r="C8" s="232" t="s">
        <v>4</v>
      </c>
      <c r="D8" s="229" t="s">
        <v>5</v>
      </c>
    </row>
    <row r="9" spans="1:10" ht="12.75" customHeight="1" x14ac:dyDescent="0.2">
      <c r="A9" s="230"/>
      <c r="B9" s="230"/>
      <c r="C9" s="233"/>
      <c r="D9" s="230"/>
    </row>
    <row r="10" spans="1:10" ht="13.5" customHeight="1" thickBot="1" x14ac:dyDescent="0.25">
      <c r="A10" s="231"/>
      <c r="B10" s="231"/>
      <c r="C10" s="234"/>
      <c r="D10" s="231"/>
      <c r="H10" s="17" t="s">
        <v>171</v>
      </c>
      <c r="I10" s="29" t="s">
        <v>189</v>
      </c>
      <c r="J10" s="29" t="s">
        <v>190</v>
      </c>
    </row>
    <row r="11" spans="1:10" s="7" customFormat="1" ht="15" customHeight="1" thickTop="1" x14ac:dyDescent="0.2">
      <c r="A11" s="34" t="s">
        <v>123</v>
      </c>
      <c r="B11" s="35">
        <v>10101010</v>
      </c>
      <c r="C11" s="50">
        <v>604243.64</v>
      </c>
      <c r="D11" s="50"/>
      <c r="F11" s="225" t="s">
        <v>172</v>
      </c>
      <c r="G11" s="227">
        <f>SUM(C11:C13)</f>
        <v>142985021.90000001</v>
      </c>
      <c r="H11" s="19"/>
      <c r="I11" s="220">
        <f>G11</f>
        <v>142985021.90000001</v>
      </c>
      <c r="J11" s="220">
        <v>0</v>
      </c>
    </row>
    <row r="12" spans="1:10" s="7" customFormat="1" ht="15" customHeight="1" x14ac:dyDescent="0.2">
      <c r="A12" s="56" t="s">
        <v>67</v>
      </c>
      <c r="B12" s="57">
        <v>10101020</v>
      </c>
      <c r="C12" s="51">
        <f>'[1]10101020'!$F$46</f>
        <v>43642.380000000005</v>
      </c>
      <c r="D12" s="51"/>
      <c r="F12" s="225"/>
      <c r="G12" s="227"/>
      <c r="H12" s="19"/>
      <c r="I12" s="221"/>
      <c r="J12" s="221"/>
    </row>
    <row r="13" spans="1:10" s="7" customFormat="1" ht="15" customHeight="1" x14ac:dyDescent="0.2">
      <c r="A13" s="56" t="s">
        <v>226</v>
      </c>
      <c r="B13" s="57">
        <v>10102020</v>
      </c>
      <c r="C13" s="51">
        <v>142337135.88</v>
      </c>
      <c r="D13" s="51"/>
      <c r="F13" s="225"/>
      <c r="G13" s="227"/>
      <c r="H13" s="19"/>
      <c r="I13" s="221"/>
      <c r="J13" s="221"/>
    </row>
    <row r="14" spans="1:10" s="7" customFormat="1" ht="15" customHeight="1" x14ac:dyDescent="0.2">
      <c r="A14" s="56" t="s">
        <v>68</v>
      </c>
      <c r="B14" s="57">
        <v>10205990</v>
      </c>
      <c r="C14" s="51">
        <f>'[1]10205990'!$F$44</f>
        <v>72000</v>
      </c>
      <c r="D14" s="51"/>
      <c r="F14" s="24" t="s">
        <v>173</v>
      </c>
      <c r="G14" s="73">
        <f>C14</f>
        <v>72000</v>
      </c>
      <c r="H14" s="19"/>
      <c r="I14" s="22"/>
      <c r="J14" s="30">
        <f>G14</f>
        <v>72000</v>
      </c>
    </row>
    <row r="15" spans="1:10" s="62" customFormat="1" ht="15" customHeight="1" x14ac:dyDescent="0.2">
      <c r="A15" s="56" t="s">
        <v>11</v>
      </c>
      <c r="B15" s="57">
        <v>10301020</v>
      </c>
      <c r="C15" s="51">
        <v>16135793.210000001</v>
      </c>
      <c r="D15" s="51"/>
      <c r="F15" s="225" t="s">
        <v>174</v>
      </c>
      <c r="G15" s="227">
        <f>SUM(C15:C25)-(D20)</f>
        <v>42696679.570000008</v>
      </c>
      <c r="H15" s="65"/>
      <c r="I15" s="77">
        <f>C15</f>
        <v>16135793.210000001</v>
      </c>
      <c r="J15" s="77"/>
    </row>
    <row r="16" spans="1:10" s="7" customFormat="1" ht="15" customHeight="1" x14ac:dyDescent="0.2">
      <c r="A16" s="56" t="s">
        <v>133</v>
      </c>
      <c r="B16" s="57">
        <v>10303010</v>
      </c>
      <c r="C16" s="51">
        <f>'[1]10303010'!$F$44</f>
        <v>33742.129999999997</v>
      </c>
      <c r="D16" s="51"/>
      <c r="F16" s="225"/>
      <c r="G16" s="228"/>
      <c r="H16" s="19"/>
      <c r="I16" s="74"/>
      <c r="J16" s="73">
        <f>C16</f>
        <v>33742.129999999997</v>
      </c>
    </row>
    <row r="17" spans="1:13" s="7" customFormat="1" ht="15" customHeight="1" x14ac:dyDescent="0.2">
      <c r="A17" s="56" t="s">
        <v>50</v>
      </c>
      <c r="B17" s="57">
        <v>10303020</v>
      </c>
      <c r="C17" s="51">
        <f>'[1]10303020'!$F$44</f>
        <v>45818.23</v>
      </c>
      <c r="D17" s="51"/>
      <c r="F17" s="225"/>
      <c r="G17" s="228"/>
      <c r="H17" s="19"/>
      <c r="I17" s="74"/>
      <c r="J17" s="73">
        <f>C17</f>
        <v>45818.23</v>
      </c>
    </row>
    <row r="18" spans="1:13" s="7" customFormat="1" ht="15" customHeight="1" x14ac:dyDescent="0.2">
      <c r="A18" s="56" t="s">
        <v>51</v>
      </c>
      <c r="B18" s="57">
        <v>10303030</v>
      </c>
      <c r="C18" s="51">
        <f>'[1]10303030'!$F$44</f>
        <v>85141.1</v>
      </c>
      <c r="D18" s="51"/>
      <c r="F18" s="225"/>
      <c r="G18" s="228"/>
      <c r="H18" s="19"/>
      <c r="I18" s="74"/>
      <c r="J18" s="73">
        <f>C18</f>
        <v>85141.1</v>
      </c>
      <c r="M18" s="36"/>
    </row>
    <row r="19" spans="1:13" s="7" customFormat="1" ht="15" customHeight="1" x14ac:dyDescent="0.2">
      <c r="A19" s="56" t="s">
        <v>12</v>
      </c>
      <c r="B19" s="57">
        <v>10304050</v>
      </c>
      <c r="C19" s="51">
        <v>21423086.120000001</v>
      </c>
      <c r="D19" s="51"/>
      <c r="F19" s="225"/>
      <c r="G19" s="228"/>
      <c r="H19" s="19"/>
      <c r="I19" s="76">
        <f>C19</f>
        <v>21423086.120000001</v>
      </c>
      <c r="J19" s="37"/>
      <c r="L19" s="36"/>
    </row>
    <row r="20" spans="1:13" s="7" customFormat="1" ht="15" customHeight="1" x14ac:dyDescent="0.2">
      <c r="A20" s="56" t="s">
        <v>125</v>
      </c>
      <c r="B20" s="57">
        <v>10305010</v>
      </c>
      <c r="C20" s="51">
        <v>669160</v>
      </c>
      <c r="D20" s="51"/>
      <c r="F20" s="225"/>
      <c r="G20" s="228"/>
      <c r="H20" s="19"/>
      <c r="I20" s="73">
        <f>C20</f>
        <v>669160</v>
      </c>
      <c r="J20" s="22"/>
    </row>
    <row r="21" spans="1:13" s="7" customFormat="1" ht="15" customHeight="1" x14ac:dyDescent="0.2">
      <c r="A21" s="56" t="s">
        <v>69</v>
      </c>
      <c r="B21" s="57">
        <v>10305020</v>
      </c>
      <c r="C21" s="51">
        <v>1000.76</v>
      </c>
      <c r="D21" s="51"/>
      <c r="F21" s="225"/>
      <c r="G21" s="228"/>
      <c r="H21" s="19"/>
      <c r="I21" s="73">
        <f>C21</f>
        <v>1000.76</v>
      </c>
      <c r="J21" s="22"/>
      <c r="K21" s="36">
        <f>SUM(I15:I22)</f>
        <v>42500501.649999999</v>
      </c>
      <c r="L21" s="36"/>
    </row>
    <row r="22" spans="1:13" s="62" customFormat="1" ht="15" customHeight="1" x14ac:dyDescent="0.2">
      <c r="A22" s="56" t="s">
        <v>70</v>
      </c>
      <c r="B22" s="57">
        <v>10305040</v>
      </c>
      <c r="C22" s="51">
        <v>4271461.5599999996</v>
      </c>
      <c r="D22" s="51"/>
      <c r="F22" s="225"/>
      <c r="G22" s="228"/>
      <c r="H22" s="65"/>
      <c r="I22" s="78">
        <f>C22</f>
        <v>4271461.5599999996</v>
      </c>
      <c r="J22" s="77"/>
      <c r="K22" s="79">
        <f>SUM(J16:J25)</f>
        <v>196177.92000000001</v>
      </c>
    </row>
    <row r="23" spans="1:13" s="7" customFormat="1" ht="15" customHeight="1" x14ac:dyDescent="0.2">
      <c r="A23" s="56" t="s">
        <v>124</v>
      </c>
      <c r="B23" s="57">
        <v>10306010</v>
      </c>
      <c r="C23" s="51">
        <f>'[1]10306010'!$F$44</f>
        <v>23333.02</v>
      </c>
      <c r="D23" s="51"/>
      <c r="F23" s="225"/>
      <c r="G23" s="228"/>
      <c r="H23" s="19"/>
      <c r="I23" s="74"/>
      <c r="J23" s="73">
        <f>C23</f>
        <v>23333.02</v>
      </c>
      <c r="K23" s="36">
        <f>SUM(K21:K22)</f>
        <v>42696679.57</v>
      </c>
      <c r="L23" s="36"/>
    </row>
    <row r="24" spans="1:13" s="7" customFormat="1" ht="15" customHeight="1" x14ac:dyDescent="0.2">
      <c r="A24" s="56" t="s">
        <v>134</v>
      </c>
      <c r="B24" s="57">
        <v>10306020</v>
      </c>
      <c r="C24" s="51">
        <f>'[1]10306020'!$F$44</f>
        <v>4002.72</v>
      </c>
      <c r="D24" s="51"/>
      <c r="F24" s="225"/>
      <c r="G24" s="228"/>
      <c r="H24" s="19"/>
      <c r="I24" s="74"/>
      <c r="J24" s="73">
        <f>C24</f>
        <v>4002.72</v>
      </c>
      <c r="K24" s="75"/>
      <c r="L24" s="36"/>
    </row>
    <row r="25" spans="1:13" s="7" customFormat="1" ht="15" customHeight="1" x14ac:dyDescent="0.2">
      <c r="A25" s="56" t="s">
        <v>13</v>
      </c>
      <c r="B25" s="57">
        <v>10306990</v>
      </c>
      <c r="C25" s="51">
        <v>4140.72</v>
      </c>
      <c r="D25" s="51"/>
      <c r="F25" s="225"/>
      <c r="G25" s="228"/>
      <c r="H25" s="19"/>
      <c r="I25" s="74"/>
      <c r="J25" s="73">
        <f>C25</f>
        <v>4140.72</v>
      </c>
    </row>
    <row r="26" spans="1:13" s="7" customFormat="1" ht="15" customHeight="1" x14ac:dyDescent="0.2">
      <c r="A26" s="56" t="s">
        <v>135</v>
      </c>
      <c r="B26" s="57">
        <v>10402090</v>
      </c>
      <c r="C26" s="51">
        <v>2521463.35</v>
      </c>
      <c r="D26" s="51"/>
      <c r="F26" s="225" t="s">
        <v>175</v>
      </c>
      <c r="G26" s="222">
        <f>SUM(C26:C31)</f>
        <v>6617143.8100000005</v>
      </c>
      <c r="H26" s="19"/>
      <c r="I26" s="220"/>
      <c r="J26" s="220"/>
    </row>
    <row r="27" spans="1:13" s="7" customFormat="1" ht="15" customHeight="1" x14ac:dyDescent="0.2">
      <c r="A27" s="56" t="s">
        <v>65</v>
      </c>
      <c r="B27" s="57">
        <v>10404010</v>
      </c>
      <c r="C27" s="51">
        <v>312443.65999999997</v>
      </c>
      <c r="D27" s="51"/>
      <c r="F27" s="225"/>
      <c r="G27" s="223"/>
      <c r="H27" s="19"/>
      <c r="I27" s="221"/>
      <c r="J27" s="221"/>
    </row>
    <row r="28" spans="1:13" s="7" customFormat="1" ht="15" customHeight="1" x14ac:dyDescent="0.2">
      <c r="A28" s="56" t="s">
        <v>219</v>
      </c>
      <c r="B28" s="57">
        <v>10404060</v>
      </c>
      <c r="C28" s="51">
        <v>1503058.74</v>
      </c>
      <c r="D28" s="51"/>
      <c r="F28" s="225"/>
      <c r="G28" s="223"/>
      <c r="H28" s="19"/>
      <c r="I28" s="221"/>
      <c r="J28" s="221"/>
    </row>
    <row r="29" spans="1:13" s="7" customFormat="1" ht="15" customHeight="1" x14ac:dyDescent="0.2">
      <c r="A29" s="56" t="s">
        <v>196</v>
      </c>
      <c r="B29" s="57">
        <v>10404070</v>
      </c>
      <c r="C29" s="51">
        <v>221295.61</v>
      </c>
      <c r="D29" s="51"/>
      <c r="F29" s="225"/>
      <c r="G29" s="223"/>
      <c r="H29" s="19"/>
      <c r="I29" s="221"/>
      <c r="J29" s="221"/>
    </row>
    <row r="30" spans="1:13" s="7" customFormat="1" ht="15" customHeight="1" x14ac:dyDescent="0.2">
      <c r="A30" s="56" t="s">
        <v>188</v>
      </c>
      <c r="B30" s="57">
        <v>10404090</v>
      </c>
      <c r="C30" s="51">
        <v>23374.48</v>
      </c>
      <c r="D30" s="51"/>
      <c r="F30" s="225"/>
      <c r="G30" s="223"/>
      <c r="H30" s="19"/>
      <c r="I30" s="221"/>
      <c r="J30" s="221"/>
    </row>
    <row r="31" spans="1:13" s="7" customFormat="1" ht="15" customHeight="1" x14ac:dyDescent="0.2">
      <c r="A31" s="56" t="s">
        <v>71</v>
      </c>
      <c r="B31" s="57">
        <v>10404990</v>
      </c>
      <c r="C31" s="51">
        <v>2035507.97</v>
      </c>
      <c r="D31" s="51"/>
      <c r="F31" s="225"/>
      <c r="G31" s="223"/>
      <c r="H31" s="19"/>
      <c r="I31" s="221"/>
      <c r="J31" s="221"/>
    </row>
    <row r="32" spans="1:13" s="7" customFormat="1" ht="15" customHeight="1" x14ac:dyDescent="0.2">
      <c r="A32" s="56" t="s">
        <v>228</v>
      </c>
      <c r="B32" s="57">
        <v>10501010</v>
      </c>
      <c r="C32" s="51">
        <v>822411.66</v>
      </c>
      <c r="D32" s="51"/>
      <c r="F32" s="224" t="s">
        <v>176</v>
      </c>
      <c r="G32" s="222">
        <f>SUM(C32:C34)</f>
        <v>855449.75</v>
      </c>
      <c r="H32" s="19"/>
      <c r="I32" s="220"/>
      <c r="J32" s="220"/>
    </row>
    <row r="33" spans="1:10" s="7" customFormat="1" ht="15" customHeight="1" x14ac:dyDescent="0.2">
      <c r="A33" s="56" t="s">
        <v>49</v>
      </c>
      <c r="B33" s="57">
        <v>10501050</v>
      </c>
      <c r="C33" s="51">
        <v>3038.09</v>
      </c>
      <c r="D33" s="51"/>
      <c r="F33" s="224"/>
      <c r="G33" s="222"/>
      <c r="H33" s="19"/>
      <c r="I33" s="221"/>
      <c r="J33" s="221"/>
    </row>
    <row r="34" spans="1:10" s="7" customFormat="1" ht="15" customHeight="1" x14ac:dyDescent="0.2">
      <c r="A34" s="56" t="s">
        <v>218</v>
      </c>
      <c r="B34" s="57">
        <v>10501990</v>
      </c>
      <c r="C34" s="51">
        <f>'[1]10501990'!$F$44</f>
        <v>30000</v>
      </c>
      <c r="D34" s="51"/>
      <c r="F34" s="224"/>
      <c r="G34" s="222"/>
      <c r="H34" s="19"/>
      <c r="I34" s="22"/>
      <c r="J34" s="22"/>
    </row>
    <row r="35" spans="1:10" s="7" customFormat="1" ht="15" customHeight="1" x14ac:dyDescent="0.2">
      <c r="A35" s="56" t="s">
        <v>136</v>
      </c>
      <c r="B35" s="57">
        <v>10601030</v>
      </c>
      <c r="C35" s="51">
        <v>2175110</v>
      </c>
      <c r="D35" s="51"/>
      <c r="F35" s="24" t="s">
        <v>177</v>
      </c>
      <c r="G35" s="73">
        <f>C35</f>
        <v>2175110</v>
      </c>
      <c r="H35" s="19"/>
      <c r="I35" s="22"/>
      <c r="J35" s="22"/>
    </row>
    <row r="36" spans="1:10" s="7" customFormat="1" ht="15" customHeight="1" x14ac:dyDescent="0.2">
      <c r="A36" s="56" t="s">
        <v>14</v>
      </c>
      <c r="B36" s="57">
        <v>10701010</v>
      </c>
      <c r="C36" s="51">
        <f>'[1]10701010'!$F$44</f>
        <v>7224640</v>
      </c>
      <c r="D36" s="51"/>
      <c r="F36" s="225" t="s">
        <v>178</v>
      </c>
      <c r="G36" s="226">
        <f>SUM(C36:C80)-SUM(D36:D80)</f>
        <v>330127968.24999994</v>
      </c>
      <c r="H36" s="19"/>
      <c r="I36" s="216"/>
      <c r="J36" s="216"/>
    </row>
    <row r="37" spans="1:10" s="7" customFormat="1" ht="15" customHeight="1" x14ac:dyDescent="0.2">
      <c r="A37" s="56" t="s">
        <v>72</v>
      </c>
      <c r="B37" s="57">
        <v>10702010</v>
      </c>
      <c r="C37" s="51">
        <f>'[1]10702010'!$F$44</f>
        <v>15439991.949999999</v>
      </c>
      <c r="D37" s="51"/>
      <c r="F37" s="225"/>
      <c r="G37" s="226"/>
      <c r="H37" s="19"/>
      <c r="I37" s="216"/>
      <c r="J37" s="216"/>
    </row>
    <row r="38" spans="1:10" s="7" customFormat="1" ht="15" customHeight="1" x14ac:dyDescent="0.2">
      <c r="A38" s="56" t="s">
        <v>204</v>
      </c>
      <c r="B38" s="57">
        <v>10703010</v>
      </c>
      <c r="C38" s="51">
        <v>12833783.59</v>
      </c>
      <c r="D38" s="51"/>
      <c r="F38" s="225"/>
      <c r="G38" s="226"/>
      <c r="H38" s="19"/>
      <c r="I38" s="216"/>
      <c r="J38" s="216"/>
    </row>
    <row r="39" spans="1:10" s="7" customFormat="1" ht="15" customHeight="1" x14ac:dyDescent="0.2">
      <c r="A39" s="56" t="s">
        <v>231</v>
      </c>
      <c r="B39" s="57">
        <v>10703020</v>
      </c>
      <c r="C39" s="51">
        <v>7556056.9800000004</v>
      </c>
      <c r="D39" s="51"/>
      <c r="F39" s="225"/>
      <c r="G39" s="226"/>
      <c r="H39" s="19"/>
      <c r="I39" s="216"/>
      <c r="J39" s="216"/>
    </row>
    <row r="40" spans="1:10" s="7" customFormat="1" ht="15" customHeight="1" x14ac:dyDescent="0.2">
      <c r="A40" s="56" t="s">
        <v>214</v>
      </c>
      <c r="B40" s="57">
        <v>10703040</v>
      </c>
      <c r="C40" s="51">
        <v>91701416.989999995</v>
      </c>
      <c r="D40" s="51"/>
      <c r="F40" s="225"/>
      <c r="G40" s="226"/>
      <c r="H40" s="19"/>
      <c r="I40" s="216"/>
      <c r="J40" s="216"/>
    </row>
    <row r="41" spans="1:10" s="7" customFormat="1" ht="15" customHeight="1" x14ac:dyDescent="0.2">
      <c r="A41" s="56" t="s">
        <v>73</v>
      </c>
      <c r="B41" s="57">
        <v>10703050</v>
      </c>
      <c r="C41" s="51">
        <v>129946.35</v>
      </c>
      <c r="D41" s="51"/>
      <c r="F41" s="225"/>
      <c r="G41" s="226"/>
      <c r="H41" s="19"/>
      <c r="I41" s="216"/>
      <c r="J41" s="216"/>
    </row>
    <row r="42" spans="1:10" s="7" customFormat="1" ht="15" customHeight="1" x14ac:dyDescent="0.2">
      <c r="A42" s="56" t="s">
        <v>82</v>
      </c>
      <c r="B42" s="57">
        <v>10703051</v>
      </c>
      <c r="C42" s="51"/>
      <c r="D42" s="51">
        <f>'[2]10703051'!$F$44</f>
        <v>2659.55</v>
      </c>
      <c r="F42" s="225"/>
      <c r="G42" s="226"/>
      <c r="H42" s="19"/>
      <c r="I42" s="216"/>
      <c r="J42" s="216"/>
    </row>
    <row r="43" spans="1:10" s="7" customFormat="1" ht="15" customHeight="1" x14ac:dyDescent="0.2">
      <c r="A43" s="56" t="s">
        <v>74</v>
      </c>
      <c r="B43" s="57">
        <v>10704010</v>
      </c>
      <c r="C43" s="51">
        <v>23642659.870000001</v>
      </c>
      <c r="D43" s="51"/>
      <c r="F43" s="225"/>
      <c r="G43" s="226"/>
      <c r="H43" s="19"/>
      <c r="I43" s="216"/>
      <c r="J43" s="216"/>
    </row>
    <row r="44" spans="1:10" s="7" customFormat="1" ht="15" customHeight="1" x14ac:dyDescent="0.2">
      <c r="A44" s="56" t="s">
        <v>15</v>
      </c>
      <c r="B44" s="57">
        <v>10704020</v>
      </c>
      <c r="C44" s="51">
        <f>'[1]10704020'!$F$44</f>
        <v>5572357.3899999997</v>
      </c>
      <c r="D44" s="51"/>
      <c r="F44" s="225"/>
      <c r="G44" s="226"/>
      <c r="H44" s="19"/>
      <c r="I44" s="216"/>
      <c r="J44" s="216"/>
    </row>
    <row r="45" spans="1:10" s="7" customFormat="1" ht="15" customHeight="1" x14ac:dyDescent="0.2">
      <c r="A45" s="56" t="s">
        <v>75</v>
      </c>
      <c r="B45" s="57">
        <v>10704040</v>
      </c>
      <c r="C45" s="51">
        <v>44161657.109999999</v>
      </c>
      <c r="D45" s="51"/>
      <c r="F45" s="225"/>
      <c r="G45" s="226"/>
      <c r="H45" s="19"/>
      <c r="I45" s="216"/>
      <c r="J45" s="216"/>
    </row>
    <row r="46" spans="1:10" s="7" customFormat="1" ht="15" customHeight="1" x14ac:dyDescent="0.2">
      <c r="A46" s="56" t="s">
        <v>193</v>
      </c>
      <c r="B46" s="57">
        <v>10704050</v>
      </c>
      <c r="C46" s="51">
        <f>'[1]10704050'!$F$44</f>
        <v>2496748.44</v>
      </c>
      <c r="D46" s="51"/>
      <c r="F46" s="225"/>
      <c r="G46" s="226"/>
      <c r="H46" s="19"/>
      <c r="I46" s="216"/>
      <c r="J46" s="216"/>
    </row>
    <row r="47" spans="1:10" s="7" customFormat="1" ht="15" customHeight="1" x14ac:dyDescent="0.2">
      <c r="A47" s="56" t="s">
        <v>209</v>
      </c>
      <c r="B47" s="57">
        <v>10704990</v>
      </c>
      <c r="C47" s="51">
        <f>'[1]10704990'!$F$44</f>
        <v>3971491.5600000005</v>
      </c>
      <c r="D47" s="51"/>
      <c r="F47" s="225"/>
      <c r="G47" s="226"/>
      <c r="H47" s="19"/>
      <c r="I47" s="216"/>
      <c r="J47" s="216"/>
    </row>
    <row r="48" spans="1:10" s="7" customFormat="1" ht="15" customHeight="1" x14ac:dyDescent="0.2">
      <c r="A48" s="56" t="s">
        <v>17</v>
      </c>
      <c r="B48" s="57">
        <v>10705010</v>
      </c>
      <c r="C48" s="51">
        <v>1324131</v>
      </c>
      <c r="D48" s="51"/>
      <c r="F48" s="225"/>
      <c r="G48" s="226"/>
      <c r="H48" s="19"/>
      <c r="I48" s="216"/>
      <c r="J48" s="216"/>
    </row>
    <row r="49" spans="1:10" s="7" customFormat="1" ht="15" customHeight="1" x14ac:dyDescent="0.2">
      <c r="A49" s="56" t="s">
        <v>83</v>
      </c>
      <c r="B49" s="57">
        <v>10705011</v>
      </c>
      <c r="C49" s="51"/>
      <c r="D49" s="51">
        <v>500326.65</v>
      </c>
      <c r="F49" s="225"/>
      <c r="G49" s="226"/>
      <c r="H49" s="19"/>
      <c r="I49" s="216"/>
      <c r="J49" s="216"/>
    </row>
    <row r="50" spans="1:10" s="7" customFormat="1" ht="15" customHeight="1" x14ac:dyDescent="0.2">
      <c r="A50" s="56" t="s">
        <v>16</v>
      </c>
      <c r="B50" s="57">
        <v>10705020</v>
      </c>
      <c r="C50" s="51">
        <f>'[1]10705020'!$F$44</f>
        <v>1071276</v>
      </c>
      <c r="D50" s="51"/>
      <c r="F50" s="225"/>
      <c r="G50" s="226"/>
      <c r="H50" s="19"/>
      <c r="I50" s="216"/>
      <c r="J50" s="216"/>
    </row>
    <row r="51" spans="1:10" s="7" customFormat="1" ht="15" customHeight="1" x14ac:dyDescent="0.2">
      <c r="A51" s="56" t="s">
        <v>84</v>
      </c>
      <c r="B51" s="57">
        <v>10705021</v>
      </c>
      <c r="C51" s="51"/>
      <c r="D51" s="51">
        <v>867445.69</v>
      </c>
      <c r="F51" s="225"/>
      <c r="G51" s="226"/>
      <c r="H51" s="19"/>
      <c r="I51" s="216"/>
      <c r="J51" s="216"/>
    </row>
    <row r="52" spans="1:10" s="7" customFormat="1" ht="15" customHeight="1" x14ac:dyDescent="0.2">
      <c r="A52" s="56" t="s">
        <v>76</v>
      </c>
      <c r="B52" s="57">
        <v>10705030</v>
      </c>
      <c r="C52" s="51">
        <v>9402087.1400000006</v>
      </c>
      <c r="D52" s="51"/>
      <c r="F52" s="225"/>
      <c r="G52" s="226"/>
      <c r="H52" s="19"/>
      <c r="I52" s="216"/>
      <c r="J52" s="216"/>
    </row>
    <row r="53" spans="1:10" s="7" customFormat="1" ht="15" customHeight="1" x14ac:dyDescent="0.2">
      <c r="A53" s="67" t="s">
        <v>85</v>
      </c>
      <c r="B53" s="57">
        <v>10705031</v>
      </c>
      <c r="C53" s="51"/>
      <c r="D53" s="51">
        <v>4536877.6500000004</v>
      </c>
      <c r="F53" s="225"/>
      <c r="G53" s="226"/>
      <c r="H53" s="19"/>
      <c r="I53" s="216"/>
      <c r="J53" s="216"/>
    </row>
    <row r="54" spans="1:10" s="7" customFormat="1" ht="15" customHeight="1" x14ac:dyDescent="0.2">
      <c r="A54" s="56" t="s">
        <v>77</v>
      </c>
      <c r="B54" s="57">
        <v>10705040</v>
      </c>
      <c r="C54" s="51">
        <f>'[1]10705040'!$F$44</f>
        <v>6402132</v>
      </c>
      <c r="D54" s="51"/>
      <c r="F54" s="225"/>
      <c r="G54" s="226"/>
      <c r="H54" s="19"/>
      <c r="I54" s="216"/>
      <c r="J54" s="216"/>
    </row>
    <row r="55" spans="1:10" s="7" customFormat="1" ht="15" customHeight="1" x14ac:dyDescent="0.2">
      <c r="A55" s="68" t="s">
        <v>86</v>
      </c>
      <c r="B55" s="57">
        <v>10705041</v>
      </c>
      <c r="C55" s="51"/>
      <c r="D55" s="51">
        <v>1850857.83</v>
      </c>
      <c r="F55" s="225"/>
      <c r="G55" s="226"/>
      <c r="H55" s="19"/>
      <c r="I55" s="216"/>
      <c r="J55" s="216"/>
    </row>
    <row r="56" spans="1:10" s="7" customFormat="1" ht="15" customHeight="1" x14ac:dyDescent="0.2">
      <c r="A56" s="56" t="s">
        <v>18</v>
      </c>
      <c r="B56" s="57">
        <v>10705070</v>
      </c>
      <c r="C56" s="51">
        <f>'[1]10705070'!$F$44</f>
        <v>90861.88</v>
      </c>
      <c r="D56" s="51"/>
      <c r="F56" s="225"/>
      <c r="G56" s="226"/>
      <c r="H56" s="19"/>
      <c r="I56" s="216"/>
      <c r="J56" s="216"/>
    </row>
    <row r="57" spans="1:10" s="7" customFormat="1" ht="15" customHeight="1" x14ac:dyDescent="0.2">
      <c r="A57" s="56" t="s">
        <v>87</v>
      </c>
      <c r="B57" s="57">
        <v>10705071</v>
      </c>
      <c r="C57" s="51"/>
      <c r="D57" s="51">
        <v>27376.58</v>
      </c>
      <c r="F57" s="225"/>
      <c r="G57" s="226"/>
      <c r="H57" s="19"/>
      <c r="I57" s="216"/>
      <c r="J57" s="216"/>
    </row>
    <row r="58" spans="1:10" s="7" customFormat="1" ht="15" customHeight="1" x14ac:dyDescent="0.2">
      <c r="A58" s="56" t="s">
        <v>52</v>
      </c>
      <c r="B58" s="57">
        <v>10705080</v>
      </c>
      <c r="C58" s="51">
        <f>'[1]10705080'!$F$44</f>
        <v>12978512.390000001</v>
      </c>
      <c r="D58" s="51"/>
      <c r="F58" s="225"/>
      <c r="G58" s="226"/>
      <c r="H58" s="19"/>
      <c r="I58" s="216"/>
      <c r="J58" s="216"/>
    </row>
    <row r="59" spans="1:10" s="7" customFormat="1" ht="15" customHeight="1" x14ac:dyDescent="0.2">
      <c r="A59" s="68" t="s">
        <v>88</v>
      </c>
      <c r="B59" s="57">
        <v>10705081</v>
      </c>
      <c r="C59" s="51"/>
      <c r="D59" s="51">
        <v>3957961.26</v>
      </c>
      <c r="F59" s="225"/>
      <c r="G59" s="226"/>
      <c r="H59" s="19"/>
      <c r="I59" s="216"/>
      <c r="J59" s="216"/>
    </row>
    <row r="60" spans="1:10" s="7" customFormat="1" ht="15" customHeight="1" x14ac:dyDescent="0.2">
      <c r="A60" s="68" t="s">
        <v>137</v>
      </c>
      <c r="B60" s="57">
        <v>10705090</v>
      </c>
      <c r="C60" s="51">
        <f>'[1]10705090'!$F$44</f>
        <v>4821085</v>
      </c>
      <c r="D60" s="51"/>
      <c r="F60" s="225"/>
      <c r="G60" s="226"/>
      <c r="H60" s="19"/>
      <c r="I60" s="216"/>
      <c r="J60" s="216"/>
    </row>
    <row r="61" spans="1:10" s="7" customFormat="1" ht="15" customHeight="1" x14ac:dyDescent="0.2">
      <c r="A61" s="69" t="s">
        <v>138</v>
      </c>
      <c r="B61" s="57">
        <v>10705091</v>
      </c>
      <c r="C61" s="51"/>
      <c r="D61" s="51">
        <v>1605454.34</v>
      </c>
      <c r="F61" s="225"/>
      <c r="G61" s="226"/>
      <c r="H61" s="19"/>
      <c r="I61" s="216"/>
      <c r="J61" s="216"/>
    </row>
    <row r="62" spans="1:10" s="7" customFormat="1" ht="15" customHeight="1" x14ac:dyDescent="0.2">
      <c r="A62" s="56" t="s">
        <v>208</v>
      </c>
      <c r="B62" s="57">
        <v>10705100</v>
      </c>
      <c r="C62" s="51">
        <v>334996</v>
      </c>
      <c r="D62" s="51"/>
      <c r="F62" s="225"/>
      <c r="G62" s="226"/>
      <c r="H62" s="19"/>
      <c r="I62" s="216"/>
      <c r="J62" s="216"/>
    </row>
    <row r="63" spans="1:10" s="7" customFormat="1" ht="15" customHeight="1" x14ac:dyDescent="0.2">
      <c r="A63" s="69" t="s">
        <v>221</v>
      </c>
      <c r="B63" s="57">
        <v>10705101</v>
      </c>
      <c r="C63" s="51"/>
      <c r="D63" s="51">
        <v>46680.480000000003</v>
      </c>
      <c r="F63" s="225"/>
      <c r="G63" s="226"/>
      <c r="H63" s="19"/>
      <c r="I63" s="216"/>
      <c r="J63" s="216"/>
    </row>
    <row r="64" spans="1:10" s="7" customFormat="1" ht="15" customHeight="1" x14ac:dyDescent="0.2">
      <c r="A64" s="56" t="s">
        <v>197</v>
      </c>
      <c r="B64" s="57">
        <v>10705110</v>
      </c>
      <c r="C64" s="51">
        <f>'[1]10705110'!$F$44</f>
        <v>367000</v>
      </c>
      <c r="D64" s="51"/>
      <c r="F64" s="225"/>
      <c r="G64" s="226"/>
      <c r="H64" s="19"/>
      <c r="I64" s="216"/>
      <c r="J64" s="216"/>
    </row>
    <row r="65" spans="1:10" s="7" customFormat="1" ht="15" customHeight="1" x14ac:dyDescent="0.2">
      <c r="A65" s="68" t="s">
        <v>210</v>
      </c>
      <c r="B65" s="57">
        <v>10705111</v>
      </c>
      <c r="C65" s="51"/>
      <c r="D65" s="51">
        <v>62392.5</v>
      </c>
      <c r="F65" s="225"/>
      <c r="G65" s="226"/>
      <c r="H65" s="19"/>
      <c r="I65" s="216"/>
      <c r="J65" s="216"/>
    </row>
    <row r="66" spans="1:10" s="7" customFormat="1" ht="15" customHeight="1" x14ac:dyDescent="0.2">
      <c r="A66" s="56" t="s">
        <v>22</v>
      </c>
      <c r="B66" s="57">
        <v>10705130</v>
      </c>
      <c r="C66" s="51">
        <f>'[1]10705130'!$F$44</f>
        <v>127616.5</v>
      </c>
      <c r="D66" s="51"/>
      <c r="F66" s="225"/>
      <c r="G66" s="226"/>
      <c r="H66" s="19"/>
      <c r="I66" s="216"/>
      <c r="J66" s="216"/>
    </row>
    <row r="67" spans="1:10" s="7" customFormat="1" ht="15" customHeight="1" x14ac:dyDescent="0.2">
      <c r="A67" s="56" t="s">
        <v>61</v>
      </c>
      <c r="B67" s="57">
        <v>10705140</v>
      </c>
      <c r="C67" s="51">
        <f>'[1]10705140'!$F$44</f>
        <v>21340.17</v>
      </c>
      <c r="D67" s="51"/>
      <c r="F67" s="225"/>
      <c r="G67" s="226"/>
      <c r="H67" s="19"/>
      <c r="I67" s="216"/>
      <c r="J67" s="216"/>
    </row>
    <row r="68" spans="1:10" s="7" customFormat="1" ht="15" customHeight="1" x14ac:dyDescent="0.2">
      <c r="A68" s="56" t="s">
        <v>78</v>
      </c>
      <c r="B68" s="57">
        <v>10705990</v>
      </c>
      <c r="C68" s="51">
        <v>1169809</v>
      </c>
      <c r="D68" s="51"/>
      <c r="F68" s="225"/>
      <c r="G68" s="226"/>
      <c r="H68" s="19"/>
      <c r="I68" s="216"/>
      <c r="J68" s="216"/>
    </row>
    <row r="69" spans="1:10" s="7" customFormat="1" ht="15" customHeight="1" x14ac:dyDescent="0.2">
      <c r="A69" s="68" t="s">
        <v>89</v>
      </c>
      <c r="B69" s="57">
        <v>10705991</v>
      </c>
      <c r="C69" s="51"/>
      <c r="D69" s="51">
        <v>292914.78999999998</v>
      </c>
      <c r="F69" s="225"/>
      <c r="G69" s="226"/>
      <c r="H69" s="19"/>
      <c r="I69" s="216"/>
      <c r="J69" s="216"/>
    </row>
    <row r="70" spans="1:10" s="7" customFormat="1" ht="15" customHeight="1" x14ac:dyDescent="0.2">
      <c r="A70" s="56" t="s">
        <v>19</v>
      </c>
      <c r="B70" s="57">
        <v>10706010</v>
      </c>
      <c r="C70" s="51">
        <v>8545982.8100000005</v>
      </c>
      <c r="D70" s="51"/>
      <c r="F70" s="225"/>
      <c r="G70" s="226"/>
      <c r="H70" s="19"/>
      <c r="I70" s="216"/>
      <c r="J70" s="216"/>
    </row>
    <row r="71" spans="1:10" s="7" customFormat="1" ht="15" customHeight="1" x14ac:dyDescent="0.2">
      <c r="A71" s="56" t="s">
        <v>90</v>
      </c>
      <c r="B71" s="57">
        <v>10706011</v>
      </c>
      <c r="C71" s="51"/>
      <c r="D71" s="51">
        <v>1221443.97</v>
      </c>
      <c r="F71" s="225"/>
      <c r="G71" s="226"/>
      <c r="H71" s="19"/>
      <c r="I71" s="216"/>
      <c r="J71" s="216"/>
    </row>
    <row r="72" spans="1:10" s="7" customFormat="1" ht="15" customHeight="1" x14ac:dyDescent="0.2">
      <c r="A72" s="56" t="s">
        <v>62</v>
      </c>
      <c r="B72" s="57">
        <v>10707010</v>
      </c>
      <c r="C72" s="51">
        <v>4904036.4000000004</v>
      </c>
      <c r="D72" s="51"/>
      <c r="F72" s="225"/>
      <c r="G72" s="226"/>
      <c r="H72" s="19"/>
      <c r="I72" s="216"/>
      <c r="J72" s="216"/>
    </row>
    <row r="73" spans="1:10" s="7" customFormat="1" ht="15" customHeight="1" x14ac:dyDescent="0.2">
      <c r="A73" s="56" t="s">
        <v>91</v>
      </c>
      <c r="B73" s="57">
        <v>10707011</v>
      </c>
      <c r="C73" s="51"/>
      <c r="D73" s="51">
        <v>1741577.45</v>
      </c>
      <c r="F73" s="225"/>
      <c r="G73" s="226"/>
      <c r="H73" s="19"/>
      <c r="I73" s="216"/>
      <c r="J73" s="216"/>
    </row>
    <row r="74" spans="1:10" s="7" customFormat="1" ht="15" customHeight="1" x14ac:dyDescent="0.2">
      <c r="A74" s="56" t="s">
        <v>79</v>
      </c>
      <c r="B74" s="57">
        <v>10707020</v>
      </c>
      <c r="C74" s="51">
        <f>'[1]10707020'!$F$44</f>
        <v>22350</v>
      </c>
      <c r="D74" s="51"/>
      <c r="F74" s="225"/>
      <c r="G74" s="226"/>
      <c r="H74" s="19"/>
      <c r="I74" s="216"/>
      <c r="J74" s="216"/>
    </row>
    <row r="75" spans="1:10" s="7" customFormat="1" ht="15" customHeight="1" x14ac:dyDescent="0.2">
      <c r="A75" s="56" t="s">
        <v>223</v>
      </c>
      <c r="B75" s="57">
        <v>10710010</v>
      </c>
      <c r="C75" s="51">
        <v>556320</v>
      </c>
      <c r="D75" s="51"/>
      <c r="F75" s="225"/>
      <c r="G75" s="226"/>
      <c r="H75" s="19"/>
      <c r="I75" s="216"/>
      <c r="J75" s="216"/>
    </row>
    <row r="76" spans="1:10" s="7" customFormat="1" ht="15" customHeight="1" x14ac:dyDescent="0.2">
      <c r="A76" s="56" t="s">
        <v>80</v>
      </c>
      <c r="B76" s="57">
        <v>10710020</v>
      </c>
      <c r="C76" s="51">
        <v>53379272.539999999</v>
      </c>
      <c r="D76" s="51"/>
      <c r="F76" s="225"/>
      <c r="G76" s="226"/>
      <c r="H76" s="19"/>
      <c r="I76" s="216"/>
      <c r="J76" s="216"/>
    </row>
    <row r="77" spans="1:10" s="7" customFormat="1" ht="15" customHeight="1" x14ac:dyDescent="0.2">
      <c r="A77" s="56" t="s">
        <v>81</v>
      </c>
      <c r="B77" s="57">
        <v>10710030</v>
      </c>
      <c r="C77" s="51">
        <v>23906840.190000001</v>
      </c>
      <c r="D77" s="51"/>
      <c r="F77" s="225"/>
      <c r="G77" s="226"/>
      <c r="H77" s="19"/>
      <c r="I77" s="216"/>
      <c r="J77" s="216"/>
    </row>
    <row r="78" spans="1:10" s="7" customFormat="1" ht="15" customHeight="1" x14ac:dyDescent="0.2">
      <c r="A78" s="68" t="s">
        <v>207</v>
      </c>
      <c r="B78" s="57">
        <v>10707021</v>
      </c>
      <c r="C78" s="51"/>
      <c r="D78" s="51">
        <v>1102.5</v>
      </c>
      <c r="F78" s="225"/>
      <c r="G78" s="226"/>
      <c r="H78" s="19"/>
      <c r="I78" s="216"/>
      <c r="J78" s="216"/>
    </row>
    <row r="79" spans="1:10" s="7" customFormat="1" ht="15" customHeight="1" x14ac:dyDescent="0.2">
      <c r="A79" s="56" t="s">
        <v>53</v>
      </c>
      <c r="B79" s="57">
        <v>10799990</v>
      </c>
      <c r="C79" s="51">
        <v>3873224.85</v>
      </c>
      <c r="D79" s="51"/>
      <c r="F79" s="225"/>
      <c r="G79" s="226"/>
      <c r="H79" s="19"/>
      <c r="I79" s="216"/>
      <c r="J79" s="216"/>
    </row>
    <row r="80" spans="1:10" s="7" customFormat="1" ht="17.850000000000001" customHeight="1" x14ac:dyDescent="0.2">
      <c r="A80" s="68" t="s">
        <v>92</v>
      </c>
      <c r="B80" s="57">
        <v>10799991</v>
      </c>
      <c r="C80" s="51"/>
      <c r="D80" s="51">
        <v>1186584.6100000001</v>
      </c>
      <c r="F80" s="225"/>
      <c r="G80" s="226"/>
      <c r="H80" s="19"/>
      <c r="I80" s="216"/>
      <c r="J80" s="216"/>
    </row>
    <row r="81" spans="1:12" s="7" customFormat="1" ht="17.850000000000001" customHeight="1" x14ac:dyDescent="0.2">
      <c r="A81" s="56" t="s">
        <v>169</v>
      </c>
      <c r="B81" s="57">
        <v>10901020</v>
      </c>
      <c r="C81" s="51">
        <f>'[1]10901020'!$F$44</f>
        <v>306599</v>
      </c>
      <c r="D81" s="51"/>
      <c r="F81" s="33" t="s">
        <v>179</v>
      </c>
      <c r="G81" s="25">
        <f>SUM(C81:C82)</f>
        <v>328599</v>
      </c>
      <c r="H81" s="38">
        <f>SUM(G10:G81)</f>
        <v>525857972.27999997</v>
      </c>
      <c r="I81" s="220"/>
      <c r="J81" s="220"/>
    </row>
    <row r="82" spans="1:12" s="7" customFormat="1" ht="15.75" customHeight="1" x14ac:dyDescent="0.2">
      <c r="A82" s="56" t="s">
        <v>166</v>
      </c>
      <c r="B82" s="57">
        <v>10901990</v>
      </c>
      <c r="C82" s="51">
        <v>22000</v>
      </c>
      <c r="D82" s="51"/>
      <c r="F82" s="33"/>
      <c r="G82" s="19"/>
      <c r="H82" s="38"/>
      <c r="I82" s="221"/>
      <c r="J82" s="221"/>
    </row>
    <row r="83" spans="1:12" s="62" customFormat="1" ht="14.25" customHeight="1" x14ac:dyDescent="0.2">
      <c r="A83" s="56" t="s">
        <v>29</v>
      </c>
      <c r="B83" s="57">
        <v>20101020</v>
      </c>
      <c r="C83" s="51"/>
      <c r="D83" s="51">
        <v>67694.710000000006</v>
      </c>
      <c r="F83" s="216" t="s">
        <v>180</v>
      </c>
      <c r="G83" s="216"/>
      <c r="H83" s="222">
        <f>SUM(D83:D84)</f>
        <v>531863.91</v>
      </c>
      <c r="I83" s="59">
        <f>D83</f>
        <v>67694.710000000006</v>
      </c>
      <c r="J83" s="59"/>
    </row>
    <row r="84" spans="1:12" s="7" customFormat="1" ht="15" customHeight="1" x14ac:dyDescent="0.2">
      <c r="A84" s="56" t="s">
        <v>34</v>
      </c>
      <c r="B84" s="57">
        <v>20102040</v>
      </c>
      <c r="C84" s="51"/>
      <c r="D84" s="51">
        <v>464169.2</v>
      </c>
      <c r="F84" s="216"/>
      <c r="G84" s="216"/>
      <c r="H84" s="223"/>
      <c r="I84" s="32"/>
      <c r="J84" s="28">
        <f>D84</f>
        <v>464169.2</v>
      </c>
      <c r="L84" s="36"/>
    </row>
    <row r="85" spans="1:12" s="7" customFormat="1" ht="15" customHeight="1" x14ac:dyDescent="0.2">
      <c r="A85" s="56" t="s">
        <v>30</v>
      </c>
      <c r="B85" s="57">
        <v>20201010</v>
      </c>
      <c r="C85" s="51"/>
      <c r="D85" s="51">
        <v>1670765.65</v>
      </c>
      <c r="F85" s="216" t="s">
        <v>181</v>
      </c>
      <c r="G85" s="216"/>
      <c r="H85" s="222">
        <f>SUM(D85:D91)</f>
        <v>13567780.57</v>
      </c>
      <c r="I85" s="222"/>
      <c r="J85" s="222"/>
    </row>
    <row r="86" spans="1:12" s="7" customFormat="1" ht="15" customHeight="1" x14ac:dyDescent="0.2">
      <c r="A86" s="56" t="s">
        <v>31</v>
      </c>
      <c r="B86" s="57">
        <v>20201020</v>
      </c>
      <c r="C86" s="51"/>
      <c r="D86" s="51">
        <v>1943881.15</v>
      </c>
      <c r="F86" s="216"/>
      <c r="G86" s="216"/>
      <c r="H86" s="223"/>
      <c r="I86" s="223"/>
      <c r="J86" s="223"/>
    </row>
    <row r="87" spans="1:12" s="7" customFormat="1" ht="15" customHeight="1" x14ac:dyDescent="0.2">
      <c r="A87" s="56" t="s">
        <v>54</v>
      </c>
      <c r="B87" s="57">
        <v>20201030</v>
      </c>
      <c r="C87" s="51"/>
      <c r="D87" s="51">
        <v>95806.68</v>
      </c>
      <c r="F87" s="216"/>
      <c r="G87" s="216"/>
      <c r="H87" s="223"/>
      <c r="I87" s="223"/>
      <c r="J87" s="223"/>
    </row>
    <row r="88" spans="1:12" s="7" customFormat="1" ht="15" customHeight="1" x14ac:dyDescent="0.2">
      <c r="A88" s="56" t="s">
        <v>55</v>
      </c>
      <c r="B88" s="57">
        <v>20201040</v>
      </c>
      <c r="C88" s="51"/>
      <c r="D88" s="51">
        <v>140477.49</v>
      </c>
      <c r="F88" s="216"/>
      <c r="G88" s="216"/>
      <c r="H88" s="223"/>
      <c r="I88" s="223"/>
      <c r="J88" s="223"/>
    </row>
    <row r="89" spans="1:12" s="7" customFormat="1" ht="15" customHeight="1" x14ac:dyDescent="0.2">
      <c r="A89" s="56" t="s">
        <v>93</v>
      </c>
      <c r="B89" s="57">
        <v>20201050</v>
      </c>
      <c r="C89" s="51"/>
      <c r="D89" s="51">
        <v>5632017.9199999999</v>
      </c>
      <c r="F89" s="216"/>
      <c r="G89" s="216"/>
      <c r="H89" s="223"/>
      <c r="I89" s="223"/>
      <c r="J89" s="223"/>
    </row>
    <row r="90" spans="1:12" s="7" customFormat="1" ht="15" customHeight="1" x14ac:dyDescent="0.2">
      <c r="A90" s="56" t="s">
        <v>94</v>
      </c>
      <c r="B90" s="57">
        <v>20201060</v>
      </c>
      <c r="C90" s="51"/>
      <c r="D90" s="51">
        <v>148523.39000000001</v>
      </c>
      <c r="F90" s="216"/>
      <c r="G90" s="216"/>
      <c r="H90" s="223"/>
      <c r="I90" s="223"/>
      <c r="J90" s="223"/>
      <c r="L90" s="75">
        <f>H94+H95</f>
        <v>16389323.17</v>
      </c>
    </row>
    <row r="91" spans="1:12" s="7" customFormat="1" ht="15" customHeight="1" x14ac:dyDescent="0.2">
      <c r="A91" s="56" t="s">
        <v>56</v>
      </c>
      <c r="B91" s="57">
        <v>20201070</v>
      </c>
      <c r="C91" s="51"/>
      <c r="D91" s="51">
        <v>3936308.29</v>
      </c>
      <c r="F91" s="216"/>
      <c r="G91" s="216"/>
      <c r="H91" s="223"/>
      <c r="I91" s="223"/>
      <c r="J91" s="223"/>
    </row>
    <row r="92" spans="1:12" s="7" customFormat="1" ht="15" customHeight="1" x14ac:dyDescent="0.2">
      <c r="A92" s="56" t="s">
        <v>32</v>
      </c>
      <c r="B92" s="57">
        <v>20301010</v>
      </c>
      <c r="C92" s="51"/>
      <c r="D92" s="51">
        <v>5734628.4000000004</v>
      </c>
      <c r="F92" s="216" t="s">
        <v>182</v>
      </c>
      <c r="G92" s="216"/>
      <c r="H92" s="28">
        <f>D92</f>
        <v>5734628.4000000004</v>
      </c>
      <c r="I92" s="22"/>
      <c r="J92" s="22"/>
    </row>
    <row r="93" spans="1:12" s="62" customFormat="1" ht="15" customHeight="1" x14ac:dyDescent="0.2">
      <c r="A93" s="56" t="s">
        <v>95</v>
      </c>
      <c r="B93" s="57">
        <v>20401040</v>
      </c>
      <c r="C93" s="52"/>
      <c r="D93" s="51">
        <v>1608601.65</v>
      </c>
      <c r="F93" s="217" t="s">
        <v>183</v>
      </c>
      <c r="G93" s="217"/>
      <c r="H93" s="59">
        <f>D93</f>
        <v>1608601.65</v>
      </c>
      <c r="I93" s="64"/>
      <c r="J93" s="64"/>
    </row>
    <row r="94" spans="1:12" s="7" customFormat="1" ht="15" customHeight="1" x14ac:dyDescent="0.2">
      <c r="A94" s="56" t="s">
        <v>96</v>
      </c>
      <c r="B94" s="57">
        <v>20501010</v>
      </c>
      <c r="C94" s="52"/>
      <c r="D94" s="51">
        <v>15842755.33</v>
      </c>
      <c r="F94" s="216" t="s">
        <v>184</v>
      </c>
      <c r="G94" s="216"/>
      <c r="H94" s="28">
        <f>D94</f>
        <v>15842755.33</v>
      </c>
      <c r="I94" s="22"/>
      <c r="J94" s="22"/>
    </row>
    <row r="95" spans="1:12" s="58" customFormat="1" ht="15" customHeight="1" x14ac:dyDescent="0.2">
      <c r="A95" s="56" t="s">
        <v>33</v>
      </c>
      <c r="B95" s="57">
        <v>29999990</v>
      </c>
      <c r="C95" s="52"/>
      <c r="D95" s="51">
        <v>546567.84</v>
      </c>
      <c r="F95" s="218" t="s">
        <v>33</v>
      </c>
      <c r="G95" s="218"/>
      <c r="H95" s="59">
        <f>D95</f>
        <v>546567.84</v>
      </c>
      <c r="I95" s="60"/>
      <c r="J95" s="60"/>
    </row>
    <row r="96" spans="1:12" s="7" customFormat="1" ht="15" customHeight="1" x14ac:dyDescent="0.2">
      <c r="A96" s="56" t="s">
        <v>35</v>
      </c>
      <c r="B96" s="57">
        <v>30101010</v>
      </c>
      <c r="C96" s="52"/>
      <c r="D96" s="51">
        <f>383357268.21+93353090.31</f>
        <v>476710358.51999998</v>
      </c>
      <c r="F96" s="216" t="s">
        <v>35</v>
      </c>
      <c r="G96" s="216"/>
      <c r="H96" s="25">
        <f>SUM(D96:D209)-SUM(C96:C209)</f>
        <v>488025774.58000004</v>
      </c>
      <c r="I96" s="22"/>
      <c r="J96" s="22"/>
    </row>
    <row r="97" spans="1:10" s="7" customFormat="1" ht="15" customHeight="1" x14ac:dyDescent="0.2">
      <c r="A97" s="56" t="s">
        <v>97</v>
      </c>
      <c r="B97" s="57">
        <v>30101020</v>
      </c>
      <c r="C97" s="52">
        <v>2007918.12</v>
      </c>
      <c r="D97" s="51"/>
      <c r="F97" s="216"/>
      <c r="G97" s="216"/>
      <c r="H97" s="19"/>
      <c r="I97" s="22"/>
      <c r="J97" s="22"/>
    </row>
    <row r="98" spans="1:10" s="7" customFormat="1" ht="15" customHeight="1" x14ac:dyDescent="0.2">
      <c r="A98" s="56" t="s">
        <v>128</v>
      </c>
      <c r="B98" s="57">
        <v>40101020</v>
      </c>
      <c r="C98" s="52"/>
      <c r="D98" s="51">
        <v>960</v>
      </c>
      <c r="F98" s="24"/>
      <c r="G98" s="22"/>
      <c r="H98" s="38">
        <f>SUM(H83:H97)</f>
        <v>525857972.28000003</v>
      </c>
      <c r="I98" s="22"/>
      <c r="J98" s="22"/>
    </row>
    <row r="99" spans="1:10" s="7" customFormat="1" ht="15" customHeight="1" x14ac:dyDescent="0.2">
      <c r="A99" s="56" t="s">
        <v>37</v>
      </c>
      <c r="B99" s="57">
        <v>40101050</v>
      </c>
      <c r="C99" s="52"/>
      <c r="D99" s="51">
        <v>354351.94</v>
      </c>
      <c r="F99" s="24"/>
      <c r="G99" s="22"/>
      <c r="H99" s="33">
        <f>H81-H98</f>
        <v>0</v>
      </c>
      <c r="I99" s="22"/>
      <c r="J99" s="22"/>
    </row>
    <row r="100" spans="1:10" s="7" customFormat="1" ht="15" customHeight="1" x14ac:dyDescent="0.2">
      <c r="A100" s="56" t="s">
        <v>98</v>
      </c>
      <c r="B100" s="57">
        <v>40102040</v>
      </c>
      <c r="C100" s="52"/>
      <c r="D100" s="51">
        <v>125319.03999999999</v>
      </c>
      <c r="F100" s="24"/>
      <c r="G100" s="22"/>
      <c r="H100" s="19"/>
      <c r="I100" s="22"/>
      <c r="J100" s="22"/>
    </row>
    <row r="101" spans="1:10" s="7" customFormat="1" ht="15" customHeight="1" x14ac:dyDescent="0.2">
      <c r="A101" s="56" t="s">
        <v>99</v>
      </c>
      <c r="B101" s="57">
        <v>40102041</v>
      </c>
      <c r="C101" s="52">
        <v>18409.71</v>
      </c>
      <c r="D101" s="51"/>
      <c r="F101" s="24"/>
      <c r="G101" s="61"/>
      <c r="H101" s="19"/>
      <c r="I101" s="22"/>
      <c r="J101" s="22"/>
    </row>
    <row r="102" spans="1:10" s="7" customFormat="1" ht="15" customHeight="1" x14ac:dyDescent="0.2">
      <c r="A102" s="56" t="s">
        <v>130</v>
      </c>
      <c r="B102" s="57">
        <v>40102080</v>
      </c>
      <c r="C102" s="52"/>
      <c r="D102" s="51">
        <v>1265.49</v>
      </c>
      <c r="F102" s="24"/>
      <c r="G102" s="22"/>
      <c r="H102" s="19"/>
      <c r="I102" s="22"/>
      <c r="J102" s="22"/>
    </row>
    <row r="103" spans="1:10" s="7" customFormat="1" ht="15" customHeight="1" x14ac:dyDescent="0.2">
      <c r="A103" s="56" t="s">
        <v>36</v>
      </c>
      <c r="B103" s="57">
        <v>40103030</v>
      </c>
      <c r="C103" s="52"/>
      <c r="D103" s="51">
        <v>712780.99</v>
      </c>
      <c r="F103" s="24"/>
      <c r="G103" s="22"/>
      <c r="H103" s="19"/>
      <c r="I103" s="22"/>
      <c r="J103" s="22"/>
    </row>
    <row r="104" spans="1:10" s="7" customFormat="1" ht="15" customHeight="1" x14ac:dyDescent="0.2">
      <c r="A104" s="56" t="s">
        <v>132</v>
      </c>
      <c r="B104" s="57">
        <v>40103040</v>
      </c>
      <c r="C104" s="52"/>
      <c r="D104" s="51"/>
      <c r="F104" s="66"/>
      <c r="G104" s="30"/>
      <c r="H104" s="55"/>
      <c r="I104" s="22"/>
      <c r="J104" s="22"/>
    </row>
    <row r="105" spans="1:10" s="7" customFormat="1" ht="16.5" customHeight="1" x14ac:dyDescent="0.2">
      <c r="A105" s="56" t="s">
        <v>38</v>
      </c>
      <c r="B105" s="57">
        <v>40103050</v>
      </c>
      <c r="C105" s="52"/>
      <c r="D105" s="51">
        <v>4050</v>
      </c>
      <c r="F105" s="24"/>
      <c r="G105" s="30"/>
      <c r="H105" s="55"/>
      <c r="I105" s="22"/>
      <c r="J105" s="22"/>
    </row>
    <row r="106" spans="1:10" s="7" customFormat="1" ht="16.5" customHeight="1" x14ac:dyDescent="0.2">
      <c r="A106" s="56" t="s">
        <v>139</v>
      </c>
      <c r="B106" s="57">
        <v>40103060</v>
      </c>
      <c r="C106" s="52"/>
      <c r="D106" s="51"/>
      <c r="F106" s="24"/>
      <c r="G106" s="30"/>
      <c r="H106" s="19"/>
      <c r="I106" s="22"/>
      <c r="J106" s="22"/>
    </row>
    <row r="107" spans="1:10" s="7" customFormat="1" ht="16.5" customHeight="1" x14ac:dyDescent="0.2">
      <c r="A107" s="56" t="s">
        <v>126</v>
      </c>
      <c r="B107" s="57">
        <v>40103070</v>
      </c>
      <c r="C107" s="52"/>
      <c r="D107" s="51">
        <v>340</v>
      </c>
      <c r="F107" s="24"/>
      <c r="G107" s="22"/>
      <c r="H107" s="19"/>
      <c r="I107" s="22"/>
      <c r="J107" s="22"/>
    </row>
    <row r="108" spans="1:10" s="7" customFormat="1" ht="15" hidden="1" customHeight="1" x14ac:dyDescent="0.2">
      <c r="A108" s="56" t="s">
        <v>100</v>
      </c>
      <c r="B108" s="57">
        <v>40104990</v>
      </c>
      <c r="C108" s="52"/>
      <c r="D108" s="51"/>
      <c r="F108" s="24"/>
      <c r="G108" s="41"/>
      <c r="H108" s="19"/>
      <c r="I108" s="22"/>
      <c r="J108" s="22"/>
    </row>
    <row r="109" spans="1:10" s="7" customFormat="1" ht="15" customHeight="1" x14ac:dyDescent="0.2">
      <c r="A109" s="56" t="s">
        <v>101</v>
      </c>
      <c r="B109" s="57">
        <v>40105020</v>
      </c>
      <c r="C109" s="52"/>
      <c r="D109" s="51">
        <v>10896.72</v>
      </c>
      <c r="F109" s="24"/>
      <c r="G109" s="22"/>
      <c r="H109" s="19"/>
      <c r="I109" s="22"/>
      <c r="J109" s="22"/>
    </row>
    <row r="110" spans="1:10" s="7" customFormat="1" ht="15" customHeight="1" x14ac:dyDescent="0.2">
      <c r="A110" s="56" t="s">
        <v>102</v>
      </c>
      <c r="B110" s="57">
        <v>40106010</v>
      </c>
      <c r="C110" s="52"/>
      <c r="D110" s="51">
        <v>18500574</v>
      </c>
      <c r="F110" s="24"/>
      <c r="G110" s="61"/>
      <c r="H110" s="19"/>
      <c r="I110" s="22"/>
      <c r="J110" s="22"/>
    </row>
    <row r="111" spans="1:10" s="7" customFormat="1" ht="15" hidden="1" customHeight="1" x14ac:dyDescent="0.2">
      <c r="A111" s="56" t="s">
        <v>192</v>
      </c>
      <c r="B111" s="57">
        <v>40106030</v>
      </c>
      <c r="C111" s="52"/>
      <c r="D111" s="51"/>
      <c r="F111" s="24"/>
      <c r="G111" s="22"/>
      <c r="H111" s="19"/>
      <c r="I111" s="22"/>
      <c r="J111" s="22"/>
    </row>
    <row r="112" spans="1:10" s="7" customFormat="1" ht="15" customHeight="1" x14ac:dyDescent="0.2">
      <c r="A112" s="56" t="s">
        <v>39</v>
      </c>
      <c r="B112" s="57">
        <v>40201010</v>
      </c>
      <c r="C112" s="52"/>
      <c r="D112" s="51">
        <v>541667.48</v>
      </c>
      <c r="F112" s="24"/>
      <c r="G112" s="22"/>
      <c r="H112" s="19"/>
      <c r="I112" s="22"/>
      <c r="J112" s="22"/>
    </row>
    <row r="113" spans="1:10" s="7" customFormat="1" ht="15" customHeight="1" x14ac:dyDescent="0.2">
      <c r="A113" s="56" t="s">
        <v>40</v>
      </c>
      <c r="B113" s="57">
        <v>40201020</v>
      </c>
      <c r="C113" s="52"/>
      <c r="D113" s="51">
        <v>2978</v>
      </c>
      <c r="F113" s="24"/>
      <c r="G113" s="22"/>
      <c r="H113" s="19"/>
      <c r="I113" s="22"/>
      <c r="J113" s="22"/>
    </row>
    <row r="114" spans="1:10" s="7" customFormat="1" ht="15" hidden="1" customHeight="1" x14ac:dyDescent="0.2">
      <c r="A114" s="56" t="s">
        <v>205</v>
      </c>
      <c r="B114" s="57">
        <v>40201030</v>
      </c>
      <c r="C114" s="52"/>
      <c r="D114" s="51"/>
      <c r="F114" s="24"/>
      <c r="G114" s="22"/>
      <c r="H114" s="19"/>
      <c r="I114" s="22"/>
      <c r="J114" s="22"/>
    </row>
    <row r="115" spans="1:10" s="62" customFormat="1" ht="15" customHeight="1" x14ac:dyDescent="0.2">
      <c r="A115" s="56" t="s">
        <v>41</v>
      </c>
      <c r="B115" s="57">
        <v>40201040</v>
      </c>
      <c r="C115" s="52"/>
      <c r="D115" s="51">
        <v>236165</v>
      </c>
      <c r="F115" s="63"/>
      <c r="G115" s="64"/>
      <c r="H115" s="65"/>
      <c r="I115" s="64"/>
      <c r="J115" s="64"/>
    </row>
    <row r="116" spans="1:10" s="7" customFormat="1" ht="15" customHeight="1" x14ac:dyDescent="0.2">
      <c r="A116" s="56" t="s">
        <v>43</v>
      </c>
      <c r="B116" s="57">
        <v>40201100</v>
      </c>
      <c r="C116" s="52"/>
      <c r="D116" s="51">
        <v>863770</v>
      </c>
      <c r="F116" s="24"/>
      <c r="G116" s="22"/>
      <c r="H116" s="19"/>
      <c r="I116" s="22"/>
      <c r="J116" s="22"/>
    </row>
    <row r="117" spans="1:10" s="7" customFormat="1" ht="15" customHeight="1" x14ac:dyDescent="0.2">
      <c r="A117" s="56" t="s">
        <v>103</v>
      </c>
      <c r="B117" s="57">
        <v>40201140</v>
      </c>
      <c r="C117" s="52"/>
      <c r="D117" s="51">
        <v>112500</v>
      </c>
      <c r="F117" s="24"/>
      <c r="G117" s="22"/>
      <c r="H117" s="19"/>
      <c r="I117" s="22"/>
      <c r="J117" s="22"/>
    </row>
    <row r="118" spans="1:10" s="7" customFormat="1" ht="15" customHeight="1" x14ac:dyDescent="0.2">
      <c r="A118" s="56" t="s">
        <v>104</v>
      </c>
      <c r="B118" s="57">
        <v>40201160</v>
      </c>
      <c r="C118" s="52"/>
      <c r="D118" s="51">
        <v>11400</v>
      </c>
      <c r="F118" s="24"/>
      <c r="G118" s="22"/>
      <c r="H118" s="19"/>
      <c r="I118" s="22"/>
      <c r="J118" s="22"/>
    </row>
    <row r="119" spans="1:10" s="7" customFormat="1" ht="15" customHeight="1" x14ac:dyDescent="0.2">
      <c r="A119" s="56" t="s">
        <v>127</v>
      </c>
      <c r="B119" s="57">
        <v>40201980</v>
      </c>
      <c r="C119" s="52"/>
      <c r="D119" s="51">
        <v>8521.0300000000007</v>
      </c>
      <c r="F119" s="24"/>
      <c r="G119" s="22"/>
      <c r="H119" s="19"/>
      <c r="I119" s="22"/>
      <c r="J119" s="22"/>
    </row>
    <row r="120" spans="1:10" s="7" customFormat="1" ht="15" customHeight="1" x14ac:dyDescent="0.2">
      <c r="A120" s="56" t="s">
        <v>44</v>
      </c>
      <c r="B120" s="57">
        <v>40201990</v>
      </c>
      <c r="C120" s="52"/>
      <c r="D120" s="51">
        <v>166750</v>
      </c>
      <c r="F120" s="24"/>
      <c r="G120" s="22"/>
      <c r="H120" s="19"/>
      <c r="I120" s="22"/>
      <c r="J120" s="22"/>
    </row>
    <row r="121" spans="1:10" s="7" customFormat="1" ht="15" customHeight="1" x14ac:dyDescent="0.2">
      <c r="A121" s="56" t="s">
        <v>45</v>
      </c>
      <c r="B121" s="57">
        <v>40202050</v>
      </c>
      <c r="C121" s="52"/>
      <c r="D121" s="51">
        <v>260520.44</v>
      </c>
      <c r="F121" s="24"/>
      <c r="G121" s="22"/>
      <c r="H121" s="19"/>
      <c r="I121" s="22"/>
      <c r="J121" s="22"/>
    </row>
    <row r="122" spans="1:10" s="7" customFormat="1" ht="15" customHeight="1" x14ac:dyDescent="0.2">
      <c r="A122" s="56" t="s">
        <v>105</v>
      </c>
      <c r="B122" s="57">
        <v>40202140</v>
      </c>
      <c r="C122" s="52"/>
      <c r="D122" s="51">
        <v>68080</v>
      </c>
      <c r="F122" s="24"/>
      <c r="G122" s="22"/>
      <c r="H122" s="19"/>
      <c r="I122" s="22"/>
      <c r="J122" s="22"/>
    </row>
    <row r="123" spans="1:10" s="7" customFormat="1" ht="15" customHeight="1" x14ac:dyDescent="0.2">
      <c r="A123" s="56" t="s">
        <v>106</v>
      </c>
      <c r="B123" s="57">
        <v>40202150</v>
      </c>
      <c r="C123" s="52"/>
      <c r="D123" s="51">
        <v>51300</v>
      </c>
      <c r="F123" s="24"/>
      <c r="G123" s="22"/>
      <c r="H123" s="19"/>
      <c r="I123" s="22"/>
      <c r="J123" s="22"/>
    </row>
    <row r="124" spans="1:10" s="7" customFormat="1" ht="15" customHeight="1" x14ac:dyDescent="0.2">
      <c r="A124" s="56" t="s">
        <v>107</v>
      </c>
      <c r="B124" s="57">
        <v>40202160</v>
      </c>
      <c r="C124" s="52"/>
      <c r="D124" s="51">
        <v>180900</v>
      </c>
      <c r="F124" s="24"/>
      <c r="G124" s="22"/>
      <c r="H124" s="19"/>
      <c r="I124" s="22"/>
      <c r="J124" s="22"/>
    </row>
    <row r="125" spans="1:10" s="7" customFormat="1" ht="15" customHeight="1" x14ac:dyDescent="0.2">
      <c r="A125" s="56" t="s">
        <v>42</v>
      </c>
      <c r="B125" s="57">
        <v>40202190</v>
      </c>
      <c r="C125" s="52"/>
      <c r="D125" s="51">
        <v>52800</v>
      </c>
      <c r="F125" s="24"/>
      <c r="G125" s="22"/>
      <c r="H125" s="19"/>
      <c r="I125" s="22"/>
      <c r="J125" s="22"/>
    </row>
    <row r="126" spans="1:10" s="7" customFormat="1" ht="15" customHeight="1" x14ac:dyDescent="0.2">
      <c r="A126" s="56" t="s">
        <v>131</v>
      </c>
      <c r="B126" s="57">
        <v>40202220</v>
      </c>
      <c r="C126" s="52"/>
      <c r="D126" s="51"/>
      <c r="F126" s="24"/>
      <c r="G126" s="22"/>
      <c r="H126" s="19"/>
      <c r="I126" s="22"/>
      <c r="J126" s="22"/>
    </row>
    <row r="127" spans="1:10" s="7" customFormat="1" ht="15" customHeight="1" x14ac:dyDescent="0.2">
      <c r="A127" s="56" t="s">
        <v>222</v>
      </c>
      <c r="B127" s="57">
        <v>40202980</v>
      </c>
      <c r="C127" s="52"/>
      <c r="D127" s="51"/>
      <c r="F127" s="24"/>
      <c r="G127" s="22"/>
      <c r="H127" s="19"/>
      <c r="I127" s="22"/>
      <c r="J127" s="22"/>
    </row>
    <row r="128" spans="1:10" s="7" customFormat="1" ht="15" customHeight="1" x14ac:dyDescent="0.2">
      <c r="A128" s="56" t="s">
        <v>129</v>
      </c>
      <c r="B128" s="57">
        <v>40202990</v>
      </c>
      <c r="C128" s="52"/>
      <c r="D128" s="51"/>
      <c r="F128" s="24"/>
      <c r="G128" s="22"/>
      <c r="H128" s="19"/>
      <c r="I128" s="22"/>
      <c r="J128" s="22"/>
    </row>
    <row r="129" spans="1:10" s="7" customFormat="1" ht="15" hidden="1" customHeight="1" x14ac:dyDescent="0.2">
      <c r="A129" s="56" t="s">
        <v>212</v>
      </c>
      <c r="B129" s="57">
        <v>40301010</v>
      </c>
      <c r="C129" s="52"/>
      <c r="D129" s="51"/>
      <c r="F129" s="24"/>
      <c r="G129" s="22"/>
      <c r="H129" s="19"/>
      <c r="I129" s="22"/>
      <c r="J129" s="22"/>
    </row>
    <row r="130" spans="1:10" s="7" customFormat="1" ht="15" hidden="1" customHeight="1" x14ac:dyDescent="0.2">
      <c r="A130" s="56" t="s">
        <v>217</v>
      </c>
      <c r="B130" s="57">
        <v>40302010</v>
      </c>
      <c r="C130" s="52"/>
      <c r="D130" s="51"/>
      <c r="F130" s="24"/>
      <c r="G130" s="22"/>
      <c r="H130" s="19"/>
      <c r="I130" s="22"/>
      <c r="J130" s="22"/>
    </row>
    <row r="131" spans="1:10" s="7" customFormat="1" ht="15" customHeight="1" x14ac:dyDescent="0.2">
      <c r="A131" s="56" t="s">
        <v>108</v>
      </c>
      <c r="B131" s="57">
        <v>40401020</v>
      </c>
      <c r="C131" s="52"/>
      <c r="D131" s="51">
        <v>26501.51</v>
      </c>
      <c r="F131" s="24"/>
      <c r="G131" s="22"/>
      <c r="H131" s="19"/>
      <c r="I131" s="22"/>
      <c r="J131" s="22"/>
    </row>
    <row r="132" spans="1:10" s="7" customFormat="1" ht="15" customHeight="1" x14ac:dyDescent="0.2">
      <c r="A132" s="56" t="s">
        <v>187</v>
      </c>
      <c r="B132" s="57">
        <v>40402010</v>
      </c>
      <c r="C132" s="52"/>
      <c r="D132" s="51"/>
      <c r="F132" s="24"/>
      <c r="G132" s="22"/>
      <c r="H132" s="19"/>
      <c r="I132" s="22"/>
      <c r="J132" s="22"/>
    </row>
    <row r="133" spans="1:10" s="7" customFormat="1" ht="15" customHeight="1" x14ac:dyDescent="0.2">
      <c r="A133" s="56" t="s">
        <v>227</v>
      </c>
      <c r="B133" s="57">
        <v>40402020</v>
      </c>
      <c r="C133" s="52"/>
      <c r="D133" s="51"/>
      <c r="F133" s="24"/>
      <c r="G133" s="22"/>
      <c r="H133" s="19"/>
      <c r="I133" s="22"/>
      <c r="J133" s="22"/>
    </row>
    <row r="134" spans="1:10" s="7" customFormat="1" ht="15" customHeight="1" x14ac:dyDescent="0.2">
      <c r="A134" s="56" t="s">
        <v>213</v>
      </c>
      <c r="B134" s="57">
        <v>40601010</v>
      </c>
      <c r="C134" s="52"/>
      <c r="D134" s="51"/>
      <c r="F134" s="24"/>
      <c r="G134" s="22"/>
      <c r="H134" s="19"/>
      <c r="I134" s="22"/>
      <c r="J134" s="22"/>
    </row>
    <row r="135" spans="1:10" s="7" customFormat="1" ht="15" customHeight="1" x14ac:dyDescent="0.2">
      <c r="A135" s="56" t="s">
        <v>109</v>
      </c>
      <c r="B135" s="57">
        <v>50101010</v>
      </c>
      <c r="C135" s="51">
        <v>3828419.35</v>
      </c>
      <c r="D135" s="51"/>
      <c r="F135" s="24"/>
      <c r="G135" s="22"/>
      <c r="H135" s="19"/>
      <c r="I135" s="22"/>
      <c r="J135" s="22"/>
    </row>
    <row r="136" spans="1:10" s="7" customFormat="1" ht="15" customHeight="1" x14ac:dyDescent="0.2">
      <c r="A136" s="56" t="s">
        <v>110</v>
      </c>
      <c r="B136" s="57">
        <v>50101020</v>
      </c>
      <c r="C136" s="51">
        <v>644415.6</v>
      </c>
      <c r="D136" s="51"/>
      <c r="F136" s="24"/>
      <c r="G136" s="22"/>
      <c r="H136" s="19"/>
      <c r="I136" s="22"/>
      <c r="J136" s="22"/>
    </row>
    <row r="137" spans="1:10" s="7" customFormat="1" ht="15" customHeight="1" x14ac:dyDescent="0.2">
      <c r="A137" s="56" t="s">
        <v>57</v>
      </c>
      <c r="B137" s="57">
        <v>50102010</v>
      </c>
      <c r="C137" s="51">
        <v>453710.1</v>
      </c>
      <c r="D137" s="51"/>
      <c r="F137" s="24"/>
      <c r="G137" s="22"/>
      <c r="H137" s="19"/>
      <c r="I137" s="22"/>
      <c r="J137" s="22"/>
    </row>
    <row r="138" spans="1:10" s="7" customFormat="1" ht="15" customHeight="1" x14ac:dyDescent="0.2">
      <c r="A138" s="56" t="s">
        <v>111</v>
      </c>
      <c r="B138" s="57">
        <v>50102020</v>
      </c>
      <c r="C138" s="51">
        <v>156000</v>
      </c>
      <c r="D138" s="51"/>
      <c r="F138" s="24"/>
      <c r="G138" s="22"/>
      <c r="H138" s="19"/>
      <c r="I138" s="22"/>
      <c r="J138" s="22"/>
    </row>
    <row r="139" spans="1:10" s="7" customFormat="1" ht="15" customHeight="1" x14ac:dyDescent="0.2">
      <c r="A139" s="56" t="s">
        <v>112</v>
      </c>
      <c r="B139" s="57">
        <v>50102030</v>
      </c>
      <c r="C139" s="51">
        <v>156000</v>
      </c>
      <c r="D139" s="51"/>
      <c r="F139" s="24"/>
      <c r="G139" s="22"/>
      <c r="H139" s="19"/>
      <c r="I139" s="22"/>
      <c r="J139" s="22"/>
    </row>
    <row r="140" spans="1:10" s="7" customFormat="1" ht="15" customHeight="1" x14ac:dyDescent="0.2">
      <c r="A140" s="56" t="s">
        <v>58</v>
      </c>
      <c r="B140" s="57">
        <v>50102040</v>
      </c>
      <c r="C140" s="51"/>
      <c r="D140" s="51"/>
      <c r="F140" s="24"/>
      <c r="G140" s="22"/>
      <c r="H140" s="19"/>
      <c r="I140" s="22"/>
      <c r="J140" s="22"/>
    </row>
    <row r="141" spans="1:10" s="7" customFormat="1" ht="15" customHeight="1" x14ac:dyDescent="0.2">
      <c r="A141" s="56" t="s">
        <v>113</v>
      </c>
      <c r="B141" s="57">
        <v>50102050</v>
      </c>
      <c r="C141" s="51">
        <v>32700</v>
      </c>
      <c r="D141" s="51"/>
      <c r="F141" s="24"/>
      <c r="G141" s="22"/>
      <c r="H141" s="19"/>
      <c r="I141" s="22"/>
      <c r="J141" s="22"/>
    </row>
    <row r="142" spans="1:10" s="7" customFormat="1" ht="15" customHeight="1" x14ac:dyDescent="0.2">
      <c r="A142" s="56" t="s">
        <v>114</v>
      </c>
      <c r="B142" s="57">
        <v>50102060</v>
      </c>
      <c r="C142" s="51">
        <v>2959.08</v>
      </c>
      <c r="D142" s="51"/>
      <c r="F142" s="24"/>
      <c r="G142" s="22"/>
      <c r="H142" s="19"/>
      <c r="I142" s="22"/>
      <c r="J142" s="22"/>
    </row>
    <row r="143" spans="1:10" s="7" customFormat="1" ht="15" customHeight="1" x14ac:dyDescent="0.2">
      <c r="A143" s="56" t="s">
        <v>20</v>
      </c>
      <c r="B143" s="57">
        <v>50102100</v>
      </c>
      <c r="C143" s="51"/>
      <c r="D143" s="51"/>
      <c r="F143" s="24"/>
      <c r="G143" s="22"/>
      <c r="H143" s="19"/>
      <c r="I143" s="22"/>
      <c r="J143" s="22"/>
    </row>
    <row r="144" spans="1:10" s="7" customFormat="1" ht="15" customHeight="1" x14ac:dyDescent="0.2">
      <c r="A144" s="56" t="s">
        <v>21</v>
      </c>
      <c r="B144" s="57">
        <v>50102110</v>
      </c>
      <c r="C144" s="51">
        <v>67146.8</v>
      </c>
      <c r="D144" s="51"/>
      <c r="F144" s="24"/>
      <c r="G144" s="22"/>
      <c r="H144" s="19"/>
      <c r="I144" s="22"/>
      <c r="J144" s="22"/>
    </row>
    <row r="145" spans="1:10" s="7" customFormat="1" ht="15" customHeight="1" x14ac:dyDescent="0.2">
      <c r="A145" s="56" t="s">
        <v>140</v>
      </c>
      <c r="B145" s="57">
        <v>50102130</v>
      </c>
      <c r="C145" s="51"/>
      <c r="D145" s="51"/>
      <c r="F145" s="24"/>
      <c r="G145" s="22"/>
      <c r="H145" s="19"/>
      <c r="I145" s="22"/>
      <c r="J145" s="22"/>
    </row>
    <row r="146" spans="1:10" s="7" customFormat="1" ht="15" customHeight="1" x14ac:dyDescent="0.2">
      <c r="A146" s="56" t="s">
        <v>141</v>
      </c>
      <c r="B146" s="57">
        <v>50102140</v>
      </c>
      <c r="C146" s="51"/>
      <c r="D146" s="51"/>
      <c r="F146" s="24"/>
      <c r="G146" s="22"/>
      <c r="H146" s="19"/>
      <c r="I146" s="22"/>
      <c r="J146" s="22"/>
    </row>
    <row r="147" spans="1:10" s="7" customFormat="1" ht="18" customHeight="1" x14ac:dyDescent="0.2">
      <c r="A147" s="56" t="s">
        <v>142</v>
      </c>
      <c r="B147" s="57">
        <v>50102150</v>
      </c>
      <c r="C147" s="51"/>
      <c r="D147" s="51"/>
      <c r="F147" s="24"/>
      <c r="G147" s="22"/>
      <c r="H147" s="19"/>
      <c r="I147" s="22"/>
      <c r="J147" s="22"/>
    </row>
    <row r="148" spans="1:10" s="7" customFormat="1" ht="18" customHeight="1" x14ac:dyDescent="0.2">
      <c r="A148" s="56" t="s">
        <v>143</v>
      </c>
      <c r="B148" s="57">
        <v>50102990</v>
      </c>
      <c r="C148" s="51"/>
      <c r="D148" s="51"/>
      <c r="F148" s="24"/>
      <c r="G148" s="22"/>
      <c r="H148" s="19"/>
      <c r="I148" s="22"/>
      <c r="J148" s="22"/>
    </row>
    <row r="149" spans="1:10" s="7" customFormat="1" ht="18" customHeight="1" x14ac:dyDescent="0.2">
      <c r="A149" s="56" t="s">
        <v>115</v>
      </c>
      <c r="B149" s="57">
        <v>50103010</v>
      </c>
      <c r="C149" s="51">
        <v>515416.71</v>
      </c>
      <c r="D149" s="51"/>
      <c r="F149" s="24"/>
      <c r="G149" s="22"/>
      <c r="H149" s="19"/>
      <c r="I149" s="22"/>
      <c r="J149" s="22"/>
    </row>
    <row r="150" spans="1:10" s="7" customFormat="1" ht="18" customHeight="1" x14ac:dyDescent="0.2">
      <c r="A150" s="56" t="s">
        <v>59</v>
      </c>
      <c r="B150" s="57">
        <v>50103020</v>
      </c>
      <c r="C150" s="51">
        <v>22900</v>
      </c>
      <c r="D150" s="51"/>
      <c r="F150" s="24"/>
      <c r="G150" s="22"/>
      <c r="H150" s="19"/>
      <c r="I150" s="22"/>
      <c r="J150" s="22"/>
    </row>
    <row r="151" spans="1:10" s="7" customFormat="1" ht="15" customHeight="1" x14ac:dyDescent="0.2">
      <c r="A151" s="56" t="s">
        <v>60</v>
      </c>
      <c r="B151" s="57">
        <v>50103030</v>
      </c>
      <c r="C151" s="51">
        <v>64544.09</v>
      </c>
      <c r="D151" s="51"/>
      <c r="F151" s="24"/>
      <c r="G151" s="22"/>
      <c r="H151" s="19"/>
      <c r="I151" s="22"/>
      <c r="J151" s="22"/>
    </row>
    <row r="152" spans="1:10" s="7" customFormat="1" ht="15" customHeight="1" x14ac:dyDescent="0.2">
      <c r="A152" s="56" t="s">
        <v>116</v>
      </c>
      <c r="B152" s="57">
        <v>50103040</v>
      </c>
      <c r="C152" s="51">
        <v>19974.61</v>
      </c>
      <c r="D152" s="51"/>
      <c r="F152" s="24"/>
      <c r="G152" s="22"/>
      <c r="H152" s="19"/>
      <c r="I152" s="22"/>
      <c r="J152" s="22"/>
    </row>
    <row r="153" spans="1:10" s="62" customFormat="1" ht="15" customHeight="1" x14ac:dyDescent="0.2">
      <c r="A153" s="56" t="s">
        <v>46</v>
      </c>
      <c r="B153" s="57">
        <v>50104030</v>
      </c>
      <c r="C153" s="51">
        <v>545497.14</v>
      </c>
      <c r="D153" s="51"/>
      <c r="F153" s="63"/>
      <c r="G153" s="64"/>
      <c r="H153" s="65"/>
      <c r="I153" s="64"/>
      <c r="J153" s="64"/>
    </row>
    <row r="154" spans="1:10" s="7" customFormat="1" ht="15" customHeight="1" x14ac:dyDescent="0.2">
      <c r="A154" s="56" t="s">
        <v>203</v>
      </c>
      <c r="B154" s="57">
        <v>50104990</v>
      </c>
      <c r="C154" s="51"/>
      <c r="D154" s="51"/>
      <c r="F154" s="24"/>
      <c r="G154" s="22"/>
      <c r="H154" s="19"/>
      <c r="I154" s="22"/>
      <c r="J154" s="22"/>
    </row>
    <row r="155" spans="1:10" s="7" customFormat="1" ht="15" customHeight="1" x14ac:dyDescent="0.2">
      <c r="A155" s="56" t="s">
        <v>117</v>
      </c>
      <c r="B155" s="57">
        <v>50201010</v>
      </c>
      <c r="C155" s="51"/>
      <c r="D155" s="51"/>
      <c r="F155" s="24"/>
      <c r="G155" s="22"/>
      <c r="H155" s="19"/>
      <c r="I155" s="22"/>
      <c r="J155" s="22"/>
    </row>
    <row r="156" spans="1:10" s="7" customFormat="1" ht="15" customHeight="1" x14ac:dyDescent="0.2">
      <c r="A156" s="56" t="s">
        <v>47</v>
      </c>
      <c r="B156" s="57">
        <v>50202010</v>
      </c>
      <c r="C156" s="51"/>
      <c r="D156" s="51"/>
      <c r="F156" s="24"/>
      <c r="G156" s="22"/>
      <c r="H156" s="19"/>
      <c r="I156" s="22"/>
      <c r="J156" s="22"/>
    </row>
    <row r="157" spans="1:10" s="7" customFormat="1" ht="15" customHeight="1" x14ac:dyDescent="0.2">
      <c r="A157" s="56" t="s">
        <v>23</v>
      </c>
      <c r="B157" s="57">
        <v>50203010</v>
      </c>
      <c r="C157" s="51"/>
      <c r="D157" s="51"/>
      <c r="F157" s="24"/>
      <c r="G157" s="22"/>
      <c r="H157" s="19"/>
      <c r="I157" s="22"/>
      <c r="J157" s="22"/>
    </row>
    <row r="158" spans="1:10" s="7" customFormat="1" ht="15" customHeight="1" x14ac:dyDescent="0.2">
      <c r="A158" s="56" t="s">
        <v>48</v>
      </c>
      <c r="B158" s="57">
        <v>50203020</v>
      </c>
      <c r="C158" s="51">
        <v>41700</v>
      </c>
      <c r="D158" s="51"/>
      <c r="F158" s="24"/>
      <c r="G158" s="22"/>
      <c r="H158" s="19"/>
      <c r="I158" s="22"/>
      <c r="J158" s="22"/>
    </row>
    <row r="159" spans="1:10" s="7" customFormat="1" ht="15" customHeight="1" x14ac:dyDescent="0.2">
      <c r="A159" s="56" t="s">
        <v>206</v>
      </c>
      <c r="B159" s="57">
        <v>50203030</v>
      </c>
      <c r="C159" s="51"/>
      <c r="D159" s="51"/>
      <c r="F159" s="24"/>
      <c r="G159" s="22"/>
      <c r="H159" s="19"/>
      <c r="I159" s="22"/>
      <c r="J159" s="22"/>
    </row>
    <row r="160" spans="1:10" s="7" customFormat="1" ht="15" hidden="1" customHeight="1" x14ac:dyDescent="0.2">
      <c r="A160" s="56" t="s">
        <v>198</v>
      </c>
      <c r="B160" s="57">
        <v>50203040</v>
      </c>
      <c r="C160" s="51"/>
      <c r="D160" s="51"/>
      <c r="F160" s="24"/>
      <c r="G160" s="22"/>
      <c r="H160" s="19"/>
      <c r="I160" s="22"/>
      <c r="J160" s="22"/>
    </row>
    <row r="161" spans="1:10" s="7" customFormat="1" ht="15" customHeight="1" x14ac:dyDescent="0.2">
      <c r="A161" s="56" t="s">
        <v>201</v>
      </c>
      <c r="B161" s="57">
        <v>50203050</v>
      </c>
      <c r="C161" s="51"/>
      <c r="D161" s="51"/>
      <c r="F161" s="24"/>
      <c r="G161" s="22"/>
      <c r="H161" s="19"/>
      <c r="I161" s="22"/>
      <c r="J161" s="22"/>
    </row>
    <row r="162" spans="1:10" s="7" customFormat="1" ht="15" hidden="1" customHeight="1" x14ac:dyDescent="0.2">
      <c r="A162" s="56" t="s">
        <v>144</v>
      </c>
      <c r="B162" s="57">
        <v>50203060</v>
      </c>
      <c r="C162" s="51"/>
      <c r="D162" s="51"/>
      <c r="F162" s="24"/>
      <c r="G162" s="22"/>
      <c r="H162" s="19"/>
      <c r="I162" s="22"/>
      <c r="J162" s="22"/>
    </row>
    <row r="163" spans="1:10" s="7" customFormat="1" ht="15" hidden="1" customHeight="1" x14ac:dyDescent="0.2">
      <c r="A163" s="56" t="s">
        <v>145</v>
      </c>
      <c r="B163" s="57">
        <v>50203070</v>
      </c>
      <c r="C163" s="51"/>
      <c r="D163" s="51"/>
      <c r="F163" s="24"/>
      <c r="G163" s="22"/>
      <c r="H163" s="19"/>
      <c r="I163" s="22"/>
      <c r="J163" s="22"/>
    </row>
    <row r="164" spans="1:10" s="7" customFormat="1" ht="15" customHeight="1" x14ac:dyDescent="0.2">
      <c r="A164" s="56" t="s">
        <v>146</v>
      </c>
      <c r="B164" s="57">
        <v>50203080</v>
      </c>
      <c r="C164" s="51"/>
      <c r="D164" s="51"/>
      <c r="F164" s="24"/>
      <c r="G164" s="22"/>
      <c r="H164" s="19"/>
      <c r="I164" s="22"/>
      <c r="J164" s="22"/>
    </row>
    <row r="165" spans="1:10" s="7" customFormat="1" ht="17.25" customHeight="1" x14ac:dyDescent="0.2">
      <c r="A165" s="56" t="s">
        <v>118</v>
      </c>
      <c r="B165" s="57">
        <v>50203090</v>
      </c>
      <c r="C165" s="51"/>
      <c r="D165" s="51"/>
      <c r="F165" s="24"/>
      <c r="G165" s="22"/>
      <c r="H165" s="19"/>
      <c r="I165" s="22"/>
      <c r="J165" s="22"/>
    </row>
    <row r="166" spans="1:10" s="7" customFormat="1" ht="15" customHeight="1" x14ac:dyDescent="0.2">
      <c r="A166" s="56" t="s">
        <v>147</v>
      </c>
      <c r="B166" s="57">
        <v>50203100</v>
      </c>
      <c r="C166" s="51"/>
      <c r="D166" s="51"/>
      <c r="F166" s="24"/>
      <c r="G166" s="22"/>
      <c r="H166" s="19"/>
      <c r="I166" s="22"/>
      <c r="J166" s="22"/>
    </row>
    <row r="167" spans="1:10" s="7" customFormat="1" ht="15" customHeight="1" x14ac:dyDescent="0.2">
      <c r="A167" s="56" t="s">
        <v>119</v>
      </c>
      <c r="B167" s="57">
        <v>50203990</v>
      </c>
      <c r="C167" s="51"/>
      <c r="D167" s="51"/>
      <c r="F167" s="24"/>
      <c r="G167" s="22"/>
      <c r="H167" s="19"/>
      <c r="I167" s="22"/>
      <c r="J167" s="22"/>
    </row>
    <row r="168" spans="1:10" s="7" customFormat="1" ht="15" customHeight="1" x14ac:dyDescent="0.2">
      <c r="A168" s="56" t="s">
        <v>25</v>
      </c>
      <c r="B168" s="57">
        <v>50204010</v>
      </c>
      <c r="C168" s="51">
        <v>28857.25</v>
      </c>
      <c r="D168" s="51"/>
      <c r="F168" s="24"/>
      <c r="G168" s="22"/>
      <c r="H168" s="19"/>
      <c r="I168" s="22"/>
      <c r="J168" s="22"/>
    </row>
    <row r="169" spans="1:10" s="7" customFormat="1" ht="15" customHeight="1" x14ac:dyDescent="0.2">
      <c r="A169" s="14" t="s">
        <v>26</v>
      </c>
      <c r="B169" s="15">
        <v>50204020</v>
      </c>
      <c r="C169" s="51">
        <v>197405.18</v>
      </c>
      <c r="D169" s="51"/>
      <c r="F169" s="24"/>
      <c r="G169" s="22"/>
      <c r="H169" s="19"/>
      <c r="I169" s="22"/>
      <c r="J169" s="22"/>
    </row>
    <row r="170" spans="1:10" s="7" customFormat="1" ht="15" customHeight="1" x14ac:dyDescent="0.2">
      <c r="A170" s="14" t="s">
        <v>167</v>
      </c>
      <c r="B170" s="15">
        <v>50205010</v>
      </c>
      <c r="C170" s="51"/>
      <c r="D170" s="51"/>
      <c r="F170" s="24"/>
      <c r="G170" s="22"/>
      <c r="H170" s="19"/>
      <c r="I170" s="22"/>
      <c r="J170" s="22"/>
    </row>
    <row r="171" spans="1:10" s="7" customFormat="1" ht="15" customHeight="1" x14ac:dyDescent="0.2">
      <c r="A171" s="14" t="s">
        <v>151</v>
      </c>
      <c r="B171" s="15">
        <v>50205020</v>
      </c>
      <c r="C171" s="51">
        <v>45000</v>
      </c>
      <c r="D171" s="51"/>
      <c r="F171" s="24"/>
      <c r="G171" s="22"/>
      <c r="H171" s="19"/>
      <c r="I171" s="22"/>
      <c r="J171" s="22"/>
    </row>
    <row r="172" spans="1:10" s="7" customFormat="1" ht="15" customHeight="1" x14ac:dyDescent="0.2">
      <c r="A172" s="14" t="s">
        <v>148</v>
      </c>
      <c r="B172" s="15">
        <v>50205030</v>
      </c>
      <c r="C172" s="51"/>
      <c r="D172" s="51"/>
      <c r="F172" s="24"/>
      <c r="G172" s="22"/>
      <c r="H172" s="19"/>
      <c r="I172" s="22"/>
      <c r="J172" s="22"/>
    </row>
    <row r="173" spans="1:10" s="7" customFormat="1" ht="15" hidden="1" customHeight="1" x14ac:dyDescent="0.2">
      <c r="A173" s="14" t="s">
        <v>194</v>
      </c>
      <c r="B173" s="15">
        <v>50206010</v>
      </c>
      <c r="C173" s="51"/>
      <c r="D173" s="51"/>
      <c r="F173" s="24"/>
      <c r="G173" s="22"/>
      <c r="H173" s="19"/>
      <c r="I173" s="22"/>
      <c r="J173" s="22"/>
    </row>
    <row r="174" spans="1:10" s="7" customFormat="1" ht="15" customHeight="1" x14ac:dyDescent="0.2">
      <c r="A174" s="14" t="s">
        <v>199</v>
      </c>
      <c r="B174" s="15">
        <v>50206020</v>
      </c>
      <c r="C174" s="51"/>
      <c r="D174" s="51"/>
      <c r="F174" s="24"/>
      <c r="G174" s="22"/>
      <c r="H174" s="19"/>
      <c r="I174" s="22"/>
      <c r="J174" s="22"/>
    </row>
    <row r="175" spans="1:10" s="7" customFormat="1" ht="15" hidden="1" customHeight="1" x14ac:dyDescent="0.2">
      <c r="A175" s="14" t="s">
        <v>215</v>
      </c>
      <c r="B175" s="15">
        <v>50207010</v>
      </c>
      <c r="C175" s="51"/>
      <c r="D175" s="51"/>
      <c r="F175" s="24"/>
      <c r="G175" s="22"/>
      <c r="H175" s="19"/>
      <c r="I175" s="22"/>
      <c r="J175" s="22"/>
    </row>
    <row r="176" spans="1:10" s="7" customFormat="1" ht="15" hidden="1" customHeight="1" x14ac:dyDescent="0.2">
      <c r="A176" s="14" t="s">
        <v>185</v>
      </c>
      <c r="B176" s="15">
        <v>50207020</v>
      </c>
      <c r="C176" s="51"/>
      <c r="D176" s="51"/>
      <c r="F176" s="24"/>
      <c r="G176" s="22"/>
      <c r="H176" s="19"/>
      <c r="I176" s="22"/>
      <c r="J176" s="22"/>
    </row>
    <row r="177" spans="1:10" s="7" customFormat="1" ht="15" customHeight="1" x14ac:dyDescent="0.2">
      <c r="A177" s="14" t="s">
        <v>149</v>
      </c>
      <c r="B177" s="15">
        <v>50210030</v>
      </c>
      <c r="C177" s="51"/>
      <c r="D177" s="51"/>
      <c r="F177" s="24"/>
      <c r="G177" s="22"/>
      <c r="H177" s="19"/>
      <c r="I177" s="22"/>
      <c r="J177" s="22"/>
    </row>
    <row r="178" spans="1:10" s="7" customFormat="1" ht="15" customHeight="1" x14ac:dyDescent="0.2">
      <c r="A178" s="14" t="s">
        <v>150</v>
      </c>
      <c r="B178" s="15">
        <v>50211010</v>
      </c>
      <c r="C178" s="51"/>
      <c r="D178" s="51"/>
      <c r="F178" s="24"/>
      <c r="G178" s="22"/>
      <c r="H178" s="19"/>
      <c r="I178" s="22"/>
      <c r="J178" s="22"/>
    </row>
    <row r="179" spans="1:10" s="7" customFormat="1" ht="15" hidden="1" customHeight="1" x14ac:dyDescent="0.2">
      <c r="A179" s="14" t="s">
        <v>66</v>
      </c>
      <c r="B179" s="15">
        <v>50211020</v>
      </c>
      <c r="C179" s="51"/>
      <c r="D179" s="51"/>
      <c r="F179" s="24"/>
      <c r="G179" s="22"/>
      <c r="H179" s="19"/>
      <c r="I179" s="22"/>
      <c r="J179" s="22"/>
    </row>
    <row r="180" spans="1:10" s="7" customFormat="1" ht="15" hidden="1" customHeight="1" x14ac:dyDescent="0.2">
      <c r="A180" s="14" t="s">
        <v>27</v>
      </c>
      <c r="B180" s="15">
        <v>50211030</v>
      </c>
      <c r="C180" s="51"/>
      <c r="D180" s="51"/>
      <c r="F180" s="24"/>
      <c r="G180" s="22"/>
      <c r="H180" s="19"/>
      <c r="I180" s="22"/>
      <c r="J180" s="22"/>
    </row>
    <row r="181" spans="1:10" s="7" customFormat="1" ht="15" customHeight="1" x14ac:dyDescent="0.2">
      <c r="A181" s="14" t="s">
        <v>63</v>
      </c>
      <c r="B181" s="15">
        <v>50211990</v>
      </c>
      <c r="C181" s="51">
        <v>20000</v>
      </c>
      <c r="D181" s="51"/>
      <c r="F181" s="24"/>
      <c r="G181" s="22"/>
      <c r="H181" s="19"/>
      <c r="I181" s="22"/>
      <c r="J181" s="22"/>
    </row>
    <row r="182" spans="1:10" s="7" customFormat="1" ht="15" customHeight="1" x14ac:dyDescent="0.2">
      <c r="A182" s="14" t="s">
        <v>216</v>
      </c>
      <c r="B182" s="15">
        <v>50212030</v>
      </c>
      <c r="C182" s="51"/>
      <c r="D182" s="51"/>
      <c r="F182" s="24"/>
      <c r="G182" s="22"/>
      <c r="H182" s="19"/>
      <c r="I182" s="22"/>
      <c r="J182" s="22"/>
    </row>
    <row r="183" spans="1:10" s="7" customFormat="1" ht="15" customHeight="1" x14ac:dyDescent="0.2">
      <c r="A183" s="14" t="s">
        <v>202</v>
      </c>
      <c r="B183" s="15">
        <v>50212990</v>
      </c>
      <c r="C183" s="51">
        <v>1528275</v>
      </c>
      <c r="D183" s="51"/>
      <c r="F183" s="24"/>
      <c r="G183" s="22"/>
      <c r="H183" s="19"/>
      <c r="I183" s="22"/>
      <c r="J183" s="22"/>
    </row>
    <row r="184" spans="1:10" s="7" customFormat="1" ht="15" customHeight="1" x14ac:dyDescent="0.2">
      <c r="A184" s="14" t="s">
        <v>224</v>
      </c>
      <c r="B184" s="15">
        <v>50213020</v>
      </c>
      <c r="C184" s="51"/>
      <c r="D184" s="51"/>
      <c r="F184" s="24"/>
      <c r="G184" s="22"/>
      <c r="H184" s="19"/>
      <c r="I184" s="22"/>
      <c r="J184" s="22"/>
    </row>
    <row r="185" spans="1:10" s="7" customFormat="1" ht="15" customHeight="1" x14ac:dyDescent="0.2">
      <c r="A185" s="14" t="s">
        <v>186</v>
      </c>
      <c r="B185" s="15">
        <v>50213030</v>
      </c>
      <c r="C185" s="51">
        <v>182495</v>
      </c>
      <c r="D185" s="16"/>
      <c r="F185" s="24"/>
      <c r="G185" s="22"/>
      <c r="H185" s="19"/>
      <c r="I185" s="22"/>
      <c r="J185" s="22"/>
    </row>
    <row r="186" spans="1:10" s="7" customFormat="1" ht="15" customHeight="1" x14ac:dyDescent="0.2">
      <c r="A186" s="14" t="s">
        <v>120</v>
      </c>
      <c r="B186" s="15">
        <v>50213040</v>
      </c>
      <c r="C186" s="51"/>
      <c r="D186" s="16"/>
      <c r="F186" s="24"/>
      <c r="G186" s="22"/>
      <c r="H186" s="19"/>
      <c r="I186" s="22"/>
      <c r="J186" s="22"/>
    </row>
    <row r="187" spans="1:10" s="7" customFormat="1" ht="15" customHeight="1" x14ac:dyDescent="0.2">
      <c r="A187" s="14" t="s">
        <v>121</v>
      </c>
      <c r="B187" s="15">
        <v>50213050</v>
      </c>
      <c r="C187" s="51"/>
      <c r="D187" s="16"/>
      <c r="F187" s="24"/>
      <c r="G187" s="22"/>
      <c r="H187" s="19"/>
      <c r="I187" s="22"/>
      <c r="J187" s="22"/>
    </row>
    <row r="188" spans="1:10" s="7" customFormat="1" ht="15" customHeight="1" x14ac:dyDescent="0.2">
      <c r="A188" s="14" t="s">
        <v>122</v>
      </c>
      <c r="B188" s="15">
        <v>50213060</v>
      </c>
      <c r="C188" s="51"/>
      <c r="D188" s="16"/>
      <c r="F188" s="24"/>
      <c r="G188" s="22"/>
      <c r="H188" s="19"/>
      <c r="I188" s="22"/>
      <c r="J188" s="22"/>
    </row>
    <row r="189" spans="1:10" s="7" customFormat="1" ht="15" customHeight="1" x14ac:dyDescent="0.2">
      <c r="A189" s="14" t="s">
        <v>152</v>
      </c>
      <c r="B189" s="15">
        <v>50213070</v>
      </c>
      <c r="C189" s="51"/>
      <c r="D189" s="16"/>
      <c r="F189" s="24"/>
      <c r="G189" s="22"/>
      <c r="H189" s="19"/>
      <c r="I189" s="22"/>
      <c r="J189" s="22"/>
    </row>
    <row r="190" spans="1:10" s="7" customFormat="1" ht="15" hidden="1" customHeight="1" x14ac:dyDescent="0.2">
      <c r="A190" s="14" t="s">
        <v>170</v>
      </c>
      <c r="B190" s="15">
        <v>50213990</v>
      </c>
      <c r="C190" s="51"/>
      <c r="D190" s="16"/>
      <c r="F190" s="24"/>
      <c r="G190" s="22"/>
      <c r="H190" s="19"/>
      <c r="I190" s="22"/>
      <c r="J190" s="22"/>
    </row>
    <row r="191" spans="1:10" s="7" customFormat="1" ht="15" customHeight="1" x14ac:dyDescent="0.2">
      <c r="A191" s="14" t="s">
        <v>153</v>
      </c>
      <c r="B191" s="15">
        <v>50214030</v>
      </c>
      <c r="C191" s="51"/>
      <c r="D191" s="16"/>
      <c r="F191" s="24"/>
      <c r="G191" s="22"/>
      <c r="H191" s="19"/>
      <c r="I191" s="22"/>
      <c r="J191" s="22"/>
    </row>
    <row r="192" spans="1:10" s="7" customFormat="1" ht="15" hidden="1" customHeight="1" x14ac:dyDescent="0.2">
      <c r="A192" s="14" t="s">
        <v>220</v>
      </c>
      <c r="B192" s="15">
        <v>50214060</v>
      </c>
      <c r="C192" s="51"/>
      <c r="D192" s="16"/>
      <c r="F192" s="24"/>
      <c r="G192" s="22"/>
      <c r="H192" s="19"/>
      <c r="I192" s="22"/>
      <c r="J192" s="22"/>
    </row>
    <row r="193" spans="1:10" s="7" customFormat="1" ht="15" hidden="1" customHeight="1" x14ac:dyDescent="0.2">
      <c r="A193" s="14" t="s">
        <v>211</v>
      </c>
      <c r="B193" s="15">
        <v>50215020</v>
      </c>
      <c r="C193" s="51"/>
      <c r="D193" s="16"/>
      <c r="F193" s="24"/>
      <c r="G193" s="22"/>
      <c r="H193" s="19"/>
      <c r="I193" s="22"/>
      <c r="J193" s="22"/>
    </row>
    <row r="194" spans="1:10" s="7" customFormat="1" ht="15" customHeight="1" x14ac:dyDescent="0.2">
      <c r="A194" s="14" t="s">
        <v>154</v>
      </c>
      <c r="B194" s="15">
        <v>50216010</v>
      </c>
      <c r="C194" s="51"/>
      <c r="D194" s="16"/>
      <c r="F194" s="24"/>
      <c r="G194" s="22"/>
      <c r="H194" s="19"/>
      <c r="I194" s="22"/>
      <c r="J194" s="22"/>
    </row>
    <row r="195" spans="1:10" s="7" customFormat="1" ht="15" customHeight="1" x14ac:dyDescent="0.2">
      <c r="A195" s="14" t="s">
        <v>155</v>
      </c>
      <c r="B195" s="15">
        <v>50216020</v>
      </c>
      <c r="C195" s="51"/>
      <c r="D195" s="16"/>
      <c r="F195" s="24"/>
      <c r="G195" s="22"/>
      <c r="H195" s="19"/>
      <c r="I195" s="22"/>
      <c r="J195" s="22"/>
    </row>
    <row r="196" spans="1:10" s="7" customFormat="1" ht="15" customHeight="1" x14ac:dyDescent="0.2">
      <c r="A196" s="14" t="s">
        <v>156</v>
      </c>
      <c r="B196" s="15">
        <v>50216030</v>
      </c>
      <c r="C196" s="51">
        <v>399231.84</v>
      </c>
      <c r="D196" s="16"/>
      <c r="F196" s="24"/>
      <c r="G196" s="22"/>
      <c r="H196" s="19"/>
      <c r="I196" s="22"/>
      <c r="J196" s="22"/>
    </row>
    <row r="197" spans="1:10" s="7" customFormat="1" ht="15" customHeight="1" x14ac:dyDescent="0.2">
      <c r="A197" s="14" t="s">
        <v>157</v>
      </c>
      <c r="B197" s="15">
        <v>50299010</v>
      </c>
      <c r="C197" s="51"/>
      <c r="D197" s="16"/>
      <c r="F197" s="24"/>
      <c r="G197" s="22"/>
      <c r="H197" s="19"/>
      <c r="I197" s="22"/>
      <c r="J197" s="22"/>
    </row>
    <row r="198" spans="1:10" s="7" customFormat="1" ht="15" hidden="1" customHeight="1" x14ac:dyDescent="0.2">
      <c r="A198" s="14" t="s">
        <v>158</v>
      </c>
      <c r="B198" s="15">
        <v>50299020</v>
      </c>
      <c r="C198" s="51"/>
      <c r="D198" s="16"/>
      <c r="F198" s="24"/>
      <c r="G198" s="22"/>
      <c r="H198" s="19"/>
      <c r="I198" s="22"/>
      <c r="J198" s="22"/>
    </row>
    <row r="199" spans="1:10" s="7" customFormat="1" ht="15" customHeight="1" x14ac:dyDescent="0.2">
      <c r="A199" s="14" t="s">
        <v>24</v>
      </c>
      <c r="B199" s="15">
        <v>50299030</v>
      </c>
      <c r="C199" s="51"/>
      <c r="D199" s="16"/>
      <c r="F199" s="24"/>
      <c r="G199" s="22"/>
      <c r="H199" s="19"/>
      <c r="I199" s="22"/>
      <c r="J199" s="22"/>
    </row>
    <row r="200" spans="1:10" s="7" customFormat="1" ht="15" customHeight="1" x14ac:dyDescent="0.2">
      <c r="A200" s="14" t="s">
        <v>159</v>
      </c>
      <c r="B200" s="15">
        <v>50299050</v>
      </c>
      <c r="C200" s="51"/>
      <c r="D200" s="16"/>
      <c r="F200" s="24"/>
      <c r="G200" s="22"/>
      <c r="H200" s="19"/>
      <c r="I200" s="22"/>
      <c r="J200" s="22"/>
    </row>
    <row r="201" spans="1:10" s="7" customFormat="1" ht="15" customHeight="1" x14ac:dyDescent="0.2">
      <c r="A201" s="14" t="s">
        <v>160</v>
      </c>
      <c r="B201" s="15">
        <v>50299060</v>
      </c>
      <c r="C201" s="51"/>
      <c r="D201" s="16"/>
      <c r="F201" s="24"/>
      <c r="G201" s="22"/>
      <c r="H201" s="19"/>
      <c r="I201" s="22"/>
      <c r="J201" s="22"/>
    </row>
    <row r="202" spans="1:10" s="7" customFormat="1" ht="15" customHeight="1" x14ac:dyDescent="0.2">
      <c r="A202" s="14" t="s">
        <v>28</v>
      </c>
      <c r="B202" s="15">
        <v>50299080</v>
      </c>
      <c r="C202" s="51"/>
      <c r="D202" s="16"/>
      <c r="F202" s="24"/>
      <c r="G202" s="22"/>
      <c r="H202" s="19"/>
      <c r="I202" s="22"/>
      <c r="J202" s="22"/>
    </row>
    <row r="203" spans="1:10" s="7" customFormat="1" ht="15" customHeight="1" x14ac:dyDescent="0.2">
      <c r="A203" s="14" t="s">
        <v>168</v>
      </c>
      <c r="B203" s="15">
        <v>50299990</v>
      </c>
      <c r="C203" s="51"/>
      <c r="D203" s="16"/>
      <c r="F203" s="24"/>
      <c r="G203" s="22"/>
      <c r="H203" s="19"/>
      <c r="I203" s="22"/>
      <c r="J203" s="22"/>
    </row>
    <row r="204" spans="1:10" s="7" customFormat="1" ht="15" customHeight="1" x14ac:dyDescent="0.2">
      <c r="A204" s="14" t="s">
        <v>161</v>
      </c>
      <c r="B204" s="15">
        <v>50301990</v>
      </c>
      <c r="C204" s="51"/>
      <c r="D204" s="16"/>
      <c r="F204" s="41"/>
      <c r="G204" s="22"/>
      <c r="H204" s="19"/>
      <c r="I204" s="22"/>
      <c r="J204" s="22"/>
    </row>
    <row r="205" spans="1:10" s="7" customFormat="1" ht="15" hidden="1" customHeight="1" x14ac:dyDescent="0.2">
      <c r="A205" s="14" t="s">
        <v>191</v>
      </c>
      <c r="B205" s="15">
        <v>50501030</v>
      </c>
      <c r="C205" s="51"/>
      <c r="D205" s="16"/>
      <c r="F205" s="41"/>
      <c r="G205" s="22"/>
      <c r="H205" s="19"/>
      <c r="I205" s="22"/>
      <c r="J205" s="22"/>
    </row>
    <row r="206" spans="1:10" s="26" customFormat="1" ht="15" customHeight="1" x14ac:dyDescent="0.2">
      <c r="A206" s="14" t="s">
        <v>162</v>
      </c>
      <c r="B206" s="15">
        <v>50501050</v>
      </c>
      <c r="C206" s="51"/>
      <c r="D206" s="16"/>
      <c r="F206" s="72"/>
      <c r="G206" s="31"/>
      <c r="H206" s="40"/>
      <c r="I206" s="31"/>
      <c r="J206" s="31"/>
    </row>
    <row r="207" spans="1:10" s="26" customFormat="1" ht="15" customHeight="1" x14ac:dyDescent="0.2">
      <c r="A207" s="14" t="s">
        <v>163</v>
      </c>
      <c r="B207" s="15">
        <v>50501060</v>
      </c>
      <c r="C207" s="51"/>
      <c r="D207" s="16"/>
      <c r="F207" s="39"/>
      <c r="G207" s="31"/>
      <c r="H207" s="40"/>
      <c r="I207" s="31"/>
      <c r="J207" s="31"/>
    </row>
    <row r="208" spans="1:10" s="26" customFormat="1" ht="15" customHeight="1" x14ac:dyDescent="0.2">
      <c r="A208" s="14" t="s">
        <v>164</v>
      </c>
      <c r="B208" s="15">
        <v>50501070</v>
      </c>
      <c r="C208" s="51"/>
      <c r="D208" s="16"/>
      <c r="F208" s="39"/>
      <c r="G208" s="31"/>
      <c r="H208" s="40"/>
      <c r="I208" s="31"/>
      <c r="J208" s="31"/>
    </row>
    <row r="209" spans="1:10" s="26" customFormat="1" ht="15" customHeight="1" x14ac:dyDescent="0.2">
      <c r="A209" s="14" t="s">
        <v>165</v>
      </c>
      <c r="B209" s="15">
        <v>50501990</v>
      </c>
      <c r="C209" s="16"/>
      <c r="D209" s="16"/>
      <c r="F209" s="39"/>
      <c r="G209" s="31"/>
      <c r="H209" s="40"/>
      <c r="I209" s="31"/>
      <c r="J209" s="31"/>
    </row>
    <row r="210" spans="1:10" ht="15" customHeight="1" x14ac:dyDescent="0.2">
      <c r="A210" s="8"/>
      <c r="B210" s="9" t="s">
        <v>6</v>
      </c>
      <c r="C210" s="10">
        <f>SUM(C11:C209)</f>
        <v>554738603.71000016</v>
      </c>
      <c r="D210" s="10">
        <f>SUM(D11:D204)</f>
        <v>554738603.71000004</v>
      </c>
      <c r="F210" s="20">
        <f>D210-C210</f>
        <v>0</v>
      </c>
      <c r="G210" s="53" t="e">
        <f>D210-#REF!</f>
        <v>#REF!</v>
      </c>
    </row>
    <row r="211" spans="1:10" ht="15" customHeight="1" x14ac:dyDescent="0.2">
      <c r="A211" s="11"/>
      <c r="B211" s="12"/>
      <c r="C211" s="43"/>
      <c r="D211" s="13"/>
      <c r="F211" s="27"/>
    </row>
    <row r="212" spans="1:10" ht="15" customHeight="1" x14ac:dyDescent="0.2">
      <c r="A212" s="2" t="s">
        <v>64</v>
      </c>
      <c r="B212" s="219" t="s">
        <v>0</v>
      </c>
      <c r="C212" s="219"/>
      <c r="D212" s="219"/>
      <c r="F212" s="49"/>
    </row>
    <row r="213" spans="1:10" ht="15" customHeight="1" x14ac:dyDescent="0.2">
      <c r="A213" s="2"/>
      <c r="B213" s="1"/>
      <c r="C213" s="44"/>
      <c r="D213" s="2"/>
      <c r="F213" s="27"/>
    </row>
    <row r="214" spans="1:10" ht="15" customHeight="1" x14ac:dyDescent="0.2">
      <c r="A214" s="2"/>
      <c r="B214" s="1"/>
      <c r="C214" s="45"/>
      <c r="D214" s="2"/>
      <c r="F214" s="27"/>
    </row>
    <row r="215" spans="1:10" ht="15" customHeight="1" x14ac:dyDescent="0.2">
      <c r="A215" s="70" t="s">
        <v>225</v>
      </c>
      <c r="B215" s="214" t="s">
        <v>200</v>
      </c>
      <c r="C215" s="214"/>
      <c r="D215" s="214"/>
      <c r="F215" s="27"/>
    </row>
    <row r="216" spans="1:10" ht="15" customHeight="1" x14ac:dyDescent="0.2">
      <c r="A216" s="71" t="s">
        <v>229</v>
      </c>
      <c r="B216" s="215" t="s">
        <v>195</v>
      </c>
      <c r="C216" s="215"/>
      <c r="D216" s="215"/>
      <c r="F216" s="27"/>
    </row>
    <row r="217" spans="1:10" ht="14.25" x14ac:dyDescent="0.2">
      <c r="A217" s="2"/>
      <c r="B217" s="1"/>
      <c r="C217" s="45"/>
      <c r="D217" s="2"/>
    </row>
    <row r="218" spans="1:10" ht="14.25" x14ac:dyDescent="0.2">
      <c r="A218" s="2"/>
      <c r="B218" s="2"/>
      <c r="C218" s="46"/>
      <c r="D218" s="4"/>
    </row>
    <row r="219" spans="1:10" ht="14.25" x14ac:dyDescent="0.2">
      <c r="A219" s="2"/>
      <c r="B219" s="2"/>
      <c r="C219" s="46"/>
      <c r="D219" s="4"/>
    </row>
    <row r="220" spans="1:10" x14ac:dyDescent="0.2">
      <c r="B220" s="3"/>
      <c r="C220" s="47"/>
      <c r="D220" s="5"/>
    </row>
    <row r="221" spans="1:10" x14ac:dyDescent="0.2">
      <c r="B221" s="3"/>
      <c r="C221" s="47"/>
      <c r="D221" s="5"/>
    </row>
    <row r="222" spans="1:10" x14ac:dyDescent="0.2">
      <c r="B222" s="3"/>
      <c r="C222" s="47"/>
      <c r="D222" s="5"/>
    </row>
    <row r="223" spans="1:10" x14ac:dyDescent="0.2">
      <c r="B223" s="3"/>
      <c r="C223" s="47"/>
      <c r="D223" s="5"/>
    </row>
    <row r="224" spans="1:10" x14ac:dyDescent="0.2">
      <c r="B224" s="3"/>
      <c r="C224" s="47"/>
      <c r="D224" s="5"/>
    </row>
    <row r="225" spans="2:4" x14ac:dyDescent="0.2">
      <c r="B225" s="3"/>
      <c r="C225" s="47"/>
      <c r="D225" s="5"/>
    </row>
    <row r="226" spans="2:4" x14ac:dyDescent="0.2">
      <c r="B226" s="3"/>
      <c r="C226" s="47"/>
      <c r="D226" s="5"/>
    </row>
    <row r="227" spans="2:4" x14ac:dyDescent="0.2">
      <c r="B227" s="3"/>
      <c r="C227" s="47"/>
      <c r="D227" s="5"/>
    </row>
    <row r="228" spans="2:4" x14ac:dyDescent="0.2">
      <c r="B228" s="3"/>
      <c r="C228" s="47"/>
      <c r="D228" s="5"/>
    </row>
    <row r="229" spans="2:4" x14ac:dyDescent="0.2">
      <c r="B229" s="3"/>
      <c r="C229" s="47"/>
      <c r="D229" s="5"/>
    </row>
    <row r="230" spans="2:4" x14ac:dyDescent="0.2">
      <c r="B230" s="3"/>
      <c r="C230" s="47"/>
      <c r="D230" s="5"/>
    </row>
    <row r="231" spans="2:4" x14ac:dyDescent="0.2">
      <c r="B231" s="3"/>
      <c r="C231" s="47"/>
      <c r="D231" s="5"/>
    </row>
    <row r="232" spans="2:4" x14ac:dyDescent="0.2">
      <c r="B232" s="3"/>
      <c r="C232" s="47"/>
      <c r="D232" s="5"/>
    </row>
    <row r="233" spans="2:4" x14ac:dyDescent="0.2">
      <c r="B233" s="3"/>
      <c r="C233" s="47"/>
      <c r="D233" s="5"/>
    </row>
    <row r="234" spans="2:4" x14ac:dyDescent="0.2">
      <c r="B234" s="3"/>
      <c r="C234" s="47"/>
      <c r="D234" s="5"/>
    </row>
    <row r="235" spans="2:4" x14ac:dyDescent="0.2">
      <c r="B235" s="3"/>
      <c r="C235" s="47"/>
      <c r="D235" s="5"/>
    </row>
    <row r="236" spans="2:4" x14ac:dyDescent="0.2">
      <c r="B236" s="3"/>
      <c r="C236" s="47"/>
      <c r="D236" s="5"/>
    </row>
    <row r="237" spans="2:4" x14ac:dyDescent="0.2">
      <c r="B237" s="3"/>
      <c r="C237" s="47"/>
      <c r="D237" s="5"/>
    </row>
    <row r="238" spans="2:4" x14ac:dyDescent="0.2">
      <c r="B238" s="3"/>
      <c r="C238" s="47"/>
      <c r="D238" s="5"/>
    </row>
    <row r="239" spans="2:4" x14ac:dyDescent="0.2">
      <c r="B239" s="3"/>
      <c r="C239" s="47"/>
      <c r="D239" s="5"/>
    </row>
    <row r="240" spans="2:4" x14ac:dyDescent="0.2">
      <c r="B240" s="3"/>
      <c r="C240" s="47"/>
      <c r="D240" s="5"/>
    </row>
    <row r="241" spans="2:4" x14ac:dyDescent="0.2">
      <c r="B241" s="3"/>
      <c r="C241" s="47"/>
      <c r="D241" s="5"/>
    </row>
    <row r="242" spans="2:4" x14ac:dyDescent="0.2">
      <c r="B242" s="3"/>
      <c r="C242" s="47"/>
      <c r="D242" s="5"/>
    </row>
    <row r="243" spans="2:4" x14ac:dyDescent="0.2">
      <c r="B243" s="3"/>
      <c r="C243" s="47"/>
      <c r="D243" s="5"/>
    </row>
    <row r="244" spans="2:4" x14ac:dyDescent="0.2">
      <c r="B244" s="3"/>
      <c r="C244" s="47"/>
      <c r="D244" s="5"/>
    </row>
    <row r="245" spans="2:4" x14ac:dyDescent="0.2">
      <c r="B245" s="3"/>
      <c r="C245" s="47"/>
      <c r="D245" s="5"/>
    </row>
    <row r="246" spans="2:4" x14ac:dyDescent="0.2">
      <c r="B246" s="3"/>
      <c r="C246" s="47"/>
      <c r="D246" s="5"/>
    </row>
    <row r="247" spans="2:4" x14ac:dyDescent="0.2">
      <c r="B247" s="3"/>
      <c r="C247" s="47"/>
      <c r="D247" s="5"/>
    </row>
    <row r="248" spans="2:4" x14ac:dyDescent="0.2">
      <c r="B248" s="3"/>
      <c r="C248" s="47"/>
      <c r="D248" s="5"/>
    </row>
    <row r="249" spans="2:4" x14ac:dyDescent="0.2">
      <c r="B249" s="3"/>
      <c r="C249" s="47"/>
      <c r="D249" s="5"/>
    </row>
    <row r="250" spans="2:4" x14ac:dyDescent="0.2">
      <c r="B250" s="3"/>
      <c r="C250" s="47"/>
      <c r="D250" s="5"/>
    </row>
    <row r="251" spans="2:4" x14ac:dyDescent="0.2">
      <c r="B251" s="3"/>
      <c r="C251" s="47"/>
      <c r="D251" s="5"/>
    </row>
    <row r="252" spans="2:4" x14ac:dyDescent="0.2">
      <c r="B252" s="3"/>
      <c r="C252" s="47"/>
      <c r="D252" s="5"/>
    </row>
    <row r="253" spans="2:4" x14ac:dyDescent="0.2">
      <c r="B253" s="3"/>
      <c r="C253" s="47"/>
      <c r="D253" s="5"/>
    </row>
    <row r="254" spans="2:4" x14ac:dyDescent="0.2">
      <c r="B254" s="3"/>
      <c r="C254" s="47"/>
      <c r="D254" s="5"/>
    </row>
    <row r="255" spans="2:4" x14ac:dyDescent="0.2">
      <c r="B255" s="3"/>
      <c r="C255" s="47"/>
      <c r="D255" s="5"/>
    </row>
    <row r="256" spans="2:4" x14ac:dyDescent="0.2">
      <c r="B256" s="3"/>
      <c r="C256" s="47"/>
      <c r="D256" s="5"/>
    </row>
    <row r="257" spans="2:4" x14ac:dyDescent="0.2">
      <c r="B257" s="3"/>
      <c r="C257" s="47"/>
      <c r="D257" s="5"/>
    </row>
    <row r="258" spans="2:4" x14ac:dyDescent="0.2">
      <c r="B258" s="3"/>
      <c r="C258" s="47"/>
      <c r="D258" s="5"/>
    </row>
    <row r="259" spans="2:4" x14ac:dyDescent="0.2">
      <c r="B259" s="3"/>
      <c r="C259" s="47"/>
      <c r="D259" s="5"/>
    </row>
    <row r="260" spans="2:4" x14ac:dyDescent="0.2">
      <c r="B260" s="3"/>
      <c r="C260" s="47"/>
      <c r="D260" s="5"/>
    </row>
    <row r="261" spans="2:4" x14ac:dyDescent="0.2">
      <c r="B261" s="3"/>
      <c r="C261" s="47"/>
      <c r="D261" s="5"/>
    </row>
    <row r="262" spans="2:4" x14ac:dyDescent="0.2">
      <c r="B262" s="3"/>
      <c r="C262" s="47"/>
      <c r="D262" s="5"/>
    </row>
    <row r="263" spans="2:4" x14ac:dyDescent="0.2">
      <c r="B263" s="3"/>
      <c r="C263" s="47"/>
      <c r="D263" s="5"/>
    </row>
    <row r="264" spans="2:4" x14ac:dyDescent="0.2">
      <c r="B264" s="3"/>
      <c r="C264" s="47"/>
      <c r="D264" s="5"/>
    </row>
    <row r="265" spans="2:4" x14ac:dyDescent="0.2">
      <c r="B265" s="3"/>
      <c r="C265" s="47"/>
      <c r="D265" s="5"/>
    </row>
    <row r="266" spans="2:4" x14ac:dyDescent="0.2">
      <c r="B266" s="3"/>
      <c r="C266" s="47"/>
      <c r="D266" s="5"/>
    </row>
    <row r="267" spans="2:4" x14ac:dyDescent="0.2">
      <c r="B267" s="3"/>
      <c r="C267" s="47"/>
      <c r="D267" s="5"/>
    </row>
    <row r="268" spans="2:4" x14ac:dyDescent="0.2">
      <c r="B268" s="3"/>
      <c r="C268" s="47"/>
      <c r="D268" s="5"/>
    </row>
    <row r="269" spans="2:4" x14ac:dyDescent="0.2">
      <c r="B269" s="3"/>
      <c r="C269" s="47"/>
      <c r="D269" s="5"/>
    </row>
    <row r="270" spans="2:4" x14ac:dyDescent="0.2">
      <c r="B270" s="3"/>
      <c r="C270" s="47"/>
      <c r="D270" s="5"/>
    </row>
    <row r="271" spans="2:4" x14ac:dyDescent="0.2">
      <c r="B271" s="3"/>
      <c r="C271" s="47"/>
      <c r="D271" s="5"/>
    </row>
    <row r="272" spans="2:4" x14ac:dyDescent="0.2">
      <c r="B272" s="3"/>
      <c r="C272" s="47"/>
      <c r="D272" s="5"/>
    </row>
    <row r="273" spans="2:4" x14ac:dyDescent="0.2">
      <c r="B273" s="3"/>
      <c r="C273" s="47"/>
      <c r="D273" s="5"/>
    </row>
    <row r="274" spans="2:4" x14ac:dyDescent="0.2">
      <c r="B274" s="3"/>
      <c r="C274" s="47"/>
      <c r="D274" s="5"/>
    </row>
    <row r="275" spans="2:4" x14ac:dyDescent="0.2">
      <c r="B275" s="3"/>
      <c r="C275" s="47"/>
      <c r="D275" s="5"/>
    </row>
    <row r="276" spans="2:4" x14ac:dyDescent="0.2">
      <c r="B276" s="3"/>
      <c r="C276" s="47"/>
      <c r="D276" s="5"/>
    </row>
    <row r="277" spans="2:4" x14ac:dyDescent="0.2">
      <c r="B277" s="3"/>
      <c r="C277" s="47"/>
      <c r="D277" s="5"/>
    </row>
    <row r="278" spans="2:4" x14ac:dyDescent="0.2">
      <c r="B278" s="3"/>
      <c r="C278" s="47"/>
      <c r="D278" s="5"/>
    </row>
    <row r="279" spans="2:4" x14ac:dyDescent="0.2">
      <c r="B279" s="3"/>
      <c r="C279" s="47"/>
      <c r="D279" s="5"/>
    </row>
    <row r="280" spans="2:4" x14ac:dyDescent="0.2">
      <c r="B280" s="3"/>
      <c r="C280" s="47"/>
      <c r="D280" s="5"/>
    </row>
    <row r="281" spans="2:4" x14ac:dyDescent="0.2">
      <c r="B281" s="3"/>
      <c r="C281" s="47"/>
      <c r="D281" s="5"/>
    </row>
    <row r="282" spans="2:4" x14ac:dyDescent="0.2">
      <c r="B282" s="3"/>
      <c r="C282" s="47"/>
      <c r="D282" s="5"/>
    </row>
    <row r="283" spans="2:4" x14ac:dyDescent="0.2">
      <c r="B283" s="3"/>
      <c r="C283" s="47"/>
      <c r="D283" s="5"/>
    </row>
    <row r="284" spans="2:4" x14ac:dyDescent="0.2">
      <c r="B284" s="3"/>
      <c r="C284" s="47"/>
      <c r="D284" s="5"/>
    </row>
    <row r="285" spans="2:4" x14ac:dyDescent="0.2">
      <c r="B285" s="3"/>
      <c r="C285" s="47"/>
      <c r="D285" s="5"/>
    </row>
    <row r="286" spans="2:4" x14ac:dyDescent="0.2">
      <c r="B286" s="3"/>
      <c r="C286" s="47"/>
      <c r="D286" s="5"/>
    </row>
    <row r="287" spans="2:4" x14ac:dyDescent="0.2">
      <c r="B287" s="3"/>
      <c r="C287" s="47"/>
      <c r="D287" s="5"/>
    </row>
    <row r="288" spans="2:4" x14ac:dyDescent="0.2">
      <c r="B288" s="3"/>
      <c r="C288" s="47"/>
      <c r="D288" s="5"/>
    </row>
    <row r="289" spans="2:4" x14ac:dyDescent="0.2">
      <c r="B289" s="3"/>
      <c r="C289" s="47"/>
      <c r="D289" s="5"/>
    </row>
    <row r="290" spans="2:4" x14ac:dyDescent="0.2">
      <c r="B290" s="3"/>
      <c r="C290" s="47"/>
      <c r="D290" s="5"/>
    </row>
    <row r="291" spans="2:4" x14ac:dyDescent="0.2">
      <c r="B291" s="3"/>
      <c r="C291" s="47"/>
      <c r="D291" s="5"/>
    </row>
    <row r="292" spans="2:4" x14ac:dyDescent="0.2">
      <c r="B292" s="3"/>
      <c r="C292" s="47"/>
      <c r="D292" s="5"/>
    </row>
    <row r="293" spans="2:4" x14ac:dyDescent="0.2">
      <c r="B293" s="3"/>
      <c r="C293" s="47"/>
      <c r="D293" s="5"/>
    </row>
    <row r="294" spans="2:4" x14ac:dyDescent="0.2">
      <c r="B294" s="3"/>
      <c r="C294" s="47"/>
      <c r="D294" s="5"/>
    </row>
    <row r="295" spans="2:4" x14ac:dyDescent="0.2">
      <c r="B295" s="3"/>
      <c r="C295" s="47"/>
      <c r="D295" s="5"/>
    </row>
    <row r="296" spans="2:4" x14ac:dyDescent="0.2">
      <c r="B296" s="3"/>
      <c r="C296" s="47"/>
      <c r="D296" s="5"/>
    </row>
    <row r="297" spans="2:4" x14ac:dyDescent="0.2">
      <c r="B297" s="3"/>
      <c r="C297" s="47"/>
      <c r="D297" s="5"/>
    </row>
    <row r="298" spans="2:4" x14ac:dyDescent="0.2">
      <c r="B298" s="3"/>
      <c r="C298" s="47"/>
      <c r="D298" s="5"/>
    </row>
    <row r="299" spans="2:4" x14ac:dyDescent="0.2">
      <c r="B299" s="3"/>
      <c r="C299" s="47"/>
      <c r="D299" s="5"/>
    </row>
    <row r="300" spans="2:4" x14ac:dyDescent="0.2">
      <c r="B300" s="3"/>
      <c r="C300" s="47"/>
      <c r="D300" s="5"/>
    </row>
    <row r="301" spans="2:4" x14ac:dyDescent="0.2">
      <c r="B301" s="3"/>
      <c r="C301" s="47"/>
      <c r="D301" s="5"/>
    </row>
    <row r="302" spans="2:4" x14ac:dyDescent="0.2">
      <c r="B302" s="3"/>
      <c r="C302" s="47"/>
      <c r="D302" s="5"/>
    </row>
    <row r="303" spans="2:4" x14ac:dyDescent="0.2">
      <c r="B303" s="3"/>
      <c r="C303" s="47"/>
      <c r="D303" s="5"/>
    </row>
    <row r="304" spans="2:4" x14ac:dyDescent="0.2">
      <c r="B304" s="3"/>
      <c r="C304" s="47"/>
      <c r="D304" s="5"/>
    </row>
    <row r="305" spans="2:4" x14ac:dyDescent="0.2">
      <c r="B305" s="3"/>
      <c r="C305" s="47"/>
      <c r="D305" s="5"/>
    </row>
    <row r="306" spans="2:4" x14ac:dyDescent="0.2">
      <c r="B306" s="3"/>
      <c r="C306" s="47"/>
      <c r="D306" s="5"/>
    </row>
    <row r="307" spans="2:4" x14ac:dyDescent="0.2">
      <c r="B307" s="3"/>
      <c r="C307" s="47"/>
      <c r="D307" s="5"/>
    </row>
    <row r="308" spans="2:4" x14ac:dyDescent="0.2">
      <c r="B308" s="3"/>
      <c r="C308" s="47"/>
      <c r="D308" s="5"/>
    </row>
    <row r="309" spans="2:4" x14ac:dyDescent="0.2">
      <c r="B309" s="3"/>
      <c r="C309" s="47"/>
      <c r="D309" s="5"/>
    </row>
    <row r="310" spans="2:4" x14ac:dyDescent="0.2">
      <c r="B310" s="3"/>
      <c r="C310" s="47"/>
      <c r="D310" s="5"/>
    </row>
    <row r="311" spans="2:4" x14ac:dyDescent="0.2">
      <c r="B311" s="3"/>
      <c r="C311" s="47"/>
      <c r="D311" s="5"/>
    </row>
    <row r="312" spans="2:4" x14ac:dyDescent="0.2">
      <c r="B312" s="3"/>
      <c r="C312" s="47"/>
      <c r="D312" s="5"/>
    </row>
    <row r="313" spans="2:4" x14ac:dyDescent="0.2">
      <c r="B313" s="3"/>
      <c r="C313" s="47"/>
      <c r="D313" s="5"/>
    </row>
    <row r="314" spans="2:4" x14ac:dyDescent="0.2">
      <c r="B314" s="3"/>
      <c r="C314" s="47"/>
      <c r="D314" s="5"/>
    </row>
    <row r="315" spans="2:4" x14ac:dyDescent="0.2">
      <c r="B315" s="3"/>
      <c r="C315" s="47"/>
      <c r="D315" s="5"/>
    </row>
    <row r="316" spans="2:4" x14ac:dyDescent="0.2">
      <c r="B316" s="3"/>
      <c r="C316" s="47"/>
      <c r="D316" s="5"/>
    </row>
    <row r="317" spans="2:4" x14ac:dyDescent="0.2">
      <c r="B317" s="3"/>
      <c r="C317" s="47"/>
      <c r="D317" s="5"/>
    </row>
    <row r="318" spans="2:4" x14ac:dyDescent="0.2">
      <c r="B318" s="3"/>
      <c r="C318" s="47"/>
      <c r="D318" s="5"/>
    </row>
    <row r="319" spans="2:4" x14ac:dyDescent="0.2">
      <c r="B319" s="3"/>
      <c r="C319" s="47"/>
      <c r="D319" s="5"/>
    </row>
    <row r="320" spans="2:4" x14ac:dyDescent="0.2">
      <c r="B320" s="3"/>
      <c r="C320" s="47"/>
      <c r="D320" s="5"/>
    </row>
    <row r="321" spans="2:4" x14ac:dyDescent="0.2">
      <c r="B321" s="3"/>
      <c r="C321" s="47"/>
      <c r="D321" s="5"/>
    </row>
    <row r="322" spans="2:4" x14ac:dyDescent="0.2">
      <c r="B322" s="3"/>
      <c r="C322" s="47"/>
      <c r="D322" s="5"/>
    </row>
    <row r="323" spans="2:4" x14ac:dyDescent="0.2">
      <c r="B323" s="3"/>
      <c r="C323" s="47"/>
      <c r="D323" s="5"/>
    </row>
    <row r="324" spans="2:4" x14ac:dyDescent="0.2">
      <c r="B324" s="3"/>
      <c r="C324" s="47"/>
      <c r="D324" s="5"/>
    </row>
    <row r="325" spans="2:4" x14ac:dyDescent="0.2">
      <c r="B325" s="3"/>
      <c r="C325" s="47"/>
      <c r="D325" s="5"/>
    </row>
    <row r="326" spans="2:4" x14ac:dyDescent="0.2">
      <c r="B326" s="3"/>
      <c r="C326" s="47"/>
      <c r="D326" s="5"/>
    </row>
    <row r="327" spans="2:4" x14ac:dyDescent="0.2">
      <c r="B327" s="3"/>
      <c r="C327" s="47"/>
      <c r="D327" s="5"/>
    </row>
    <row r="328" spans="2:4" x14ac:dyDescent="0.2">
      <c r="B328" s="3"/>
      <c r="C328" s="47"/>
      <c r="D328" s="5"/>
    </row>
    <row r="329" spans="2:4" x14ac:dyDescent="0.2">
      <c r="B329" s="3"/>
      <c r="C329" s="47"/>
      <c r="D329" s="5"/>
    </row>
    <row r="330" spans="2:4" x14ac:dyDescent="0.2">
      <c r="B330" s="3"/>
      <c r="C330" s="47"/>
      <c r="D330" s="5"/>
    </row>
    <row r="331" spans="2:4" x14ac:dyDescent="0.2">
      <c r="B331" s="3"/>
      <c r="C331" s="47"/>
      <c r="D331" s="5"/>
    </row>
    <row r="332" spans="2:4" x14ac:dyDescent="0.2">
      <c r="B332" s="3"/>
      <c r="C332" s="47"/>
      <c r="D332" s="5"/>
    </row>
    <row r="333" spans="2:4" x14ac:dyDescent="0.2">
      <c r="B333" s="3"/>
      <c r="C333" s="47"/>
      <c r="D333" s="5"/>
    </row>
    <row r="334" spans="2:4" x14ac:dyDescent="0.2">
      <c r="B334" s="3"/>
      <c r="C334" s="47"/>
      <c r="D334" s="5"/>
    </row>
    <row r="335" spans="2:4" x14ac:dyDescent="0.2">
      <c r="B335" s="3"/>
      <c r="C335" s="47"/>
      <c r="D335" s="5"/>
    </row>
    <row r="336" spans="2:4" x14ac:dyDescent="0.2">
      <c r="B336" s="3"/>
      <c r="C336" s="47"/>
      <c r="D336" s="5"/>
    </row>
    <row r="337" spans="2:4" x14ac:dyDescent="0.2">
      <c r="B337" s="3"/>
      <c r="C337" s="47"/>
      <c r="D337" s="5"/>
    </row>
    <row r="338" spans="2:4" x14ac:dyDescent="0.2">
      <c r="B338" s="3"/>
      <c r="C338" s="47"/>
      <c r="D338" s="5"/>
    </row>
    <row r="339" spans="2:4" x14ac:dyDescent="0.2">
      <c r="B339" s="3"/>
      <c r="C339" s="47"/>
      <c r="D339" s="5"/>
    </row>
    <row r="340" spans="2:4" x14ac:dyDescent="0.2">
      <c r="B340" s="3"/>
      <c r="C340" s="47"/>
      <c r="D340" s="5"/>
    </row>
    <row r="341" spans="2:4" x14ac:dyDescent="0.2">
      <c r="B341" s="3"/>
      <c r="C341" s="47"/>
      <c r="D341" s="5"/>
    </row>
    <row r="342" spans="2:4" x14ac:dyDescent="0.2">
      <c r="B342" s="3"/>
      <c r="C342" s="47"/>
      <c r="D342" s="5"/>
    </row>
    <row r="343" spans="2:4" x14ac:dyDescent="0.2">
      <c r="B343" s="3"/>
      <c r="C343" s="47"/>
      <c r="D343" s="5"/>
    </row>
    <row r="344" spans="2:4" x14ac:dyDescent="0.2">
      <c r="B344" s="3"/>
      <c r="C344" s="47"/>
      <c r="D344" s="5"/>
    </row>
    <row r="345" spans="2:4" x14ac:dyDescent="0.2">
      <c r="B345" s="3"/>
      <c r="C345" s="47"/>
      <c r="D345" s="5"/>
    </row>
    <row r="346" spans="2:4" x14ac:dyDescent="0.2">
      <c r="B346" s="3"/>
      <c r="C346" s="47"/>
      <c r="D346" s="5"/>
    </row>
    <row r="347" spans="2:4" x14ac:dyDescent="0.2">
      <c r="B347" s="3"/>
      <c r="C347" s="47"/>
      <c r="D347" s="5"/>
    </row>
    <row r="348" spans="2:4" x14ac:dyDescent="0.2">
      <c r="B348" s="3"/>
      <c r="C348" s="47"/>
      <c r="D348" s="5"/>
    </row>
    <row r="349" spans="2:4" x14ac:dyDescent="0.2">
      <c r="B349" s="3"/>
      <c r="C349" s="47"/>
      <c r="D349" s="5"/>
    </row>
    <row r="350" spans="2:4" x14ac:dyDescent="0.2">
      <c r="B350" s="3"/>
      <c r="C350" s="47"/>
      <c r="D350" s="5"/>
    </row>
    <row r="351" spans="2:4" x14ac:dyDescent="0.2">
      <c r="B351" s="3"/>
      <c r="C351" s="47"/>
      <c r="D351" s="5"/>
    </row>
    <row r="352" spans="2:4" x14ac:dyDescent="0.2">
      <c r="B352" s="3"/>
      <c r="C352" s="47"/>
      <c r="D352" s="5"/>
    </row>
    <row r="353" spans="2:4" x14ac:dyDescent="0.2">
      <c r="B353" s="3"/>
      <c r="C353" s="47"/>
      <c r="D353" s="5"/>
    </row>
    <row r="354" spans="2:4" x14ac:dyDescent="0.2">
      <c r="B354" s="3"/>
      <c r="C354" s="47"/>
      <c r="D354" s="5"/>
    </row>
    <row r="355" spans="2:4" x14ac:dyDescent="0.2">
      <c r="B355" s="3"/>
      <c r="C355" s="47"/>
      <c r="D355" s="5"/>
    </row>
    <row r="356" spans="2:4" x14ac:dyDescent="0.2">
      <c r="B356" s="3"/>
      <c r="C356" s="47"/>
      <c r="D356" s="5"/>
    </row>
    <row r="357" spans="2:4" x14ac:dyDescent="0.2">
      <c r="B357" s="3"/>
      <c r="C357" s="47"/>
      <c r="D357" s="5"/>
    </row>
    <row r="358" spans="2:4" x14ac:dyDescent="0.2">
      <c r="B358" s="3"/>
      <c r="C358" s="47"/>
      <c r="D358" s="5"/>
    </row>
    <row r="359" spans="2:4" x14ac:dyDescent="0.2">
      <c r="B359" s="3"/>
      <c r="C359" s="47"/>
      <c r="D359" s="5"/>
    </row>
    <row r="360" spans="2:4" x14ac:dyDescent="0.2">
      <c r="B360" s="3"/>
      <c r="C360" s="47"/>
      <c r="D360" s="5"/>
    </row>
    <row r="361" spans="2:4" x14ac:dyDescent="0.2">
      <c r="B361" s="3"/>
      <c r="C361" s="47"/>
      <c r="D361" s="5"/>
    </row>
    <row r="362" spans="2:4" x14ac:dyDescent="0.2">
      <c r="B362" s="3"/>
      <c r="C362" s="47"/>
      <c r="D362" s="5"/>
    </row>
    <row r="363" spans="2:4" x14ac:dyDescent="0.2">
      <c r="B363" s="3"/>
      <c r="C363" s="47"/>
      <c r="D363" s="5"/>
    </row>
    <row r="364" spans="2:4" x14ac:dyDescent="0.2">
      <c r="B364" s="3"/>
      <c r="C364" s="47"/>
      <c r="D364" s="5"/>
    </row>
    <row r="365" spans="2:4" x14ac:dyDescent="0.2">
      <c r="B365" s="3"/>
      <c r="C365" s="47"/>
      <c r="D365" s="5"/>
    </row>
    <row r="366" spans="2:4" x14ac:dyDescent="0.2">
      <c r="B366" s="3"/>
      <c r="C366" s="47"/>
      <c r="D366" s="5"/>
    </row>
    <row r="367" spans="2:4" x14ac:dyDescent="0.2">
      <c r="B367" s="3"/>
      <c r="C367" s="47"/>
      <c r="D367" s="5"/>
    </row>
    <row r="368" spans="2:4" x14ac:dyDescent="0.2">
      <c r="B368" s="3"/>
      <c r="C368" s="47"/>
      <c r="D368" s="5"/>
    </row>
    <row r="369" spans="2:4" x14ac:dyDescent="0.2">
      <c r="B369" s="3"/>
      <c r="C369" s="47"/>
      <c r="D369" s="5"/>
    </row>
    <row r="370" spans="2:4" x14ac:dyDescent="0.2">
      <c r="B370" s="3"/>
      <c r="C370" s="47"/>
      <c r="D370" s="5"/>
    </row>
    <row r="371" spans="2:4" x14ac:dyDescent="0.2">
      <c r="B371" s="3"/>
      <c r="C371" s="47"/>
      <c r="D371" s="5"/>
    </row>
    <row r="372" spans="2:4" x14ac:dyDescent="0.2">
      <c r="B372" s="3"/>
      <c r="C372" s="47"/>
      <c r="D372" s="5"/>
    </row>
    <row r="373" spans="2:4" x14ac:dyDescent="0.2">
      <c r="B373" s="3"/>
      <c r="C373" s="47"/>
      <c r="D373" s="5"/>
    </row>
    <row r="374" spans="2:4" x14ac:dyDescent="0.2">
      <c r="B374" s="3"/>
      <c r="C374" s="47"/>
      <c r="D374" s="5"/>
    </row>
    <row r="375" spans="2:4" x14ac:dyDescent="0.2">
      <c r="B375" s="3"/>
      <c r="C375" s="47"/>
      <c r="D375" s="5"/>
    </row>
    <row r="376" spans="2:4" x14ac:dyDescent="0.2">
      <c r="B376" s="3"/>
      <c r="C376" s="47"/>
      <c r="D376" s="5"/>
    </row>
    <row r="377" spans="2:4" x14ac:dyDescent="0.2">
      <c r="B377" s="3"/>
      <c r="C377" s="47"/>
      <c r="D377" s="5"/>
    </row>
    <row r="378" spans="2:4" x14ac:dyDescent="0.2">
      <c r="B378" s="3"/>
      <c r="C378" s="47"/>
      <c r="D378" s="5"/>
    </row>
    <row r="379" spans="2:4" x14ac:dyDescent="0.2">
      <c r="B379" s="3"/>
      <c r="C379" s="47"/>
      <c r="D379" s="5"/>
    </row>
    <row r="380" spans="2:4" x14ac:dyDescent="0.2">
      <c r="B380" s="3"/>
      <c r="C380" s="47"/>
      <c r="D380" s="5"/>
    </row>
    <row r="381" spans="2:4" x14ac:dyDescent="0.2">
      <c r="B381" s="3"/>
      <c r="C381" s="47"/>
      <c r="D381" s="5"/>
    </row>
    <row r="382" spans="2:4" x14ac:dyDescent="0.2">
      <c r="B382" s="3"/>
      <c r="C382" s="47"/>
      <c r="D382" s="5"/>
    </row>
    <row r="383" spans="2:4" x14ac:dyDescent="0.2">
      <c r="B383" s="3"/>
      <c r="C383" s="47"/>
      <c r="D383" s="5"/>
    </row>
    <row r="384" spans="2:4" x14ac:dyDescent="0.2">
      <c r="B384" s="3"/>
      <c r="C384" s="47"/>
      <c r="D384" s="5"/>
    </row>
    <row r="385" spans="2:4" x14ac:dyDescent="0.2">
      <c r="B385" s="3"/>
      <c r="C385" s="47"/>
      <c r="D385" s="5"/>
    </row>
    <row r="386" spans="2:4" x14ac:dyDescent="0.2">
      <c r="B386" s="3"/>
      <c r="C386" s="47"/>
      <c r="D386" s="5"/>
    </row>
    <row r="387" spans="2:4" x14ac:dyDescent="0.2">
      <c r="B387" s="3"/>
      <c r="C387" s="47"/>
      <c r="D387" s="5"/>
    </row>
    <row r="388" spans="2:4" x14ac:dyDescent="0.2">
      <c r="B388" s="3"/>
      <c r="C388" s="47"/>
      <c r="D388" s="5"/>
    </row>
    <row r="389" spans="2:4" x14ac:dyDescent="0.2">
      <c r="B389" s="3"/>
      <c r="C389" s="47"/>
      <c r="D389" s="5"/>
    </row>
    <row r="390" spans="2:4" x14ac:dyDescent="0.2">
      <c r="B390" s="3"/>
      <c r="C390" s="47"/>
      <c r="D390" s="5"/>
    </row>
    <row r="391" spans="2:4" x14ac:dyDescent="0.2">
      <c r="B391" s="3"/>
      <c r="C391" s="47"/>
      <c r="D391" s="5"/>
    </row>
    <row r="392" spans="2:4" x14ac:dyDescent="0.2">
      <c r="B392" s="3"/>
      <c r="C392" s="47"/>
      <c r="D392" s="5"/>
    </row>
    <row r="393" spans="2:4" x14ac:dyDescent="0.2">
      <c r="B393" s="3"/>
      <c r="C393" s="47"/>
      <c r="D393" s="5"/>
    </row>
    <row r="394" spans="2:4" x14ac:dyDescent="0.2">
      <c r="B394" s="3"/>
      <c r="C394" s="47"/>
      <c r="D394" s="5"/>
    </row>
    <row r="395" spans="2:4" x14ac:dyDescent="0.2">
      <c r="B395" s="3"/>
      <c r="C395" s="47"/>
      <c r="D395" s="5"/>
    </row>
    <row r="396" spans="2:4" x14ac:dyDescent="0.2">
      <c r="B396" s="3"/>
      <c r="C396" s="47"/>
      <c r="D396" s="5"/>
    </row>
    <row r="397" spans="2:4" x14ac:dyDescent="0.2">
      <c r="B397" s="3"/>
      <c r="C397" s="47"/>
      <c r="D397" s="5"/>
    </row>
    <row r="398" spans="2:4" x14ac:dyDescent="0.2">
      <c r="B398" s="3"/>
      <c r="C398" s="47"/>
      <c r="D398" s="5"/>
    </row>
    <row r="399" spans="2:4" x14ac:dyDescent="0.2">
      <c r="B399" s="3"/>
      <c r="C399" s="47"/>
      <c r="D399" s="5"/>
    </row>
    <row r="400" spans="2:4" x14ac:dyDescent="0.2">
      <c r="B400" s="3"/>
      <c r="C400" s="47"/>
      <c r="D400" s="5"/>
    </row>
    <row r="401" spans="2:4" x14ac:dyDescent="0.2">
      <c r="B401" s="3"/>
      <c r="C401" s="47"/>
      <c r="D401" s="5"/>
    </row>
    <row r="402" spans="2:4" x14ac:dyDescent="0.2">
      <c r="B402" s="3"/>
      <c r="C402" s="47"/>
      <c r="D402" s="5"/>
    </row>
    <row r="403" spans="2:4" x14ac:dyDescent="0.2">
      <c r="B403" s="3"/>
      <c r="C403" s="47"/>
      <c r="D403" s="5"/>
    </row>
    <row r="404" spans="2:4" x14ac:dyDescent="0.2">
      <c r="B404" s="3"/>
      <c r="C404" s="47"/>
      <c r="D404" s="5"/>
    </row>
    <row r="405" spans="2:4" x14ac:dyDescent="0.2">
      <c r="B405" s="3"/>
      <c r="C405" s="47"/>
      <c r="D405" s="5"/>
    </row>
    <row r="406" spans="2:4" x14ac:dyDescent="0.2">
      <c r="B406" s="3"/>
      <c r="C406" s="47"/>
      <c r="D406" s="5"/>
    </row>
    <row r="407" spans="2:4" x14ac:dyDescent="0.2">
      <c r="B407" s="3"/>
      <c r="C407" s="47"/>
      <c r="D407" s="5"/>
    </row>
    <row r="408" spans="2:4" x14ac:dyDescent="0.2">
      <c r="B408" s="3"/>
      <c r="C408" s="47"/>
      <c r="D408" s="5"/>
    </row>
    <row r="409" spans="2:4" x14ac:dyDescent="0.2">
      <c r="B409" s="3"/>
      <c r="C409" s="47"/>
      <c r="D409" s="5"/>
    </row>
    <row r="410" spans="2:4" x14ac:dyDescent="0.2">
      <c r="B410" s="3"/>
      <c r="C410" s="47"/>
      <c r="D410" s="5"/>
    </row>
    <row r="411" spans="2:4" x14ac:dyDescent="0.2">
      <c r="B411" s="3"/>
      <c r="C411" s="47"/>
      <c r="D411" s="5"/>
    </row>
    <row r="412" spans="2:4" x14ac:dyDescent="0.2">
      <c r="B412" s="3"/>
      <c r="C412" s="47"/>
      <c r="D412" s="5"/>
    </row>
    <row r="413" spans="2:4" x14ac:dyDescent="0.2">
      <c r="B413" s="3"/>
      <c r="C413" s="47"/>
      <c r="D413" s="5"/>
    </row>
    <row r="414" spans="2:4" x14ac:dyDescent="0.2">
      <c r="B414" s="3"/>
      <c r="C414" s="47"/>
      <c r="D414" s="5"/>
    </row>
    <row r="415" spans="2:4" x14ac:dyDescent="0.2">
      <c r="B415" s="3"/>
      <c r="C415" s="47"/>
      <c r="D415" s="5"/>
    </row>
    <row r="416" spans="2:4" x14ac:dyDescent="0.2">
      <c r="B416" s="3"/>
      <c r="C416" s="47"/>
      <c r="D416" s="5"/>
    </row>
    <row r="417" spans="2:4" x14ac:dyDescent="0.2">
      <c r="B417" s="3"/>
      <c r="C417" s="47"/>
      <c r="D417" s="5"/>
    </row>
  </sheetData>
  <mergeCells count="44">
    <mergeCell ref="A1:D1"/>
    <mergeCell ref="A2:D2"/>
    <mergeCell ref="A3:D3"/>
    <mergeCell ref="A5:D5"/>
    <mergeCell ref="A6:D6"/>
    <mergeCell ref="A7:D7"/>
    <mergeCell ref="A8:A10"/>
    <mergeCell ref="B8:B10"/>
    <mergeCell ref="C8:C10"/>
    <mergeCell ref="D8:D10"/>
    <mergeCell ref="F11:F13"/>
    <mergeCell ref="G11:G13"/>
    <mergeCell ref="I11:I13"/>
    <mergeCell ref="J11:J13"/>
    <mergeCell ref="F15:F25"/>
    <mergeCell ref="G15:G25"/>
    <mergeCell ref="F26:F31"/>
    <mergeCell ref="G26:G31"/>
    <mergeCell ref="I26:I31"/>
    <mergeCell ref="J26:J31"/>
    <mergeCell ref="F32:F34"/>
    <mergeCell ref="G32:G34"/>
    <mergeCell ref="I32:I33"/>
    <mergeCell ref="J32:J33"/>
    <mergeCell ref="F36:F80"/>
    <mergeCell ref="G36:G80"/>
    <mergeCell ref="I36:I80"/>
    <mergeCell ref="J36:J80"/>
    <mergeCell ref="I81:I82"/>
    <mergeCell ref="J81:J82"/>
    <mergeCell ref="F83:G84"/>
    <mergeCell ref="H83:H84"/>
    <mergeCell ref="F85:G91"/>
    <mergeCell ref="H85:H91"/>
    <mergeCell ref="I85:I91"/>
    <mergeCell ref="J85:J91"/>
    <mergeCell ref="B215:D215"/>
    <mergeCell ref="B216:D216"/>
    <mergeCell ref="F92:G92"/>
    <mergeCell ref="F93:G93"/>
    <mergeCell ref="F94:G94"/>
    <mergeCell ref="F95:G95"/>
    <mergeCell ref="F96:G97"/>
    <mergeCell ref="B212:D212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7"/>
  <sheetViews>
    <sheetView topLeftCell="A203" zoomScaleNormal="100" workbookViewId="0">
      <selection activeCell="A120" sqref="A120:IV120"/>
    </sheetView>
  </sheetViews>
  <sheetFormatPr defaultRowHeight="12.75" x14ac:dyDescent="0.2"/>
  <cols>
    <col min="1" max="1" width="51.42578125" style="3" customWidth="1"/>
    <col min="2" max="2" width="18" style="6" customWidth="1"/>
    <col min="3" max="3" width="17.7109375" style="48" customWidth="1"/>
    <col min="4" max="4" width="18.28515625" style="3" customWidth="1"/>
    <col min="5" max="5" width="18.28515625" hidden="1" customWidth="1"/>
    <col min="6" max="6" width="18.28515625" style="23" customWidth="1"/>
    <col min="7" max="7" width="18.28515625" style="21" customWidth="1"/>
    <col min="8" max="8" width="18.28515625" style="18" customWidth="1"/>
    <col min="9" max="10" width="18.28515625" style="21" customWidth="1"/>
    <col min="11" max="16" width="18.28515625" customWidth="1"/>
  </cols>
  <sheetData>
    <row r="1" spans="1:10" ht="14.25" x14ac:dyDescent="0.2">
      <c r="A1" s="235" t="s">
        <v>2</v>
      </c>
      <c r="B1" s="235"/>
      <c r="C1" s="235"/>
      <c r="D1" s="235"/>
      <c r="F1" s="20">
        <f>F210</f>
        <v>0</v>
      </c>
      <c r="G1" s="27"/>
    </row>
    <row r="2" spans="1:10" ht="15" x14ac:dyDescent="0.2">
      <c r="A2" s="236" t="s">
        <v>3</v>
      </c>
      <c r="B2" s="236"/>
      <c r="C2" s="236"/>
      <c r="D2" s="236"/>
    </row>
    <row r="3" spans="1:10" ht="14.25" x14ac:dyDescent="0.2">
      <c r="A3" s="235" t="s">
        <v>1</v>
      </c>
      <c r="B3" s="235"/>
      <c r="C3" s="235"/>
      <c r="D3" s="235"/>
    </row>
    <row r="4" spans="1:10" ht="14.25" x14ac:dyDescent="0.2">
      <c r="A4" s="2"/>
      <c r="B4" s="1"/>
      <c r="C4" s="42"/>
      <c r="D4" s="2"/>
    </row>
    <row r="5" spans="1:10" ht="15" x14ac:dyDescent="0.2">
      <c r="A5" s="236" t="s">
        <v>7</v>
      </c>
      <c r="B5" s="236"/>
      <c r="C5" s="236"/>
      <c r="D5" s="236"/>
      <c r="G5" s="53"/>
    </row>
    <row r="6" spans="1:10" ht="14.25" x14ac:dyDescent="0.2">
      <c r="A6" s="235" t="s">
        <v>232</v>
      </c>
      <c r="B6" s="235"/>
      <c r="C6" s="235"/>
      <c r="D6" s="235"/>
      <c r="G6" s="27"/>
      <c r="H6" s="54"/>
    </row>
    <row r="7" spans="1:10" ht="15.75" thickBot="1" x14ac:dyDescent="0.25">
      <c r="A7" s="236" t="s">
        <v>8</v>
      </c>
      <c r="B7" s="236"/>
      <c r="C7" s="236"/>
      <c r="D7" s="236"/>
    </row>
    <row r="8" spans="1:10" ht="12.75" customHeight="1" thickTop="1" x14ac:dyDescent="0.2">
      <c r="A8" s="229" t="s">
        <v>10</v>
      </c>
      <c r="B8" s="229" t="s">
        <v>9</v>
      </c>
      <c r="C8" s="232" t="s">
        <v>4</v>
      </c>
      <c r="D8" s="229" t="s">
        <v>5</v>
      </c>
    </row>
    <row r="9" spans="1:10" ht="12.75" customHeight="1" x14ac:dyDescent="0.2">
      <c r="A9" s="230"/>
      <c r="B9" s="230"/>
      <c r="C9" s="233"/>
      <c r="D9" s="230"/>
    </row>
    <row r="10" spans="1:10" ht="13.5" customHeight="1" thickBot="1" x14ac:dyDescent="0.25">
      <c r="A10" s="231"/>
      <c r="B10" s="231"/>
      <c r="C10" s="234"/>
      <c r="D10" s="231"/>
      <c r="H10" s="17" t="s">
        <v>171</v>
      </c>
      <c r="I10" s="29" t="s">
        <v>189</v>
      </c>
      <c r="J10" s="29" t="s">
        <v>190</v>
      </c>
    </row>
    <row r="11" spans="1:10" s="7" customFormat="1" ht="15" customHeight="1" thickTop="1" x14ac:dyDescent="0.2">
      <c r="A11" s="34" t="s">
        <v>123</v>
      </c>
      <c r="B11" s="35">
        <v>10101010</v>
      </c>
      <c r="C11" s="50">
        <v>563435.15</v>
      </c>
      <c r="D11" s="50"/>
      <c r="F11" s="225" t="s">
        <v>172</v>
      </c>
      <c r="G11" s="227">
        <f>SUM(C11:C13)</f>
        <v>148770119.06</v>
      </c>
      <c r="H11" s="19"/>
      <c r="I11" s="220">
        <f>G11</f>
        <v>148770119.06</v>
      </c>
      <c r="J11" s="220">
        <v>0</v>
      </c>
    </row>
    <row r="12" spans="1:10" s="7" customFormat="1" ht="15" customHeight="1" x14ac:dyDescent="0.2">
      <c r="A12" s="56" t="s">
        <v>67</v>
      </c>
      <c r="B12" s="57">
        <v>10101020</v>
      </c>
      <c r="C12" s="51">
        <f>'[1]10101020'!$F$46</f>
        <v>43642.380000000005</v>
      </c>
      <c r="D12" s="51"/>
      <c r="F12" s="225"/>
      <c r="G12" s="227"/>
      <c r="H12" s="19"/>
      <c r="I12" s="221"/>
      <c r="J12" s="221"/>
    </row>
    <row r="13" spans="1:10" s="7" customFormat="1" ht="15" customHeight="1" x14ac:dyDescent="0.2">
      <c r="A13" s="56" t="s">
        <v>226</v>
      </c>
      <c r="B13" s="57">
        <v>10102020</v>
      </c>
      <c r="C13" s="51">
        <v>148163041.53</v>
      </c>
      <c r="D13" s="51"/>
      <c r="F13" s="225"/>
      <c r="G13" s="227"/>
      <c r="H13" s="19"/>
      <c r="I13" s="221"/>
      <c r="J13" s="221"/>
    </row>
    <row r="14" spans="1:10" s="7" customFormat="1" ht="15" customHeight="1" x14ac:dyDescent="0.2">
      <c r="A14" s="56" t="s">
        <v>68</v>
      </c>
      <c r="B14" s="57">
        <v>10205990</v>
      </c>
      <c r="C14" s="51">
        <f>'[1]10205990'!$F$44</f>
        <v>72000</v>
      </c>
      <c r="D14" s="51"/>
      <c r="F14" s="24" t="s">
        <v>173</v>
      </c>
      <c r="G14" s="80">
        <f>C14</f>
        <v>72000</v>
      </c>
      <c r="H14" s="19"/>
      <c r="I14" s="22"/>
      <c r="J14" s="30">
        <f>G14</f>
        <v>72000</v>
      </c>
    </row>
    <row r="15" spans="1:10" s="62" customFormat="1" ht="15" customHeight="1" x14ac:dyDescent="0.2">
      <c r="A15" s="56" t="s">
        <v>11</v>
      </c>
      <c r="B15" s="57">
        <v>10301020</v>
      </c>
      <c r="C15" s="51">
        <v>15928643.199999999</v>
      </c>
      <c r="D15" s="51"/>
      <c r="F15" s="225" t="s">
        <v>174</v>
      </c>
      <c r="G15" s="227">
        <f>SUM(C15:C25)-(D20)</f>
        <v>43025406.950000003</v>
      </c>
      <c r="H15" s="65"/>
      <c r="I15" s="77">
        <f>C15</f>
        <v>15928643.199999999</v>
      </c>
      <c r="J15" s="77"/>
    </row>
    <row r="16" spans="1:10" s="7" customFormat="1" ht="15" customHeight="1" x14ac:dyDescent="0.2">
      <c r="A16" s="56" t="s">
        <v>133</v>
      </c>
      <c r="B16" s="57">
        <v>10303010</v>
      </c>
      <c r="C16" s="51">
        <f>'[1]10303010'!$F$44</f>
        <v>33742.129999999997</v>
      </c>
      <c r="D16" s="51"/>
      <c r="F16" s="225"/>
      <c r="G16" s="228"/>
      <c r="H16" s="19"/>
      <c r="I16" s="81"/>
      <c r="J16" s="80">
        <f>C16</f>
        <v>33742.129999999997</v>
      </c>
    </row>
    <row r="17" spans="1:13" s="7" customFormat="1" ht="15" customHeight="1" x14ac:dyDescent="0.2">
      <c r="A17" s="56" t="s">
        <v>50</v>
      </c>
      <c r="B17" s="57">
        <v>10303020</v>
      </c>
      <c r="C17" s="51">
        <f>'[1]10303020'!$F$44</f>
        <v>45818.23</v>
      </c>
      <c r="D17" s="51"/>
      <c r="F17" s="225"/>
      <c r="G17" s="228"/>
      <c r="H17" s="19"/>
      <c r="I17" s="81"/>
      <c r="J17" s="80">
        <f>C17</f>
        <v>45818.23</v>
      </c>
    </row>
    <row r="18" spans="1:13" s="7" customFormat="1" ht="15" customHeight="1" x14ac:dyDescent="0.2">
      <c r="A18" s="56" t="s">
        <v>51</v>
      </c>
      <c r="B18" s="57">
        <v>10303030</v>
      </c>
      <c r="C18" s="51">
        <f>'[1]10303030'!$F$44</f>
        <v>85141.1</v>
      </c>
      <c r="D18" s="51"/>
      <c r="F18" s="225"/>
      <c r="G18" s="228"/>
      <c r="H18" s="19"/>
      <c r="I18" s="81"/>
      <c r="J18" s="80">
        <f>C18</f>
        <v>85141.1</v>
      </c>
      <c r="M18" s="36"/>
    </row>
    <row r="19" spans="1:13" s="7" customFormat="1" ht="15" customHeight="1" x14ac:dyDescent="0.2">
      <c r="A19" s="56" t="s">
        <v>12</v>
      </c>
      <c r="B19" s="57">
        <v>10304050</v>
      </c>
      <c r="C19" s="51">
        <v>21430764.510000002</v>
      </c>
      <c r="D19" s="51"/>
      <c r="F19" s="225"/>
      <c r="G19" s="228"/>
      <c r="H19" s="19"/>
      <c r="I19" s="76">
        <f>C19</f>
        <v>21430764.510000002</v>
      </c>
      <c r="J19" s="37"/>
      <c r="L19" s="36"/>
    </row>
    <row r="20" spans="1:13" s="7" customFormat="1" ht="15" customHeight="1" x14ac:dyDescent="0.2">
      <c r="A20" s="56" t="s">
        <v>125</v>
      </c>
      <c r="B20" s="57">
        <v>10305010</v>
      </c>
      <c r="C20" s="51">
        <v>678660</v>
      </c>
      <c r="D20" s="51"/>
      <c r="F20" s="225"/>
      <c r="G20" s="228"/>
      <c r="H20" s="19"/>
      <c r="I20" s="80">
        <f>C20</f>
        <v>678660</v>
      </c>
      <c r="J20" s="22"/>
    </row>
    <row r="21" spans="1:13" s="7" customFormat="1" ht="15" customHeight="1" x14ac:dyDescent="0.2">
      <c r="A21" s="56" t="s">
        <v>69</v>
      </c>
      <c r="B21" s="57">
        <v>10305020</v>
      </c>
      <c r="C21" s="51">
        <v>1000.76</v>
      </c>
      <c r="D21" s="51"/>
      <c r="F21" s="225"/>
      <c r="G21" s="228"/>
      <c r="H21" s="19"/>
      <c r="I21" s="80">
        <f>C21</f>
        <v>1000.76</v>
      </c>
      <c r="J21" s="22"/>
      <c r="K21" s="36">
        <f>SUM(I15:I22)</f>
        <v>42829229.030000001</v>
      </c>
      <c r="L21" s="36"/>
    </row>
    <row r="22" spans="1:13" s="62" customFormat="1" ht="15" customHeight="1" x14ac:dyDescent="0.2">
      <c r="A22" s="56" t="s">
        <v>70</v>
      </c>
      <c r="B22" s="57">
        <v>10305040</v>
      </c>
      <c r="C22" s="51">
        <v>4790160.5599999996</v>
      </c>
      <c r="D22" s="51"/>
      <c r="F22" s="225"/>
      <c r="G22" s="228"/>
      <c r="H22" s="65"/>
      <c r="I22" s="78">
        <f>C22</f>
        <v>4790160.5599999996</v>
      </c>
      <c r="J22" s="77"/>
      <c r="K22" s="79">
        <f>SUM(J16:J25)</f>
        <v>196177.92000000001</v>
      </c>
    </row>
    <row r="23" spans="1:13" s="7" customFormat="1" ht="15" customHeight="1" x14ac:dyDescent="0.2">
      <c r="A23" s="56" t="s">
        <v>124</v>
      </c>
      <c r="B23" s="57">
        <v>10306010</v>
      </c>
      <c r="C23" s="51">
        <f>'[1]10306010'!$F$44</f>
        <v>23333.02</v>
      </c>
      <c r="D23" s="51"/>
      <c r="F23" s="225"/>
      <c r="G23" s="228"/>
      <c r="H23" s="19"/>
      <c r="I23" s="81"/>
      <c r="J23" s="80">
        <f>C23</f>
        <v>23333.02</v>
      </c>
      <c r="K23" s="36">
        <f>SUM(K21:K22)</f>
        <v>43025406.950000003</v>
      </c>
      <c r="L23" s="36"/>
    </row>
    <row r="24" spans="1:13" s="7" customFormat="1" ht="15" customHeight="1" x14ac:dyDescent="0.2">
      <c r="A24" s="56" t="s">
        <v>134</v>
      </c>
      <c r="B24" s="57">
        <v>10306020</v>
      </c>
      <c r="C24" s="51">
        <f>'[1]10306020'!$F$44</f>
        <v>4002.72</v>
      </c>
      <c r="D24" s="51"/>
      <c r="F24" s="225"/>
      <c r="G24" s="228"/>
      <c r="H24" s="19"/>
      <c r="I24" s="81"/>
      <c r="J24" s="80">
        <f>C24</f>
        <v>4002.72</v>
      </c>
      <c r="K24" s="75"/>
      <c r="L24" s="36"/>
    </row>
    <row r="25" spans="1:13" s="7" customFormat="1" ht="15" customHeight="1" x14ac:dyDescent="0.2">
      <c r="A25" s="56" t="s">
        <v>13</v>
      </c>
      <c r="B25" s="57">
        <v>10306990</v>
      </c>
      <c r="C25" s="51">
        <v>4140.72</v>
      </c>
      <c r="D25" s="51"/>
      <c r="F25" s="225"/>
      <c r="G25" s="228"/>
      <c r="H25" s="19"/>
      <c r="I25" s="81"/>
      <c r="J25" s="80">
        <f>C25</f>
        <v>4140.72</v>
      </c>
    </row>
    <row r="26" spans="1:13" s="7" customFormat="1" ht="15" customHeight="1" x14ac:dyDescent="0.2">
      <c r="A26" s="56" t="s">
        <v>135</v>
      </c>
      <c r="B26" s="57">
        <v>10402090</v>
      </c>
      <c r="C26" s="51">
        <v>2555163.35</v>
      </c>
      <c r="D26" s="51"/>
      <c r="F26" s="225" t="s">
        <v>175</v>
      </c>
      <c r="G26" s="222">
        <f>SUM(C26:C31)</f>
        <v>6712743.8100000005</v>
      </c>
      <c r="H26" s="19"/>
      <c r="I26" s="220"/>
      <c r="J26" s="220"/>
    </row>
    <row r="27" spans="1:13" s="7" customFormat="1" ht="15" customHeight="1" x14ac:dyDescent="0.2">
      <c r="A27" s="56" t="s">
        <v>65</v>
      </c>
      <c r="B27" s="57">
        <v>10404010</v>
      </c>
      <c r="C27" s="51">
        <v>312443.65999999997</v>
      </c>
      <c r="D27" s="51"/>
      <c r="F27" s="225"/>
      <c r="G27" s="223"/>
      <c r="H27" s="19"/>
      <c r="I27" s="221"/>
      <c r="J27" s="221"/>
    </row>
    <row r="28" spans="1:13" s="7" customFormat="1" ht="15" customHeight="1" x14ac:dyDescent="0.2">
      <c r="A28" s="56" t="s">
        <v>219</v>
      </c>
      <c r="B28" s="57">
        <v>10404060</v>
      </c>
      <c r="C28" s="51">
        <v>1556358.74</v>
      </c>
      <c r="D28" s="51"/>
      <c r="F28" s="225"/>
      <c r="G28" s="223"/>
      <c r="H28" s="19"/>
      <c r="I28" s="221"/>
      <c r="J28" s="221"/>
    </row>
    <row r="29" spans="1:13" s="7" customFormat="1" ht="15" customHeight="1" x14ac:dyDescent="0.2">
      <c r="A29" s="56" t="s">
        <v>196</v>
      </c>
      <c r="B29" s="57">
        <v>10404070</v>
      </c>
      <c r="C29" s="51">
        <v>221295.61</v>
      </c>
      <c r="D29" s="51"/>
      <c r="F29" s="225"/>
      <c r="G29" s="223"/>
      <c r="H29" s="19"/>
      <c r="I29" s="221"/>
      <c r="J29" s="221"/>
    </row>
    <row r="30" spans="1:13" s="7" customFormat="1" ht="15" customHeight="1" x14ac:dyDescent="0.2">
      <c r="A30" s="56" t="s">
        <v>188</v>
      </c>
      <c r="B30" s="57">
        <v>10404090</v>
      </c>
      <c r="C30" s="51">
        <v>23374.48</v>
      </c>
      <c r="D30" s="51"/>
      <c r="F30" s="225"/>
      <c r="G30" s="223"/>
      <c r="H30" s="19"/>
      <c r="I30" s="221"/>
      <c r="J30" s="221"/>
    </row>
    <row r="31" spans="1:13" s="7" customFormat="1" ht="15" customHeight="1" x14ac:dyDescent="0.2">
      <c r="A31" s="56" t="s">
        <v>71</v>
      </c>
      <c r="B31" s="57">
        <v>10404990</v>
      </c>
      <c r="C31" s="51">
        <v>2044107.97</v>
      </c>
      <c r="D31" s="51"/>
      <c r="F31" s="225"/>
      <c r="G31" s="223"/>
      <c r="H31" s="19"/>
      <c r="I31" s="221"/>
      <c r="J31" s="221"/>
    </row>
    <row r="32" spans="1:13" s="7" customFormat="1" ht="15" customHeight="1" x14ac:dyDescent="0.2">
      <c r="A32" s="56" t="s">
        <v>228</v>
      </c>
      <c r="B32" s="57">
        <v>10501010</v>
      </c>
      <c r="C32" s="51">
        <v>498872.08</v>
      </c>
      <c r="D32" s="51"/>
      <c r="F32" s="224" t="s">
        <v>176</v>
      </c>
      <c r="G32" s="222">
        <f>SUM(C32:C34)</f>
        <v>531910.17000000004</v>
      </c>
      <c r="H32" s="19"/>
      <c r="I32" s="220"/>
      <c r="J32" s="220"/>
    </row>
    <row r="33" spans="1:10" s="7" customFormat="1" ht="15" customHeight="1" x14ac:dyDescent="0.2">
      <c r="A33" s="56" t="s">
        <v>49</v>
      </c>
      <c r="B33" s="57">
        <v>10501050</v>
      </c>
      <c r="C33" s="51">
        <v>3038.09</v>
      </c>
      <c r="D33" s="51"/>
      <c r="F33" s="224"/>
      <c r="G33" s="222"/>
      <c r="H33" s="19"/>
      <c r="I33" s="221"/>
      <c r="J33" s="221"/>
    </row>
    <row r="34" spans="1:10" s="7" customFormat="1" ht="15" customHeight="1" x14ac:dyDescent="0.2">
      <c r="A34" s="56" t="s">
        <v>218</v>
      </c>
      <c r="B34" s="57">
        <v>10501990</v>
      </c>
      <c r="C34" s="51">
        <f>'[1]10501990'!$F$44</f>
        <v>30000</v>
      </c>
      <c r="D34" s="51"/>
      <c r="F34" s="224"/>
      <c r="G34" s="222"/>
      <c r="H34" s="19"/>
      <c r="I34" s="22"/>
      <c r="J34" s="22"/>
    </row>
    <row r="35" spans="1:10" s="7" customFormat="1" ht="15" customHeight="1" x14ac:dyDescent="0.2">
      <c r="A35" s="56" t="s">
        <v>136</v>
      </c>
      <c r="B35" s="57">
        <v>10601030</v>
      </c>
      <c r="C35" s="51">
        <v>2175110</v>
      </c>
      <c r="D35" s="51"/>
      <c r="F35" s="24" t="s">
        <v>177</v>
      </c>
      <c r="G35" s="80">
        <f>C35</f>
        <v>2175110</v>
      </c>
      <c r="H35" s="19"/>
      <c r="I35" s="22"/>
      <c r="J35" s="22"/>
    </row>
    <row r="36" spans="1:10" s="7" customFormat="1" ht="15" customHeight="1" x14ac:dyDescent="0.2">
      <c r="A36" s="56" t="s">
        <v>14</v>
      </c>
      <c r="B36" s="57">
        <v>10701010</v>
      </c>
      <c r="C36" s="51">
        <f>'[1]10701010'!$F$44</f>
        <v>7224640</v>
      </c>
      <c r="D36" s="51"/>
      <c r="F36" s="225" t="s">
        <v>178</v>
      </c>
      <c r="G36" s="226">
        <f>SUM(C36:C80)-SUM(D36:D80)</f>
        <v>333311391.71999997</v>
      </c>
      <c r="H36" s="19"/>
      <c r="I36" s="216"/>
      <c r="J36" s="216"/>
    </row>
    <row r="37" spans="1:10" s="7" customFormat="1" ht="15" customHeight="1" x14ac:dyDescent="0.2">
      <c r="A37" s="56" t="s">
        <v>72</v>
      </c>
      <c r="B37" s="57">
        <v>10702010</v>
      </c>
      <c r="C37" s="51">
        <f>'[1]10702010'!$F$44</f>
        <v>15439991.949999999</v>
      </c>
      <c r="D37" s="51"/>
      <c r="F37" s="225"/>
      <c r="G37" s="226"/>
      <c r="H37" s="19"/>
      <c r="I37" s="216"/>
      <c r="J37" s="216"/>
    </row>
    <row r="38" spans="1:10" s="7" customFormat="1" ht="15" customHeight="1" x14ac:dyDescent="0.2">
      <c r="A38" s="56" t="s">
        <v>204</v>
      </c>
      <c r="B38" s="57">
        <v>10703010</v>
      </c>
      <c r="C38" s="51">
        <v>12833783.59</v>
      </c>
      <c r="D38" s="51"/>
      <c r="F38" s="225"/>
      <c r="G38" s="226"/>
      <c r="H38" s="19"/>
      <c r="I38" s="216"/>
      <c r="J38" s="216"/>
    </row>
    <row r="39" spans="1:10" s="7" customFormat="1" ht="15" customHeight="1" x14ac:dyDescent="0.2">
      <c r="A39" s="56" t="s">
        <v>231</v>
      </c>
      <c r="B39" s="57">
        <v>10703020</v>
      </c>
      <c r="C39" s="51">
        <v>7556056.9800000004</v>
      </c>
      <c r="D39" s="51"/>
      <c r="F39" s="225"/>
      <c r="G39" s="226"/>
      <c r="H39" s="19"/>
      <c r="I39" s="216"/>
      <c r="J39" s="216"/>
    </row>
    <row r="40" spans="1:10" s="7" customFormat="1" ht="15" customHeight="1" x14ac:dyDescent="0.2">
      <c r="A40" s="56" t="s">
        <v>214</v>
      </c>
      <c r="B40" s="57">
        <v>10703040</v>
      </c>
      <c r="C40" s="51">
        <v>91701416.989999995</v>
      </c>
      <c r="D40" s="51"/>
      <c r="F40" s="225"/>
      <c r="G40" s="226"/>
      <c r="H40" s="19"/>
      <c r="I40" s="216"/>
      <c r="J40" s="216"/>
    </row>
    <row r="41" spans="1:10" s="7" customFormat="1" ht="15" customHeight="1" x14ac:dyDescent="0.2">
      <c r="A41" s="56" t="s">
        <v>73</v>
      </c>
      <c r="B41" s="57">
        <v>10703050</v>
      </c>
      <c r="C41" s="51">
        <v>129946.35</v>
      </c>
      <c r="D41" s="51"/>
      <c r="F41" s="225"/>
      <c r="G41" s="226"/>
      <c r="H41" s="19"/>
      <c r="I41" s="216"/>
      <c r="J41" s="216"/>
    </row>
    <row r="42" spans="1:10" s="7" customFormat="1" ht="15" customHeight="1" x14ac:dyDescent="0.2">
      <c r="A42" s="56" t="s">
        <v>82</v>
      </c>
      <c r="B42" s="57">
        <v>10703051</v>
      </c>
      <c r="C42" s="51"/>
      <c r="D42" s="51">
        <f>'[2]10703051'!$F$44</f>
        <v>2659.55</v>
      </c>
      <c r="F42" s="225"/>
      <c r="G42" s="226"/>
      <c r="H42" s="19"/>
      <c r="I42" s="216"/>
      <c r="J42" s="216"/>
    </row>
    <row r="43" spans="1:10" s="7" customFormat="1" ht="15" customHeight="1" x14ac:dyDescent="0.2">
      <c r="A43" s="56" t="s">
        <v>74</v>
      </c>
      <c r="B43" s="57">
        <v>10704010</v>
      </c>
      <c r="C43" s="51">
        <v>23642659.870000001</v>
      </c>
      <c r="D43" s="51"/>
      <c r="F43" s="225"/>
      <c r="G43" s="226"/>
      <c r="H43" s="19"/>
      <c r="I43" s="216"/>
      <c r="J43" s="216"/>
    </row>
    <row r="44" spans="1:10" s="7" customFormat="1" ht="15" customHeight="1" x14ac:dyDescent="0.2">
      <c r="A44" s="56" t="s">
        <v>15</v>
      </c>
      <c r="B44" s="57">
        <v>10704020</v>
      </c>
      <c r="C44" s="51">
        <f>'[1]10704020'!$F$44</f>
        <v>5572357.3899999997</v>
      </c>
      <c r="D44" s="51"/>
      <c r="F44" s="225"/>
      <c r="G44" s="226"/>
      <c r="H44" s="19"/>
      <c r="I44" s="216"/>
      <c r="J44" s="216"/>
    </row>
    <row r="45" spans="1:10" s="7" customFormat="1" ht="15" customHeight="1" x14ac:dyDescent="0.2">
      <c r="A45" s="56" t="s">
        <v>75</v>
      </c>
      <c r="B45" s="57">
        <v>10704040</v>
      </c>
      <c r="C45" s="51">
        <v>44161657.109999999</v>
      </c>
      <c r="D45" s="51"/>
      <c r="F45" s="225"/>
      <c r="G45" s="226"/>
      <c r="H45" s="19"/>
      <c r="I45" s="216"/>
      <c r="J45" s="216"/>
    </row>
    <row r="46" spans="1:10" s="7" customFormat="1" ht="15" customHeight="1" x14ac:dyDescent="0.2">
      <c r="A46" s="56" t="s">
        <v>193</v>
      </c>
      <c r="B46" s="57">
        <v>10704050</v>
      </c>
      <c r="C46" s="51">
        <f>'[1]10704050'!$F$44</f>
        <v>2496748.44</v>
      </c>
      <c r="D46" s="51"/>
      <c r="F46" s="225"/>
      <c r="G46" s="226"/>
      <c r="H46" s="19"/>
      <c r="I46" s="216"/>
      <c r="J46" s="216"/>
    </row>
    <row r="47" spans="1:10" s="7" customFormat="1" ht="15" customHeight="1" x14ac:dyDescent="0.2">
      <c r="A47" s="56" t="s">
        <v>209</v>
      </c>
      <c r="B47" s="57">
        <v>10704990</v>
      </c>
      <c r="C47" s="51">
        <f>'[1]10704990'!$F$44</f>
        <v>3971491.5600000005</v>
      </c>
      <c r="D47" s="51"/>
      <c r="F47" s="225"/>
      <c r="G47" s="226"/>
      <c r="H47" s="19"/>
      <c r="I47" s="216"/>
      <c r="J47" s="216"/>
    </row>
    <row r="48" spans="1:10" s="7" customFormat="1" ht="15" customHeight="1" x14ac:dyDescent="0.2">
      <c r="A48" s="56" t="s">
        <v>17</v>
      </c>
      <c r="B48" s="57">
        <v>10705010</v>
      </c>
      <c r="C48" s="51">
        <v>1324131</v>
      </c>
      <c r="D48" s="51"/>
      <c r="F48" s="225"/>
      <c r="G48" s="226"/>
      <c r="H48" s="19"/>
      <c r="I48" s="216"/>
      <c r="J48" s="216"/>
    </row>
    <row r="49" spans="1:10" s="7" customFormat="1" ht="15" customHeight="1" x14ac:dyDescent="0.2">
      <c r="A49" s="56" t="s">
        <v>83</v>
      </c>
      <c r="B49" s="57">
        <v>10705011</v>
      </c>
      <c r="C49" s="51"/>
      <c r="D49" s="51">
        <v>500326.65</v>
      </c>
      <c r="F49" s="225"/>
      <c r="G49" s="226"/>
      <c r="H49" s="19"/>
      <c r="I49" s="216"/>
      <c r="J49" s="216"/>
    </row>
    <row r="50" spans="1:10" s="7" customFormat="1" ht="15" customHeight="1" x14ac:dyDescent="0.2">
      <c r="A50" s="56" t="s">
        <v>16</v>
      </c>
      <c r="B50" s="57">
        <v>10705020</v>
      </c>
      <c r="C50" s="51">
        <f>'[1]10705020'!$F$44</f>
        <v>1071276</v>
      </c>
      <c r="D50" s="51"/>
      <c r="F50" s="225"/>
      <c r="G50" s="226"/>
      <c r="H50" s="19"/>
      <c r="I50" s="216"/>
      <c r="J50" s="216"/>
    </row>
    <row r="51" spans="1:10" s="7" customFormat="1" ht="15" customHeight="1" x14ac:dyDescent="0.2">
      <c r="A51" s="56" t="s">
        <v>84</v>
      </c>
      <c r="B51" s="57">
        <v>10705021</v>
      </c>
      <c r="C51" s="51"/>
      <c r="D51" s="51">
        <v>867445.69</v>
      </c>
      <c r="F51" s="225"/>
      <c r="G51" s="226"/>
      <c r="H51" s="19"/>
      <c r="I51" s="216"/>
      <c r="J51" s="216"/>
    </row>
    <row r="52" spans="1:10" s="7" customFormat="1" ht="15" customHeight="1" x14ac:dyDescent="0.2">
      <c r="A52" s="56" t="s">
        <v>76</v>
      </c>
      <c r="B52" s="57">
        <v>10705030</v>
      </c>
      <c r="C52" s="51">
        <v>9436947.1400000006</v>
      </c>
      <c r="D52" s="51"/>
      <c r="F52" s="225"/>
      <c r="G52" s="226"/>
      <c r="H52" s="19"/>
      <c r="I52" s="216"/>
      <c r="J52" s="216"/>
    </row>
    <row r="53" spans="1:10" s="7" customFormat="1" ht="15" customHeight="1" x14ac:dyDescent="0.2">
      <c r="A53" s="67" t="s">
        <v>85</v>
      </c>
      <c r="B53" s="57">
        <v>10705031</v>
      </c>
      <c r="C53" s="51"/>
      <c r="D53" s="51">
        <v>4536877.6500000004</v>
      </c>
      <c r="F53" s="225"/>
      <c r="G53" s="226"/>
      <c r="H53" s="19"/>
      <c r="I53" s="216"/>
      <c r="J53" s="216"/>
    </row>
    <row r="54" spans="1:10" s="7" customFormat="1" ht="15" customHeight="1" x14ac:dyDescent="0.2">
      <c r="A54" s="56" t="s">
        <v>77</v>
      </c>
      <c r="B54" s="57">
        <v>10705040</v>
      </c>
      <c r="C54" s="51">
        <v>8782132</v>
      </c>
      <c r="D54" s="51"/>
      <c r="F54" s="225"/>
      <c r="G54" s="226"/>
      <c r="H54" s="19"/>
      <c r="I54" s="216"/>
      <c r="J54" s="216"/>
    </row>
    <row r="55" spans="1:10" s="7" customFormat="1" ht="15" customHeight="1" x14ac:dyDescent="0.2">
      <c r="A55" s="68" t="s">
        <v>86</v>
      </c>
      <c r="B55" s="57">
        <v>10705041</v>
      </c>
      <c r="C55" s="51"/>
      <c r="D55" s="51">
        <v>1850857.83</v>
      </c>
      <c r="F55" s="225"/>
      <c r="G55" s="226"/>
      <c r="H55" s="19"/>
      <c r="I55" s="216"/>
      <c r="J55" s="216"/>
    </row>
    <row r="56" spans="1:10" s="7" customFormat="1" ht="15" customHeight="1" x14ac:dyDescent="0.2">
      <c r="A56" s="56" t="s">
        <v>18</v>
      </c>
      <c r="B56" s="57">
        <v>10705070</v>
      </c>
      <c r="C56" s="51">
        <f>'[1]10705070'!$F$44</f>
        <v>90861.88</v>
      </c>
      <c r="D56" s="51"/>
      <c r="F56" s="225"/>
      <c r="G56" s="226"/>
      <c r="H56" s="19"/>
      <c r="I56" s="216"/>
      <c r="J56" s="216"/>
    </row>
    <row r="57" spans="1:10" s="7" customFormat="1" ht="15" customHeight="1" x14ac:dyDescent="0.2">
      <c r="A57" s="56" t="s">
        <v>87</v>
      </c>
      <c r="B57" s="57">
        <v>10705071</v>
      </c>
      <c r="C57" s="51"/>
      <c r="D57" s="51">
        <v>27376.58</v>
      </c>
      <c r="F57" s="225"/>
      <c r="G57" s="226"/>
      <c r="H57" s="19"/>
      <c r="I57" s="216"/>
      <c r="J57" s="216"/>
    </row>
    <row r="58" spans="1:10" s="7" customFormat="1" ht="15" customHeight="1" x14ac:dyDescent="0.2">
      <c r="A58" s="56" t="s">
        <v>52</v>
      </c>
      <c r="B58" s="57">
        <v>10705080</v>
      </c>
      <c r="C58" s="51">
        <f>'[1]10705080'!$F$44</f>
        <v>12978512.390000001</v>
      </c>
      <c r="D58" s="51"/>
      <c r="F58" s="225"/>
      <c r="G58" s="226"/>
      <c r="H58" s="19"/>
      <c r="I58" s="216"/>
      <c r="J58" s="216"/>
    </row>
    <row r="59" spans="1:10" s="7" customFormat="1" ht="15" customHeight="1" x14ac:dyDescent="0.2">
      <c r="A59" s="68" t="s">
        <v>88</v>
      </c>
      <c r="B59" s="57">
        <v>10705081</v>
      </c>
      <c r="C59" s="51"/>
      <c r="D59" s="51">
        <v>3957961.26</v>
      </c>
      <c r="F59" s="225"/>
      <c r="G59" s="226"/>
      <c r="H59" s="19"/>
      <c r="I59" s="216"/>
      <c r="J59" s="216"/>
    </row>
    <row r="60" spans="1:10" s="7" customFormat="1" ht="15" customHeight="1" x14ac:dyDescent="0.2">
      <c r="A60" s="68" t="s">
        <v>137</v>
      </c>
      <c r="B60" s="57">
        <v>10705090</v>
      </c>
      <c r="C60" s="51">
        <f>'[1]10705090'!$F$44</f>
        <v>4821085</v>
      </c>
      <c r="D60" s="51"/>
      <c r="F60" s="225"/>
      <c r="G60" s="226"/>
      <c r="H60" s="19"/>
      <c r="I60" s="216"/>
      <c r="J60" s="216"/>
    </row>
    <row r="61" spans="1:10" s="7" customFormat="1" ht="15" customHeight="1" x14ac:dyDescent="0.2">
      <c r="A61" s="69" t="s">
        <v>138</v>
      </c>
      <c r="B61" s="57">
        <v>10705091</v>
      </c>
      <c r="C61" s="51"/>
      <c r="D61" s="51">
        <v>1605454.34</v>
      </c>
      <c r="F61" s="225"/>
      <c r="G61" s="226"/>
      <c r="H61" s="19"/>
      <c r="I61" s="216"/>
      <c r="J61" s="216"/>
    </row>
    <row r="62" spans="1:10" s="7" customFormat="1" ht="15" customHeight="1" x14ac:dyDescent="0.2">
      <c r="A62" s="56" t="s">
        <v>208</v>
      </c>
      <c r="B62" s="57">
        <v>10705100</v>
      </c>
      <c r="C62" s="51">
        <v>334996</v>
      </c>
      <c r="D62" s="51"/>
      <c r="F62" s="225"/>
      <c r="G62" s="226"/>
      <c r="H62" s="19"/>
      <c r="I62" s="216"/>
      <c r="J62" s="216"/>
    </row>
    <row r="63" spans="1:10" s="7" customFormat="1" ht="15" customHeight="1" x14ac:dyDescent="0.2">
      <c r="A63" s="69" t="s">
        <v>221</v>
      </c>
      <c r="B63" s="57">
        <v>10705101</v>
      </c>
      <c r="C63" s="51"/>
      <c r="D63" s="51">
        <v>46680.480000000003</v>
      </c>
      <c r="F63" s="225"/>
      <c r="G63" s="226"/>
      <c r="H63" s="19"/>
      <c r="I63" s="216"/>
      <c r="J63" s="216"/>
    </row>
    <row r="64" spans="1:10" s="7" customFormat="1" ht="15" customHeight="1" x14ac:dyDescent="0.2">
      <c r="A64" s="56" t="s">
        <v>197</v>
      </c>
      <c r="B64" s="57">
        <v>10705110</v>
      </c>
      <c r="C64" s="51">
        <f>'[1]10705110'!$F$44</f>
        <v>367000</v>
      </c>
      <c r="D64" s="51"/>
      <c r="F64" s="225"/>
      <c r="G64" s="226"/>
      <c r="H64" s="19"/>
      <c r="I64" s="216"/>
      <c r="J64" s="216"/>
    </row>
    <row r="65" spans="1:10" s="7" customFormat="1" ht="15" customHeight="1" x14ac:dyDescent="0.2">
      <c r="A65" s="68" t="s">
        <v>210</v>
      </c>
      <c r="B65" s="57">
        <v>10705111</v>
      </c>
      <c r="C65" s="51"/>
      <c r="D65" s="51">
        <v>62392.5</v>
      </c>
      <c r="F65" s="225"/>
      <c r="G65" s="226"/>
      <c r="H65" s="19"/>
      <c r="I65" s="216"/>
      <c r="J65" s="216"/>
    </row>
    <row r="66" spans="1:10" s="7" customFormat="1" ht="15" customHeight="1" x14ac:dyDescent="0.2">
      <c r="A66" s="56" t="s">
        <v>22</v>
      </c>
      <c r="B66" s="57">
        <v>10705130</v>
      </c>
      <c r="C66" s="51">
        <f>'[1]10705130'!$F$44</f>
        <v>127616.5</v>
      </c>
      <c r="D66" s="51"/>
      <c r="F66" s="225"/>
      <c r="G66" s="226"/>
      <c r="H66" s="19"/>
      <c r="I66" s="216"/>
      <c r="J66" s="216"/>
    </row>
    <row r="67" spans="1:10" s="7" customFormat="1" ht="15" customHeight="1" x14ac:dyDescent="0.2">
      <c r="A67" s="56" t="s">
        <v>61</v>
      </c>
      <c r="B67" s="57">
        <v>10705140</v>
      </c>
      <c r="C67" s="51">
        <f>'[1]10705140'!$F$44</f>
        <v>21340.17</v>
      </c>
      <c r="D67" s="51"/>
      <c r="F67" s="225"/>
      <c r="G67" s="226"/>
      <c r="H67" s="19"/>
      <c r="I67" s="216"/>
      <c r="J67" s="216"/>
    </row>
    <row r="68" spans="1:10" s="7" customFormat="1" ht="15" customHeight="1" x14ac:dyDescent="0.2">
      <c r="A68" s="56" t="s">
        <v>78</v>
      </c>
      <c r="B68" s="57">
        <v>10705990</v>
      </c>
      <c r="C68" s="51">
        <v>1169809</v>
      </c>
      <c r="D68" s="51"/>
      <c r="F68" s="225"/>
      <c r="G68" s="226"/>
      <c r="H68" s="19"/>
      <c r="I68" s="216"/>
      <c r="J68" s="216"/>
    </row>
    <row r="69" spans="1:10" s="7" customFormat="1" ht="15" customHeight="1" x14ac:dyDescent="0.2">
      <c r="A69" s="68" t="s">
        <v>89</v>
      </c>
      <c r="B69" s="57">
        <v>10705991</v>
      </c>
      <c r="C69" s="51"/>
      <c r="D69" s="51">
        <v>292914.78999999998</v>
      </c>
      <c r="F69" s="225"/>
      <c r="G69" s="226"/>
      <c r="H69" s="19"/>
      <c r="I69" s="216"/>
      <c r="J69" s="216"/>
    </row>
    <row r="70" spans="1:10" s="7" customFormat="1" ht="15" customHeight="1" x14ac:dyDescent="0.2">
      <c r="A70" s="56" t="s">
        <v>19</v>
      </c>
      <c r="B70" s="57">
        <v>10706010</v>
      </c>
      <c r="C70" s="51">
        <v>8545982.8100000005</v>
      </c>
      <c r="D70" s="51"/>
      <c r="F70" s="225"/>
      <c r="G70" s="226"/>
      <c r="H70" s="19"/>
      <c r="I70" s="216"/>
      <c r="J70" s="216"/>
    </row>
    <row r="71" spans="1:10" s="7" customFormat="1" ht="15" customHeight="1" x14ac:dyDescent="0.2">
      <c r="A71" s="56" t="s">
        <v>90</v>
      </c>
      <c r="B71" s="57">
        <v>10706011</v>
      </c>
      <c r="C71" s="51"/>
      <c r="D71" s="51">
        <v>1221443.97</v>
      </c>
      <c r="F71" s="225"/>
      <c r="G71" s="226"/>
      <c r="H71" s="19"/>
      <c r="I71" s="216"/>
      <c r="J71" s="216"/>
    </row>
    <row r="72" spans="1:10" s="7" customFormat="1" ht="15" customHeight="1" x14ac:dyDescent="0.2">
      <c r="A72" s="56" t="s">
        <v>62</v>
      </c>
      <c r="B72" s="57">
        <v>10707010</v>
      </c>
      <c r="C72" s="51">
        <v>5062536.4000000004</v>
      </c>
      <c r="D72" s="51"/>
      <c r="F72" s="225"/>
      <c r="G72" s="226"/>
      <c r="H72" s="19"/>
      <c r="I72" s="216"/>
      <c r="J72" s="216"/>
    </row>
    <row r="73" spans="1:10" s="7" customFormat="1" ht="15" customHeight="1" x14ac:dyDescent="0.2">
      <c r="A73" s="56" t="s">
        <v>91</v>
      </c>
      <c r="B73" s="57">
        <v>10707011</v>
      </c>
      <c r="C73" s="51"/>
      <c r="D73" s="51">
        <v>1741577.45</v>
      </c>
      <c r="F73" s="225"/>
      <c r="G73" s="226"/>
      <c r="H73" s="19"/>
      <c r="I73" s="216"/>
      <c r="J73" s="216"/>
    </row>
    <row r="74" spans="1:10" s="7" customFormat="1" ht="15" customHeight="1" x14ac:dyDescent="0.2">
      <c r="A74" s="56" t="s">
        <v>79</v>
      </c>
      <c r="B74" s="57">
        <v>10707020</v>
      </c>
      <c r="C74" s="51">
        <f>'[1]10707020'!$F$44</f>
        <v>22350</v>
      </c>
      <c r="D74" s="51"/>
      <c r="F74" s="225"/>
      <c r="G74" s="226"/>
      <c r="H74" s="19"/>
      <c r="I74" s="216"/>
      <c r="J74" s="216"/>
    </row>
    <row r="75" spans="1:10" s="7" customFormat="1" ht="15" customHeight="1" x14ac:dyDescent="0.2">
      <c r="A75" s="56" t="s">
        <v>223</v>
      </c>
      <c r="B75" s="57">
        <v>10710010</v>
      </c>
      <c r="C75" s="51">
        <v>658625</v>
      </c>
      <c r="D75" s="51"/>
      <c r="F75" s="225"/>
      <c r="G75" s="226"/>
      <c r="H75" s="19"/>
      <c r="I75" s="216"/>
      <c r="J75" s="216"/>
    </row>
    <row r="76" spans="1:10" s="7" customFormat="1" ht="15" customHeight="1" x14ac:dyDescent="0.2">
      <c r="A76" s="56" t="s">
        <v>80</v>
      </c>
      <c r="B76" s="57">
        <v>10710020</v>
      </c>
      <c r="C76" s="51">
        <v>53379272.539999999</v>
      </c>
      <c r="D76" s="51"/>
      <c r="F76" s="225"/>
      <c r="G76" s="226"/>
      <c r="H76" s="19"/>
      <c r="I76" s="216"/>
      <c r="J76" s="216"/>
    </row>
    <row r="77" spans="1:10" s="7" customFormat="1" ht="15" customHeight="1" x14ac:dyDescent="0.2">
      <c r="A77" s="56" t="s">
        <v>81</v>
      </c>
      <c r="B77" s="57">
        <v>10710030</v>
      </c>
      <c r="C77" s="51">
        <v>24414598.66</v>
      </c>
      <c r="D77" s="51"/>
      <c r="F77" s="225"/>
      <c r="G77" s="226"/>
      <c r="H77" s="19"/>
      <c r="I77" s="216"/>
      <c r="J77" s="216"/>
    </row>
    <row r="78" spans="1:10" s="7" customFormat="1" ht="15" customHeight="1" x14ac:dyDescent="0.2">
      <c r="A78" s="68" t="s">
        <v>207</v>
      </c>
      <c r="B78" s="57">
        <v>10707021</v>
      </c>
      <c r="C78" s="51"/>
      <c r="D78" s="51">
        <v>1102.5</v>
      </c>
      <c r="F78" s="225"/>
      <c r="G78" s="226"/>
      <c r="H78" s="19"/>
      <c r="I78" s="216"/>
      <c r="J78" s="216"/>
    </row>
    <row r="79" spans="1:10" s="7" customFormat="1" ht="15" customHeight="1" x14ac:dyDescent="0.2">
      <c r="A79" s="56" t="s">
        <v>53</v>
      </c>
      <c r="B79" s="57">
        <v>10799990</v>
      </c>
      <c r="C79" s="51">
        <v>3873224.85</v>
      </c>
      <c r="D79" s="51"/>
      <c r="F79" s="225"/>
      <c r="G79" s="226"/>
      <c r="H79" s="19"/>
      <c r="I79" s="216"/>
      <c r="J79" s="216"/>
    </row>
    <row r="80" spans="1:10" s="7" customFormat="1" ht="17.850000000000001" customHeight="1" x14ac:dyDescent="0.2">
      <c r="A80" s="68" t="s">
        <v>92</v>
      </c>
      <c r="B80" s="57">
        <v>10799991</v>
      </c>
      <c r="C80" s="51"/>
      <c r="D80" s="51">
        <v>1186584.6100000001</v>
      </c>
      <c r="F80" s="225"/>
      <c r="G80" s="226"/>
      <c r="H80" s="19"/>
      <c r="I80" s="216"/>
      <c r="J80" s="216"/>
    </row>
    <row r="81" spans="1:12" s="7" customFormat="1" ht="17.850000000000001" customHeight="1" x14ac:dyDescent="0.2">
      <c r="A81" s="56" t="s">
        <v>169</v>
      </c>
      <c r="B81" s="57">
        <v>10901020</v>
      </c>
      <c r="C81" s="51">
        <f>'[1]10901020'!$F$44</f>
        <v>306599</v>
      </c>
      <c r="D81" s="51"/>
      <c r="F81" s="33" t="s">
        <v>179</v>
      </c>
      <c r="G81" s="25">
        <f>SUM(C81:C82)</f>
        <v>350599</v>
      </c>
      <c r="H81" s="38">
        <f>SUM(G10:G81)</f>
        <v>534949280.70999992</v>
      </c>
      <c r="I81" s="220"/>
      <c r="J81" s="220"/>
    </row>
    <row r="82" spans="1:12" s="7" customFormat="1" ht="15.75" customHeight="1" x14ac:dyDescent="0.2">
      <c r="A82" s="56" t="s">
        <v>166</v>
      </c>
      <c r="B82" s="57">
        <v>10901990</v>
      </c>
      <c r="C82" s="51">
        <v>44000</v>
      </c>
      <c r="D82" s="51"/>
      <c r="F82" s="33"/>
      <c r="G82" s="19"/>
      <c r="H82" s="38"/>
      <c r="I82" s="221"/>
      <c r="J82" s="221"/>
    </row>
    <row r="83" spans="1:12" s="62" customFormat="1" ht="14.25" customHeight="1" x14ac:dyDescent="0.2">
      <c r="A83" s="56" t="s">
        <v>29</v>
      </c>
      <c r="B83" s="57">
        <v>20101020</v>
      </c>
      <c r="C83" s="51"/>
      <c r="D83" s="51">
        <v>67694.710000000006</v>
      </c>
      <c r="F83" s="216" t="s">
        <v>180</v>
      </c>
      <c r="G83" s="216"/>
      <c r="H83" s="222">
        <f>SUM(D83:D84)</f>
        <v>34063113.910000004</v>
      </c>
      <c r="I83" s="59">
        <f>D83</f>
        <v>67694.710000000006</v>
      </c>
      <c r="J83" s="59"/>
    </row>
    <row r="84" spans="1:12" s="7" customFormat="1" ht="15" customHeight="1" x14ac:dyDescent="0.2">
      <c r="A84" s="56" t="s">
        <v>34</v>
      </c>
      <c r="B84" s="57">
        <v>20102040</v>
      </c>
      <c r="C84" s="51"/>
      <c r="D84" s="51">
        <v>33995419.200000003</v>
      </c>
      <c r="F84" s="216"/>
      <c r="G84" s="216"/>
      <c r="H84" s="223"/>
      <c r="I84" s="32"/>
      <c r="J84" s="28">
        <f>D84</f>
        <v>33995419.200000003</v>
      </c>
      <c r="L84" s="36"/>
    </row>
    <row r="85" spans="1:12" s="7" customFormat="1" ht="15" customHeight="1" x14ac:dyDescent="0.2">
      <c r="A85" s="56" t="s">
        <v>30</v>
      </c>
      <c r="B85" s="57">
        <v>20201010</v>
      </c>
      <c r="C85" s="51"/>
      <c r="D85" s="51">
        <v>1637432.31</v>
      </c>
      <c r="F85" s="216" t="s">
        <v>181</v>
      </c>
      <c r="G85" s="216"/>
      <c r="H85" s="222">
        <f>SUM(D85:D91)</f>
        <v>13579834.329999998</v>
      </c>
      <c r="I85" s="222"/>
      <c r="J85" s="222"/>
    </row>
    <row r="86" spans="1:12" s="7" customFormat="1" ht="15" customHeight="1" x14ac:dyDescent="0.2">
      <c r="A86" s="56" t="s">
        <v>31</v>
      </c>
      <c r="B86" s="57">
        <v>20201020</v>
      </c>
      <c r="C86" s="51"/>
      <c r="D86" s="51">
        <v>1987004.99</v>
      </c>
      <c r="F86" s="216"/>
      <c r="G86" s="216"/>
      <c r="H86" s="223"/>
      <c r="I86" s="223"/>
      <c r="J86" s="223"/>
    </row>
    <row r="87" spans="1:12" s="7" customFormat="1" ht="15" customHeight="1" x14ac:dyDescent="0.2">
      <c r="A87" s="56" t="s">
        <v>54</v>
      </c>
      <c r="B87" s="57">
        <v>20201030</v>
      </c>
      <c r="C87" s="51"/>
      <c r="D87" s="51">
        <v>93547.72</v>
      </c>
      <c r="F87" s="216"/>
      <c r="G87" s="216"/>
      <c r="H87" s="223"/>
      <c r="I87" s="223"/>
      <c r="J87" s="223"/>
    </row>
    <row r="88" spans="1:12" s="7" customFormat="1" ht="15" customHeight="1" x14ac:dyDescent="0.2">
      <c r="A88" s="56" t="s">
        <v>55</v>
      </c>
      <c r="B88" s="57">
        <v>20201040</v>
      </c>
      <c r="C88" s="51"/>
      <c r="D88" s="51">
        <v>141516.57</v>
      </c>
      <c r="F88" s="216"/>
      <c r="G88" s="216"/>
      <c r="H88" s="223"/>
      <c r="I88" s="223"/>
      <c r="J88" s="223"/>
    </row>
    <row r="89" spans="1:12" s="7" customFormat="1" ht="15" customHeight="1" x14ac:dyDescent="0.2">
      <c r="A89" s="56" t="s">
        <v>93</v>
      </c>
      <c r="B89" s="57">
        <v>20201050</v>
      </c>
      <c r="C89" s="51"/>
      <c r="D89" s="51">
        <v>5632386.5599999996</v>
      </c>
      <c r="F89" s="216"/>
      <c r="G89" s="216"/>
      <c r="H89" s="223"/>
      <c r="I89" s="223"/>
      <c r="J89" s="223"/>
    </row>
    <row r="90" spans="1:12" s="7" customFormat="1" ht="15" customHeight="1" x14ac:dyDescent="0.2">
      <c r="A90" s="56" t="s">
        <v>94</v>
      </c>
      <c r="B90" s="57">
        <v>20201060</v>
      </c>
      <c r="C90" s="51"/>
      <c r="D90" s="51">
        <v>148523.39000000001</v>
      </c>
      <c r="F90" s="216"/>
      <c r="G90" s="216"/>
      <c r="H90" s="223"/>
      <c r="I90" s="223"/>
      <c r="J90" s="223"/>
      <c r="L90" s="75">
        <f>H94+H95</f>
        <v>16182173.16</v>
      </c>
    </row>
    <row r="91" spans="1:12" s="7" customFormat="1" ht="15" customHeight="1" x14ac:dyDescent="0.2">
      <c r="A91" s="56" t="s">
        <v>56</v>
      </c>
      <c r="B91" s="57">
        <v>20201070</v>
      </c>
      <c r="C91" s="51"/>
      <c r="D91" s="51">
        <v>3939422.79</v>
      </c>
      <c r="F91" s="216"/>
      <c r="G91" s="216"/>
      <c r="H91" s="223"/>
      <c r="I91" s="223"/>
      <c r="J91" s="223"/>
    </row>
    <row r="92" spans="1:12" s="7" customFormat="1" ht="15" customHeight="1" x14ac:dyDescent="0.2">
      <c r="A92" s="56" t="s">
        <v>32</v>
      </c>
      <c r="B92" s="57">
        <v>20301010</v>
      </c>
      <c r="C92" s="51"/>
      <c r="D92" s="51">
        <v>5734628.4000000004</v>
      </c>
      <c r="F92" s="216" t="s">
        <v>182</v>
      </c>
      <c r="G92" s="216"/>
      <c r="H92" s="28">
        <f>D92</f>
        <v>5734628.4000000004</v>
      </c>
      <c r="I92" s="22"/>
      <c r="J92" s="22"/>
    </row>
    <row r="93" spans="1:12" s="62" customFormat="1" ht="15" customHeight="1" x14ac:dyDescent="0.2">
      <c r="A93" s="56" t="s">
        <v>95</v>
      </c>
      <c r="B93" s="57">
        <v>20401040</v>
      </c>
      <c r="C93" s="52"/>
      <c r="D93" s="51">
        <v>1065488.5900000001</v>
      </c>
      <c r="F93" s="217" t="s">
        <v>183</v>
      </c>
      <c r="G93" s="217"/>
      <c r="H93" s="59">
        <f>D93</f>
        <v>1065488.5900000001</v>
      </c>
      <c r="I93" s="64"/>
      <c r="J93" s="64"/>
    </row>
    <row r="94" spans="1:12" s="7" customFormat="1" ht="15" customHeight="1" x14ac:dyDescent="0.2">
      <c r="A94" s="56" t="s">
        <v>96</v>
      </c>
      <c r="B94" s="57">
        <v>20501010</v>
      </c>
      <c r="C94" s="52"/>
      <c r="D94" s="51">
        <v>15635605.32</v>
      </c>
      <c r="F94" s="216" t="s">
        <v>184</v>
      </c>
      <c r="G94" s="216"/>
      <c r="H94" s="28">
        <f>D94</f>
        <v>15635605.32</v>
      </c>
      <c r="I94" s="22"/>
      <c r="J94" s="22"/>
    </row>
    <row r="95" spans="1:12" s="58" customFormat="1" ht="15" customHeight="1" x14ac:dyDescent="0.2">
      <c r="A95" s="56" t="s">
        <v>33</v>
      </c>
      <c r="B95" s="57">
        <v>29999990</v>
      </c>
      <c r="C95" s="52"/>
      <c r="D95" s="51">
        <v>546567.84</v>
      </c>
      <c r="F95" s="218" t="s">
        <v>33</v>
      </c>
      <c r="G95" s="218"/>
      <c r="H95" s="59">
        <f>D95</f>
        <v>546567.84</v>
      </c>
      <c r="I95" s="60"/>
      <c r="J95" s="60"/>
    </row>
    <row r="96" spans="1:12" s="7" customFormat="1" ht="15" customHeight="1" x14ac:dyDescent="0.2">
      <c r="A96" s="56" t="s">
        <v>35</v>
      </c>
      <c r="B96" s="57">
        <v>30101010</v>
      </c>
      <c r="C96" s="52"/>
      <c r="D96" s="51">
        <v>444153363.80000001</v>
      </c>
      <c r="F96" s="216" t="s">
        <v>35</v>
      </c>
      <c r="G96" s="216"/>
      <c r="H96" s="25">
        <f>SUM(D96:D209)-SUM(C96:C209)</f>
        <v>464324042.32000005</v>
      </c>
      <c r="I96" s="22"/>
      <c r="J96" s="22"/>
    </row>
    <row r="97" spans="1:10" s="7" customFormat="1" ht="15" customHeight="1" x14ac:dyDescent="0.2">
      <c r="A97" s="56" t="s">
        <v>97</v>
      </c>
      <c r="B97" s="57">
        <v>30101020</v>
      </c>
      <c r="C97" s="52">
        <v>3517906.08</v>
      </c>
      <c r="D97" s="51"/>
      <c r="F97" s="216"/>
      <c r="G97" s="216"/>
      <c r="H97" s="19"/>
      <c r="I97" s="22"/>
      <c r="J97" s="22"/>
    </row>
    <row r="98" spans="1:10" s="7" customFormat="1" ht="15" customHeight="1" x14ac:dyDescent="0.2">
      <c r="A98" s="56" t="s">
        <v>128</v>
      </c>
      <c r="B98" s="57">
        <v>40101020</v>
      </c>
      <c r="C98" s="52"/>
      <c r="D98" s="51">
        <v>1200</v>
      </c>
      <c r="F98" s="24"/>
      <c r="G98" s="22"/>
      <c r="H98" s="38">
        <f>SUM(H83:H97)</f>
        <v>534949280.71000004</v>
      </c>
      <c r="I98" s="22"/>
      <c r="J98" s="22"/>
    </row>
    <row r="99" spans="1:10" s="7" customFormat="1" ht="15" customHeight="1" x14ac:dyDescent="0.2">
      <c r="A99" s="56" t="s">
        <v>37</v>
      </c>
      <c r="B99" s="57">
        <v>40101050</v>
      </c>
      <c r="C99" s="52"/>
      <c r="D99" s="51">
        <v>459237.25</v>
      </c>
      <c r="F99" s="24"/>
      <c r="G99" s="22"/>
      <c r="H99" s="33">
        <f>H81-H98</f>
        <v>0</v>
      </c>
      <c r="I99" s="22"/>
      <c r="J99" s="22"/>
    </row>
    <row r="100" spans="1:10" s="7" customFormat="1" ht="15" customHeight="1" x14ac:dyDescent="0.2">
      <c r="A100" s="56" t="s">
        <v>98</v>
      </c>
      <c r="B100" s="57">
        <v>40102040</v>
      </c>
      <c r="C100" s="52"/>
      <c r="D100" s="51">
        <v>208179.04</v>
      </c>
      <c r="F100" s="24"/>
      <c r="G100" s="22"/>
      <c r="H100" s="19"/>
      <c r="I100" s="22"/>
      <c r="J100" s="22"/>
    </row>
    <row r="101" spans="1:10" s="7" customFormat="1" ht="15" customHeight="1" x14ac:dyDescent="0.2">
      <c r="A101" s="56" t="s">
        <v>99</v>
      </c>
      <c r="B101" s="57">
        <v>40102041</v>
      </c>
      <c r="C101" s="52">
        <v>27442.81</v>
      </c>
      <c r="D101" s="51"/>
      <c r="F101" s="24"/>
      <c r="G101" s="61"/>
      <c r="H101" s="19"/>
      <c r="I101" s="22"/>
      <c r="J101" s="22"/>
    </row>
    <row r="102" spans="1:10" s="7" customFormat="1" ht="15" customHeight="1" x14ac:dyDescent="0.2">
      <c r="A102" s="56" t="s">
        <v>130</v>
      </c>
      <c r="B102" s="57">
        <v>40102080</v>
      </c>
      <c r="C102" s="52"/>
      <c r="D102" s="51">
        <v>1565.49</v>
      </c>
      <c r="F102" s="24"/>
      <c r="G102" s="22"/>
      <c r="H102" s="19"/>
      <c r="I102" s="22"/>
      <c r="J102" s="22"/>
    </row>
    <row r="103" spans="1:10" s="7" customFormat="1" ht="15" customHeight="1" x14ac:dyDescent="0.2">
      <c r="A103" s="56" t="s">
        <v>36</v>
      </c>
      <c r="B103" s="57">
        <v>40103030</v>
      </c>
      <c r="C103" s="52"/>
      <c r="D103" s="51">
        <v>977328.8</v>
      </c>
      <c r="F103" s="24"/>
      <c r="G103" s="22"/>
      <c r="H103" s="19"/>
      <c r="I103" s="22"/>
      <c r="J103" s="22"/>
    </row>
    <row r="104" spans="1:10" s="7" customFormat="1" ht="15" customHeight="1" x14ac:dyDescent="0.2">
      <c r="A104" s="56" t="s">
        <v>132</v>
      </c>
      <c r="B104" s="57">
        <v>40103040</v>
      </c>
      <c r="C104" s="52"/>
      <c r="D104" s="51"/>
      <c r="F104" s="66"/>
      <c r="G104" s="30"/>
      <c r="H104" s="55"/>
      <c r="I104" s="22"/>
      <c r="J104" s="22"/>
    </row>
    <row r="105" spans="1:10" s="7" customFormat="1" ht="16.5" customHeight="1" x14ac:dyDescent="0.2">
      <c r="A105" s="56" t="s">
        <v>38</v>
      </c>
      <c r="B105" s="57">
        <v>40103050</v>
      </c>
      <c r="C105" s="52"/>
      <c r="D105" s="51">
        <v>5740</v>
      </c>
      <c r="F105" s="24"/>
      <c r="G105" s="30"/>
      <c r="H105" s="55"/>
      <c r="I105" s="22"/>
      <c r="J105" s="22"/>
    </row>
    <row r="106" spans="1:10" s="7" customFormat="1" ht="16.5" customHeight="1" x14ac:dyDescent="0.2">
      <c r="A106" s="56" t="s">
        <v>139</v>
      </c>
      <c r="B106" s="57">
        <v>40103060</v>
      </c>
      <c r="C106" s="52"/>
      <c r="D106" s="51"/>
      <c r="F106" s="24"/>
      <c r="G106" s="30"/>
      <c r="H106" s="19"/>
      <c r="I106" s="22"/>
      <c r="J106" s="22"/>
    </row>
    <row r="107" spans="1:10" s="7" customFormat="1" ht="16.5" customHeight="1" x14ac:dyDescent="0.2">
      <c r="A107" s="56" t="s">
        <v>126</v>
      </c>
      <c r="B107" s="57">
        <v>40103070</v>
      </c>
      <c r="C107" s="52"/>
      <c r="D107" s="51">
        <v>1190</v>
      </c>
      <c r="F107" s="24"/>
      <c r="G107" s="22"/>
      <c r="H107" s="19"/>
      <c r="I107" s="22"/>
      <c r="J107" s="22"/>
    </row>
    <row r="108" spans="1:10" s="7" customFormat="1" ht="15" hidden="1" customHeight="1" x14ac:dyDescent="0.2">
      <c r="A108" s="56" t="s">
        <v>100</v>
      </c>
      <c r="B108" s="57">
        <v>40104990</v>
      </c>
      <c r="C108" s="52"/>
      <c r="D108" s="51"/>
      <c r="F108" s="24"/>
      <c r="G108" s="41"/>
      <c r="H108" s="19"/>
      <c r="I108" s="22"/>
      <c r="J108" s="22"/>
    </row>
    <row r="109" spans="1:10" s="7" customFormat="1" ht="15" customHeight="1" x14ac:dyDescent="0.2">
      <c r="A109" s="56" t="s">
        <v>101</v>
      </c>
      <c r="B109" s="57">
        <v>40105020</v>
      </c>
      <c r="C109" s="52"/>
      <c r="D109" s="51">
        <v>26016.67</v>
      </c>
      <c r="F109" s="24"/>
      <c r="G109" s="22"/>
      <c r="H109" s="19"/>
      <c r="I109" s="22"/>
      <c r="J109" s="22"/>
    </row>
    <row r="110" spans="1:10" s="7" customFormat="1" ht="15" customHeight="1" x14ac:dyDescent="0.2">
      <c r="A110" s="56" t="s">
        <v>102</v>
      </c>
      <c r="B110" s="57">
        <v>40106010</v>
      </c>
      <c r="C110" s="52"/>
      <c r="D110" s="51">
        <v>37001148</v>
      </c>
      <c r="F110" s="24"/>
      <c r="G110" s="61"/>
      <c r="H110" s="19"/>
      <c r="I110" s="22"/>
      <c r="J110" s="22"/>
    </row>
    <row r="111" spans="1:10" s="7" customFormat="1" ht="15" hidden="1" customHeight="1" x14ac:dyDescent="0.2">
      <c r="A111" s="56" t="s">
        <v>192</v>
      </c>
      <c r="B111" s="57">
        <v>40106030</v>
      </c>
      <c r="C111" s="52"/>
      <c r="D111" s="51"/>
      <c r="F111" s="24"/>
      <c r="G111" s="22"/>
      <c r="H111" s="19"/>
      <c r="I111" s="22"/>
      <c r="J111" s="22"/>
    </row>
    <row r="112" spans="1:10" s="7" customFormat="1" ht="15" customHeight="1" x14ac:dyDescent="0.2">
      <c r="A112" s="56" t="s">
        <v>39</v>
      </c>
      <c r="B112" s="57">
        <v>40201010</v>
      </c>
      <c r="C112" s="52"/>
      <c r="D112" s="51">
        <v>791181.54</v>
      </c>
      <c r="F112" s="24"/>
      <c r="G112" s="22"/>
      <c r="H112" s="19"/>
      <c r="I112" s="22"/>
      <c r="J112" s="22"/>
    </row>
    <row r="113" spans="1:10" s="7" customFormat="1" ht="15" customHeight="1" x14ac:dyDescent="0.2">
      <c r="A113" s="56" t="s">
        <v>40</v>
      </c>
      <c r="B113" s="57">
        <v>40201020</v>
      </c>
      <c r="C113" s="52"/>
      <c r="D113" s="51">
        <v>5318</v>
      </c>
      <c r="F113" s="24"/>
      <c r="G113" s="22"/>
      <c r="H113" s="19"/>
      <c r="I113" s="22"/>
      <c r="J113" s="22"/>
    </row>
    <row r="114" spans="1:10" s="7" customFormat="1" ht="15" hidden="1" customHeight="1" x14ac:dyDescent="0.2">
      <c r="A114" s="56" t="s">
        <v>205</v>
      </c>
      <c r="B114" s="57">
        <v>40201030</v>
      </c>
      <c r="C114" s="52"/>
      <c r="D114" s="51"/>
      <c r="F114" s="24"/>
      <c r="G114" s="22"/>
      <c r="H114" s="19"/>
      <c r="I114" s="22"/>
      <c r="J114" s="22"/>
    </row>
    <row r="115" spans="1:10" s="62" customFormat="1" ht="15" customHeight="1" x14ac:dyDescent="0.2">
      <c r="A115" s="56" t="s">
        <v>41</v>
      </c>
      <c r="B115" s="57">
        <v>40201040</v>
      </c>
      <c r="C115" s="52"/>
      <c r="D115" s="51">
        <v>420640</v>
      </c>
      <c r="F115" s="63"/>
      <c r="G115" s="64"/>
      <c r="H115" s="65"/>
      <c r="I115" s="64"/>
      <c r="J115" s="64"/>
    </row>
    <row r="116" spans="1:10" s="7" customFormat="1" ht="15" customHeight="1" x14ac:dyDescent="0.2">
      <c r="A116" s="56" t="s">
        <v>43</v>
      </c>
      <c r="B116" s="57">
        <v>40201100</v>
      </c>
      <c r="C116" s="52"/>
      <c r="D116" s="51">
        <v>1274840</v>
      </c>
      <c r="F116" s="24"/>
      <c r="G116" s="22"/>
      <c r="H116" s="19"/>
      <c r="I116" s="22"/>
      <c r="J116" s="22"/>
    </row>
    <row r="117" spans="1:10" s="7" customFormat="1" ht="15" customHeight="1" x14ac:dyDescent="0.2">
      <c r="A117" s="56" t="s">
        <v>103</v>
      </c>
      <c r="B117" s="57">
        <v>40201140</v>
      </c>
      <c r="C117" s="52"/>
      <c r="D117" s="51">
        <v>161100</v>
      </c>
      <c r="F117" s="24"/>
      <c r="G117" s="22"/>
      <c r="H117" s="19"/>
      <c r="I117" s="22"/>
      <c r="J117" s="22"/>
    </row>
    <row r="118" spans="1:10" s="7" customFormat="1" ht="15" customHeight="1" x14ac:dyDescent="0.2">
      <c r="A118" s="56" t="s">
        <v>104</v>
      </c>
      <c r="B118" s="57">
        <v>40201160</v>
      </c>
      <c r="C118" s="52"/>
      <c r="D118" s="51">
        <v>17800</v>
      </c>
      <c r="F118" s="24"/>
      <c r="G118" s="22"/>
      <c r="H118" s="19"/>
      <c r="I118" s="22"/>
      <c r="J118" s="22"/>
    </row>
    <row r="119" spans="1:10" s="7" customFormat="1" ht="15" customHeight="1" x14ac:dyDescent="0.2">
      <c r="A119" s="56" t="s">
        <v>127</v>
      </c>
      <c r="B119" s="57">
        <v>40201980</v>
      </c>
      <c r="C119" s="52"/>
      <c r="D119" s="51">
        <v>34920.730000000003</v>
      </c>
      <c r="F119" s="24"/>
      <c r="G119" s="22"/>
      <c r="H119" s="19"/>
      <c r="I119" s="22"/>
      <c r="J119" s="22"/>
    </row>
    <row r="120" spans="1:10" s="7" customFormat="1" ht="15" customHeight="1" x14ac:dyDescent="0.2">
      <c r="A120" s="56" t="s">
        <v>44</v>
      </c>
      <c r="B120" s="57">
        <v>40201990</v>
      </c>
      <c r="C120" s="52"/>
      <c r="D120" s="51">
        <v>281790</v>
      </c>
      <c r="F120" s="24"/>
      <c r="G120" s="22"/>
      <c r="H120" s="19"/>
      <c r="I120" s="22"/>
      <c r="J120" s="22"/>
    </row>
    <row r="121" spans="1:10" s="7" customFormat="1" ht="15" customHeight="1" x14ac:dyDescent="0.2">
      <c r="A121" s="56" t="s">
        <v>45</v>
      </c>
      <c r="B121" s="57">
        <v>40202050</v>
      </c>
      <c r="C121" s="52"/>
      <c r="D121" s="51">
        <v>439077.96</v>
      </c>
      <c r="F121" s="24"/>
      <c r="G121" s="22"/>
      <c r="H121" s="19"/>
      <c r="I121" s="22"/>
      <c r="J121" s="22"/>
    </row>
    <row r="122" spans="1:10" s="7" customFormat="1" ht="15" customHeight="1" x14ac:dyDescent="0.2">
      <c r="A122" s="56" t="s">
        <v>105</v>
      </c>
      <c r="B122" s="57">
        <v>40202140</v>
      </c>
      <c r="C122" s="52"/>
      <c r="D122" s="51">
        <v>132905</v>
      </c>
      <c r="F122" s="24"/>
      <c r="G122" s="22"/>
      <c r="H122" s="19"/>
      <c r="I122" s="22"/>
      <c r="J122" s="22"/>
    </row>
    <row r="123" spans="1:10" s="7" customFormat="1" ht="15" customHeight="1" x14ac:dyDescent="0.2">
      <c r="A123" s="56" t="s">
        <v>106</v>
      </c>
      <c r="B123" s="57">
        <v>40202150</v>
      </c>
      <c r="C123" s="52"/>
      <c r="D123" s="51">
        <v>87500</v>
      </c>
      <c r="F123" s="24"/>
      <c r="G123" s="22"/>
      <c r="H123" s="19"/>
      <c r="I123" s="22"/>
      <c r="J123" s="22"/>
    </row>
    <row r="124" spans="1:10" s="7" customFormat="1" ht="15" customHeight="1" x14ac:dyDescent="0.2">
      <c r="A124" s="56" t="s">
        <v>107</v>
      </c>
      <c r="B124" s="57">
        <v>40202160</v>
      </c>
      <c r="C124" s="52"/>
      <c r="D124" s="51">
        <v>332900</v>
      </c>
      <c r="F124" s="24"/>
      <c r="G124" s="22"/>
      <c r="H124" s="19"/>
      <c r="I124" s="22"/>
      <c r="J124" s="22"/>
    </row>
    <row r="125" spans="1:10" s="7" customFormat="1" ht="15" customHeight="1" x14ac:dyDescent="0.2">
      <c r="A125" s="56" t="s">
        <v>42</v>
      </c>
      <c r="B125" s="57">
        <v>40202190</v>
      </c>
      <c r="C125" s="52"/>
      <c r="D125" s="51">
        <v>78450</v>
      </c>
      <c r="F125" s="24"/>
      <c r="G125" s="22"/>
      <c r="H125" s="19"/>
      <c r="I125" s="22"/>
      <c r="J125" s="22"/>
    </row>
    <row r="126" spans="1:10" s="7" customFormat="1" ht="15" customHeight="1" x14ac:dyDescent="0.2">
      <c r="A126" s="56" t="s">
        <v>131</v>
      </c>
      <c r="B126" s="57">
        <v>40202220</v>
      </c>
      <c r="C126" s="52"/>
      <c r="D126" s="51"/>
      <c r="F126" s="24"/>
      <c r="G126" s="22"/>
      <c r="H126" s="19"/>
      <c r="I126" s="22"/>
      <c r="J126" s="22"/>
    </row>
    <row r="127" spans="1:10" s="7" customFormat="1" ht="15" customHeight="1" x14ac:dyDescent="0.2">
      <c r="A127" s="56" t="s">
        <v>222</v>
      </c>
      <c r="B127" s="57">
        <v>40202980</v>
      </c>
      <c r="C127" s="52"/>
      <c r="D127" s="51"/>
      <c r="F127" s="24"/>
      <c r="G127" s="22"/>
      <c r="H127" s="19"/>
      <c r="I127" s="22"/>
      <c r="J127" s="22"/>
    </row>
    <row r="128" spans="1:10" s="7" customFormat="1" ht="15" customHeight="1" x14ac:dyDescent="0.2">
      <c r="A128" s="56" t="s">
        <v>129</v>
      </c>
      <c r="B128" s="57">
        <v>40202990</v>
      </c>
      <c r="C128" s="52"/>
      <c r="D128" s="51"/>
      <c r="F128" s="24"/>
      <c r="G128" s="22"/>
      <c r="H128" s="19"/>
      <c r="I128" s="22"/>
      <c r="J128" s="22"/>
    </row>
    <row r="129" spans="1:10" s="7" customFormat="1" ht="15" hidden="1" customHeight="1" x14ac:dyDescent="0.2">
      <c r="A129" s="56" t="s">
        <v>212</v>
      </c>
      <c r="B129" s="57">
        <v>40301010</v>
      </c>
      <c r="C129" s="52"/>
      <c r="D129" s="51"/>
      <c r="F129" s="24"/>
      <c r="G129" s="22"/>
      <c r="H129" s="19"/>
      <c r="I129" s="22"/>
      <c r="J129" s="22"/>
    </row>
    <row r="130" spans="1:10" s="7" customFormat="1" ht="15" hidden="1" customHeight="1" x14ac:dyDescent="0.2">
      <c r="A130" s="56" t="s">
        <v>217</v>
      </c>
      <c r="B130" s="57">
        <v>40302010</v>
      </c>
      <c r="C130" s="52"/>
      <c r="D130" s="51"/>
      <c r="F130" s="24"/>
      <c r="G130" s="22"/>
      <c r="H130" s="19"/>
      <c r="I130" s="22"/>
      <c r="J130" s="22"/>
    </row>
    <row r="131" spans="1:10" s="7" customFormat="1" ht="15" customHeight="1" x14ac:dyDescent="0.2">
      <c r="A131" s="56" t="s">
        <v>108</v>
      </c>
      <c r="B131" s="57">
        <v>40401020</v>
      </c>
      <c r="C131" s="52"/>
      <c r="D131" s="51">
        <v>26501.51</v>
      </c>
      <c r="F131" s="24"/>
      <c r="G131" s="22"/>
      <c r="H131" s="19"/>
      <c r="I131" s="22"/>
      <c r="J131" s="22"/>
    </row>
    <row r="132" spans="1:10" s="7" customFormat="1" ht="15" customHeight="1" x14ac:dyDescent="0.2">
      <c r="A132" s="56" t="s">
        <v>187</v>
      </c>
      <c r="B132" s="57">
        <v>40402010</v>
      </c>
      <c r="C132" s="52"/>
      <c r="D132" s="51"/>
      <c r="F132" s="24"/>
      <c r="G132" s="22"/>
      <c r="H132" s="19"/>
      <c r="I132" s="22"/>
      <c r="J132" s="22"/>
    </row>
    <row r="133" spans="1:10" s="7" customFormat="1" ht="15" customHeight="1" x14ac:dyDescent="0.2">
      <c r="A133" s="56" t="s">
        <v>227</v>
      </c>
      <c r="B133" s="57">
        <v>40402020</v>
      </c>
      <c r="C133" s="52"/>
      <c r="D133" s="51"/>
      <c r="F133" s="24"/>
      <c r="G133" s="22"/>
      <c r="H133" s="19"/>
      <c r="I133" s="22"/>
      <c r="J133" s="22"/>
    </row>
    <row r="134" spans="1:10" s="7" customFormat="1" ht="15" customHeight="1" x14ac:dyDescent="0.2">
      <c r="A134" s="56" t="s">
        <v>213</v>
      </c>
      <c r="B134" s="57">
        <v>40601010</v>
      </c>
      <c r="C134" s="52"/>
      <c r="D134" s="51"/>
      <c r="F134" s="24"/>
      <c r="G134" s="22"/>
      <c r="H134" s="19"/>
      <c r="I134" s="22"/>
      <c r="J134" s="22"/>
    </row>
    <row r="135" spans="1:10" s="7" customFormat="1" ht="15" customHeight="1" x14ac:dyDescent="0.2">
      <c r="A135" s="56" t="s">
        <v>109</v>
      </c>
      <c r="B135" s="57">
        <v>50101010</v>
      </c>
      <c r="C135" s="51">
        <v>7731698.6699999999</v>
      </c>
      <c r="D135" s="51"/>
      <c r="F135" s="24"/>
      <c r="G135" s="22"/>
      <c r="H135" s="19"/>
      <c r="I135" s="22"/>
      <c r="J135" s="22"/>
    </row>
    <row r="136" spans="1:10" s="7" customFormat="1" ht="15" customHeight="1" x14ac:dyDescent="0.2">
      <c r="A136" s="56" t="s">
        <v>110</v>
      </c>
      <c r="B136" s="57">
        <v>50101020</v>
      </c>
      <c r="C136" s="51">
        <v>1190090.1000000001</v>
      </c>
      <c r="D136" s="51"/>
      <c r="F136" s="24"/>
      <c r="G136" s="22"/>
      <c r="H136" s="19"/>
      <c r="I136" s="22"/>
      <c r="J136" s="22"/>
    </row>
    <row r="137" spans="1:10" s="7" customFormat="1" ht="15" customHeight="1" x14ac:dyDescent="0.2">
      <c r="A137" s="56" t="s">
        <v>57</v>
      </c>
      <c r="B137" s="57">
        <v>50102010</v>
      </c>
      <c r="C137" s="51">
        <v>883059.6</v>
      </c>
      <c r="D137" s="51"/>
      <c r="F137" s="24"/>
      <c r="G137" s="22"/>
      <c r="H137" s="19"/>
      <c r="I137" s="22"/>
      <c r="J137" s="22"/>
    </row>
    <row r="138" spans="1:10" s="7" customFormat="1" ht="15" customHeight="1" x14ac:dyDescent="0.2">
      <c r="A138" s="56" t="s">
        <v>111</v>
      </c>
      <c r="B138" s="57">
        <v>50102020</v>
      </c>
      <c r="C138" s="51">
        <v>312000</v>
      </c>
      <c r="D138" s="51"/>
      <c r="F138" s="24"/>
      <c r="G138" s="22"/>
      <c r="H138" s="19"/>
      <c r="I138" s="22"/>
      <c r="J138" s="22"/>
    </row>
    <row r="139" spans="1:10" s="7" customFormat="1" ht="15" customHeight="1" x14ac:dyDescent="0.2">
      <c r="A139" s="56" t="s">
        <v>112</v>
      </c>
      <c r="B139" s="57">
        <v>50102030</v>
      </c>
      <c r="C139" s="51">
        <v>312000</v>
      </c>
      <c r="D139" s="51"/>
      <c r="F139" s="24"/>
      <c r="G139" s="22"/>
      <c r="H139" s="19"/>
      <c r="I139" s="22"/>
      <c r="J139" s="22"/>
    </row>
    <row r="140" spans="1:10" s="7" customFormat="1" ht="15" customHeight="1" x14ac:dyDescent="0.2">
      <c r="A140" s="56" t="s">
        <v>58</v>
      </c>
      <c r="B140" s="57">
        <v>50102040</v>
      </c>
      <c r="C140" s="51">
        <v>1206000</v>
      </c>
      <c r="D140" s="51"/>
      <c r="F140" s="24"/>
      <c r="G140" s="22"/>
      <c r="H140" s="19"/>
      <c r="I140" s="22"/>
      <c r="J140" s="22"/>
    </row>
    <row r="141" spans="1:10" s="7" customFormat="1" ht="15" customHeight="1" x14ac:dyDescent="0.2">
      <c r="A141" s="56" t="s">
        <v>113</v>
      </c>
      <c r="B141" s="57">
        <v>50102050</v>
      </c>
      <c r="C141" s="51">
        <v>64800</v>
      </c>
      <c r="D141" s="51"/>
      <c r="F141" s="24"/>
      <c r="G141" s="22"/>
      <c r="H141" s="19"/>
      <c r="I141" s="22"/>
      <c r="J141" s="22"/>
    </row>
    <row r="142" spans="1:10" s="7" customFormat="1" ht="15" customHeight="1" x14ac:dyDescent="0.2">
      <c r="A142" s="56" t="s">
        <v>114</v>
      </c>
      <c r="B142" s="57">
        <v>50102060</v>
      </c>
      <c r="C142" s="51">
        <v>5836.32</v>
      </c>
      <c r="D142" s="51"/>
      <c r="F142" s="24"/>
      <c r="G142" s="22"/>
      <c r="H142" s="19"/>
      <c r="I142" s="22"/>
      <c r="J142" s="22"/>
    </row>
    <row r="143" spans="1:10" s="7" customFormat="1" ht="15" customHeight="1" x14ac:dyDescent="0.2">
      <c r="A143" s="56" t="s">
        <v>20</v>
      </c>
      <c r="B143" s="57">
        <v>50102100</v>
      </c>
      <c r="C143" s="51"/>
      <c r="D143" s="51"/>
      <c r="F143" s="24"/>
      <c r="G143" s="22"/>
      <c r="H143" s="19"/>
      <c r="I143" s="22"/>
      <c r="J143" s="22"/>
    </row>
    <row r="144" spans="1:10" s="7" customFormat="1" ht="15" customHeight="1" x14ac:dyDescent="0.2">
      <c r="A144" s="56" t="s">
        <v>21</v>
      </c>
      <c r="B144" s="57">
        <v>50102110</v>
      </c>
      <c r="C144" s="51">
        <v>134334.1</v>
      </c>
      <c r="D144" s="51"/>
      <c r="F144" s="24"/>
      <c r="G144" s="22"/>
      <c r="H144" s="19"/>
      <c r="I144" s="22"/>
      <c r="J144" s="22"/>
    </row>
    <row r="145" spans="1:10" s="7" customFormat="1" ht="15" customHeight="1" x14ac:dyDescent="0.2">
      <c r="A145" s="56" t="s">
        <v>140</v>
      </c>
      <c r="B145" s="57">
        <v>50102130</v>
      </c>
      <c r="C145" s="51">
        <v>7118.08</v>
      </c>
      <c r="D145" s="51"/>
      <c r="F145" s="24"/>
      <c r="G145" s="22"/>
      <c r="H145" s="19"/>
      <c r="I145" s="22"/>
      <c r="J145" s="22"/>
    </row>
    <row r="146" spans="1:10" s="7" customFormat="1" ht="15" customHeight="1" x14ac:dyDescent="0.2">
      <c r="A146" s="56" t="s">
        <v>141</v>
      </c>
      <c r="B146" s="57">
        <v>50102140</v>
      </c>
      <c r="C146" s="51"/>
      <c r="D146" s="51"/>
      <c r="F146" s="24"/>
      <c r="G146" s="22"/>
      <c r="H146" s="19"/>
      <c r="I146" s="22"/>
      <c r="J146" s="22"/>
    </row>
    <row r="147" spans="1:10" s="7" customFormat="1" ht="18" customHeight="1" x14ac:dyDescent="0.2">
      <c r="A147" s="56" t="s">
        <v>142</v>
      </c>
      <c r="B147" s="57">
        <v>50102150</v>
      </c>
      <c r="C147" s="51"/>
      <c r="D147" s="51"/>
      <c r="F147" s="24"/>
      <c r="G147" s="22"/>
      <c r="H147" s="19"/>
      <c r="I147" s="22"/>
      <c r="J147" s="22"/>
    </row>
    <row r="148" spans="1:10" s="7" customFormat="1" ht="18" customHeight="1" x14ac:dyDescent="0.2">
      <c r="A148" s="56" t="s">
        <v>143</v>
      </c>
      <c r="B148" s="57">
        <v>50102990</v>
      </c>
      <c r="C148" s="51"/>
      <c r="D148" s="51"/>
      <c r="F148" s="24"/>
      <c r="G148" s="22"/>
      <c r="H148" s="19"/>
      <c r="I148" s="22"/>
      <c r="J148" s="22"/>
    </row>
    <row r="149" spans="1:10" s="7" customFormat="1" ht="18" customHeight="1" x14ac:dyDescent="0.2">
      <c r="A149" s="56" t="s">
        <v>115</v>
      </c>
      <c r="B149" s="57">
        <v>50103010</v>
      </c>
      <c r="C149" s="51">
        <v>1038299.01</v>
      </c>
      <c r="D149" s="51"/>
      <c r="F149" s="24"/>
      <c r="G149" s="22"/>
      <c r="H149" s="19"/>
      <c r="I149" s="22"/>
      <c r="J149" s="22"/>
    </row>
    <row r="150" spans="1:10" s="7" customFormat="1" ht="18" customHeight="1" x14ac:dyDescent="0.2">
      <c r="A150" s="56" t="s">
        <v>59</v>
      </c>
      <c r="B150" s="57">
        <v>50103020</v>
      </c>
      <c r="C150" s="51">
        <v>45800</v>
      </c>
      <c r="D150" s="51"/>
      <c r="F150" s="24"/>
      <c r="G150" s="22"/>
      <c r="H150" s="19"/>
      <c r="I150" s="22"/>
      <c r="J150" s="22"/>
    </row>
    <row r="151" spans="1:10" s="7" customFormat="1" ht="15" customHeight="1" x14ac:dyDescent="0.2">
      <c r="A151" s="56" t="s">
        <v>60</v>
      </c>
      <c r="B151" s="57">
        <v>50103030</v>
      </c>
      <c r="C151" s="51">
        <v>129607.73</v>
      </c>
      <c r="D151" s="51"/>
      <c r="F151" s="24"/>
      <c r="G151" s="22"/>
      <c r="H151" s="19"/>
      <c r="I151" s="22"/>
      <c r="J151" s="22"/>
    </row>
    <row r="152" spans="1:10" s="7" customFormat="1" ht="15" customHeight="1" x14ac:dyDescent="0.2">
      <c r="A152" s="56" t="s">
        <v>116</v>
      </c>
      <c r="B152" s="57">
        <v>50103040</v>
      </c>
      <c r="C152" s="51">
        <v>40013.65</v>
      </c>
      <c r="D152" s="51"/>
      <c r="F152" s="24"/>
      <c r="G152" s="22"/>
      <c r="H152" s="19"/>
      <c r="I152" s="22"/>
      <c r="J152" s="22"/>
    </row>
    <row r="153" spans="1:10" s="62" customFormat="1" ht="15" customHeight="1" x14ac:dyDescent="0.2">
      <c r="A153" s="56" t="s">
        <v>46</v>
      </c>
      <c r="B153" s="57">
        <v>50104030</v>
      </c>
      <c r="C153" s="51">
        <v>545497.14</v>
      </c>
      <c r="D153" s="51"/>
      <c r="F153" s="63"/>
      <c r="G153" s="64"/>
      <c r="H153" s="65"/>
      <c r="I153" s="64"/>
      <c r="J153" s="64"/>
    </row>
    <row r="154" spans="1:10" s="7" customFormat="1" ht="15" customHeight="1" x14ac:dyDescent="0.2">
      <c r="A154" s="56" t="s">
        <v>203</v>
      </c>
      <c r="B154" s="57">
        <v>50104990</v>
      </c>
      <c r="C154" s="51">
        <v>117368.99</v>
      </c>
      <c r="D154" s="51"/>
      <c r="F154" s="24"/>
      <c r="G154" s="22"/>
      <c r="H154" s="19"/>
      <c r="I154" s="22"/>
      <c r="J154" s="22"/>
    </row>
    <row r="155" spans="1:10" s="7" customFormat="1" ht="15" customHeight="1" x14ac:dyDescent="0.2">
      <c r="A155" s="56" t="s">
        <v>117</v>
      </c>
      <c r="B155" s="57">
        <v>50201010</v>
      </c>
      <c r="C155" s="51"/>
      <c r="D155" s="51"/>
      <c r="F155" s="24"/>
      <c r="G155" s="22"/>
      <c r="H155" s="19"/>
      <c r="I155" s="22"/>
      <c r="J155" s="22"/>
    </row>
    <row r="156" spans="1:10" s="7" customFormat="1" ht="15" customHeight="1" x14ac:dyDescent="0.2">
      <c r="A156" s="56" t="s">
        <v>47</v>
      </c>
      <c r="B156" s="57">
        <v>50202010</v>
      </c>
      <c r="C156" s="51"/>
      <c r="D156" s="51"/>
      <c r="F156" s="24"/>
      <c r="G156" s="22"/>
      <c r="H156" s="19"/>
      <c r="I156" s="22"/>
      <c r="J156" s="22"/>
    </row>
    <row r="157" spans="1:10" s="7" customFormat="1" ht="15" customHeight="1" x14ac:dyDescent="0.2">
      <c r="A157" s="56" t="s">
        <v>23</v>
      </c>
      <c r="B157" s="57">
        <v>50203010</v>
      </c>
      <c r="C157" s="51"/>
      <c r="D157" s="51"/>
      <c r="F157" s="24"/>
      <c r="G157" s="22"/>
      <c r="H157" s="19"/>
      <c r="I157" s="22"/>
      <c r="J157" s="22"/>
    </row>
    <row r="158" spans="1:10" s="7" customFormat="1" ht="15" customHeight="1" x14ac:dyDescent="0.2">
      <c r="A158" s="56" t="s">
        <v>48</v>
      </c>
      <c r="B158" s="57">
        <v>50203020</v>
      </c>
      <c r="C158" s="51">
        <v>41700</v>
      </c>
      <c r="D158" s="51"/>
      <c r="F158" s="24"/>
      <c r="G158" s="22"/>
      <c r="H158" s="19"/>
      <c r="I158" s="22"/>
      <c r="J158" s="22"/>
    </row>
    <row r="159" spans="1:10" s="7" customFormat="1" ht="15" customHeight="1" x14ac:dyDescent="0.2">
      <c r="A159" s="56" t="s">
        <v>206</v>
      </c>
      <c r="B159" s="57">
        <v>50203030</v>
      </c>
      <c r="C159" s="51"/>
      <c r="D159" s="51"/>
      <c r="F159" s="24"/>
      <c r="G159" s="22"/>
      <c r="H159" s="19"/>
      <c r="I159" s="22"/>
      <c r="J159" s="22"/>
    </row>
    <row r="160" spans="1:10" s="7" customFormat="1" ht="15" hidden="1" customHeight="1" x14ac:dyDescent="0.2">
      <c r="A160" s="56" t="s">
        <v>198</v>
      </c>
      <c r="B160" s="57">
        <v>50203040</v>
      </c>
      <c r="C160" s="51"/>
      <c r="D160" s="51"/>
      <c r="F160" s="24"/>
      <c r="G160" s="22"/>
      <c r="H160" s="19"/>
      <c r="I160" s="22"/>
      <c r="J160" s="22"/>
    </row>
    <row r="161" spans="1:10" s="7" customFormat="1" ht="15" customHeight="1" x14ac:dyDescent="0.2">
      <c r="A161" s="56" t="s">
        <v>201</v>
      </c>
      <c r="B161" s="57">
        <v>50203050</v>
      </c>
      <c r="C161" s="51"/>
      <c r="D161" s="51"/>
      <c r="F161" s="24"/>
      <c r="G161" s="22"/>
      <c r="H161" s="19"/>
      <c r="I161" s="22"/>
      <c r="J161" s="22"/>
    </row>
    <row r="162" spans="1:10" s="7" customFormat="1" ht="15" hidden="1" customHeight="1" x14ac:dyDescent="0.2">
      <c r="A162" s="56" t="s">
        <v>144</v>
      </c>
      <c r="B162" s="57">
        <v>50203060</v>
      </c>
      <c r="C162" s="51"/>
      <c r="D162" s="51"/>
      <c r="F162" s="24"/>
      <c r="G162" s="22"/>
      <c r="H162" s="19"/>
      <c r="I162" s="22"/>
      <c r="J162" s="22"/>
    </row>
    <row r="163" spans="1:10" s="7" customFormat="1" ht="15" hidden="1" customHeight="1" x14ac:dyDescent="0.2">
      <c r="A163" s="56" t="s">
        <v>145</v>
      </c>
      <c r="B163" s="57">
        <v>50203070</v>
      </c>
      <c r="C163" s="51"/>
      <c r="D163" s="51"/>
      <c r="F163" s="24"/>
      <c r="G163" s="22"/>
      <c r="H163" s="19"/>
      <c r="I163" s="22"/>
      <c r="J163" s="22"/>
    </row>
    <row r="164" spans="1:10" s="7" customFormat="1" ht="15" customHeight="1" x14ac:dyDescent="0.2">
      <c r="A164" s="56" t="s">
        <v>146</v>
      </c>
      <c r="B164" s="57">
        <v>50203080</v>
      </c>
      <c r="C164" s="51"/>
      <c r="D164" s="51"/>
      <c r="F164" s="24"/>
      <c r="G164" s="22"/>
      <c r="H164" s="19"/>
      <c r="I164" s="22"/>
      <c r="J164" s="22"/>
    </row>
    <row r="165" spans="1:10" s="7" customFormat="1" ht="17.25" customHeight="1" x14ac:dyDescent="0.2">
      <c r="A165" s="56" t="s">
        <v>118</v>
      </c>
      <c r="B165" s="57">
        <v>50203090</v>
      </c>
      <c r="C165" s="51">
        <v>130129.8</v>
      </c>
      <c r="D165" s="51"/>
      <c r="F165" s="24"/>
      <c r="G165" s="22"/>
      <c r="H165" s="19"/>
      <c r="I165" s="22"/>
      <c r="J165" s="22"/>
    </row>
    <row r="166" spans="1:10" s="7" customFormat="1" ht="15" customHeight="1" x14ac:dyDescent="0.2">
      <c r="A166" s="56" t="s">
        <v>147</v>
      </c>
      <c r="B166" s="57">
        <v>50203100</v>
      </c>
      <c r="C166" s="51"/>
      <c r="D166" s="51"/>
      <c r="F166" s="24"/>
      <c r="G166" s="22"/>
      <c r="H166" s="19"/>
      <c r="I166" s="22"/>
      <c r="J166" s="22"/>
    </row>
    <row r="167" spans="1:10" s="7" customFormat="1" ht="15" customHeight="1" x14ac:dyDescent="0.2">
      <c r="A167" s="56" t="s">
        <v>119</v>
      </c>
      <c r="B167" s="57">
        <v>50203990</v>
      </c>
      <c r="C167" s="51"/>
      <c r="D167" s="51"/>
      <c r="F167" s="24"/>
      <c r="G167" s="22"/>
      <c r="H167" s="19"/>
      <c r="I167" s="22"/>
      <c r="J167" s="22"/>
    </row>
    <row r="168" spans="1:10" s="7" customFormat="1" ht="15" customHeight="1" x14ac:dyDescent="0.2">
      <c r="A168" s="56" t="s">
        <v>25</v>
      </c>
      <c r="B168" s="57">
        <v>50204010</v>
      </c>
      <c r="C168" s="51">
        <v>57607.5</v>
      </c>
      <c r="D168" s="51"/>
      <c r="F168" s="24"/>
      <c r="G168" s="22"/>
      <c r="H168" s="19"/>
      <c r="I168" s="22"/>
      <c r="J168" s="22"/>
    </row>
    <row r="169" spans="1:10" s="7" customFormat="1" ht="15" customHeight="1" x14ac:dyDescent="0.2">
      <c r="A169" s="14" t="s">
        <v>26</v>
      </c>
      <c r="B169" s="15">
        <v>50204020</v>
      </c>
      <c r="C169" s="51">
        <v>436053.1</v>
      </c>
      <c r="D169" s="51"/>
      <c r="F169" s="24"/>
      <c r="G169" s="22"/>
      <c r="H169" s="19"/>
      <c r="I169" s="22"/>
      <c r="J169" s="22"/>
    </row>
    <row r="170" spans="1:10" s="7" customFormat="1" ht="15" customHeight="1" x14ac:dyDescent="0.2">
      <c r="A170" s="14" t="s">
        <v>167</v>
      </c>
      <c r="B170" s="15">
        <v>50205010</v>
      </c>
      <c r="C170" s="51"/>
      <c r="D170" s="51"/>
      <c r="F170" s="24"/>
      <c r="G170" s="22"/>
      <c r="H170" s="19"/>
      <c r="I170" s="22"/>
      <c r="J170" s="22"/>
    </row>
    <row r="171" spans="1:10" s="7" customFormat="1" ht="15" customHeight="1" x14ac:dyDescent="0.2">
      <c r="A171" s="14" t="s">
        <v>151</v>
      </c>
      <c r="B171" s="15">
        <v>50205020</v>
      </c>
      <c r="C171" s="51">
        <v>90000</v>
      </c>
      <c r="D171" s="51"/>
      <c r="F171" s="24"/>
      <c r="G171" s="22"/>
      <c r="H171" s="19"/>
      <c r="I171" s="22"/>
      <c r="J171" s="22"/>
    </row>
    <row r="172" spans="1:10" s="7" customFormat="1" ht="15" customHeight="1" x14ac:dyDescent="0.2">
      <c r="A172" s="14" t="s">
        <v>148</v>
      </c>
      <c r="B172" s="15">
        <v>50205030</v>
      </c>
      <c r="C172" s="51">
        <v>37898</v>
      </c>
      <c r="D172" s="51"/>
      <c r="F172" s="24"/>
      <c r="G172" s="22"/>
      <c r="H172" s="19"/>
      <c r="I172" s="22"/>
      <c r="J172" s="22"/>
    </row>
    <row r="173" spans="1:10" s="7" customFormat="1" ht="15" hidden="1" customHeight="1" x14ac:dyDescent="0.2">
      <c r="A173" s="14" t="s">
        <v>194</v>
      </c>
      <c r="B173" s="15">
        <v>50206010</v>
      </c>
      <c r="C173" s="51"/>
      <c r="D173" s="51"/>
      <c r="F173" s="24"/>
      <c r="G173" s="22"/>
      <c r="H173" s="19"/>
      <c r="I173" s="22"/>
      <c r="J173" s="22"/>
    </row>
    <row r="174" spans="1:10" s="7" customFormat="1" ht="15" customHeight="1" x14ac:dyDescent="0.2">
      <c r="A174" s="14" t="s">
        <v>199</v>
      </c>
      <c r="B174" s="15">
        <v>50206020</v>
      </c>
      <c r="C174" s="51"/>
      <c r="D174" s="51"/>
      <c r="F174" s="24"/>
      <c r="G174" s="22"/>
      <c r="H174" s="19"/>
      <c r="I174" s="22"/>
      <c r="J174" s="22"/>
    </row>
    <row r="175" spans="1:10" s="7" customFormat="1" ht="15" hidden="1" customHeight="1" x14ac:dyDescent="0.2">
      <c r="A175" s="14" t="s">
        <v>215</v>
      </c>
      <c r="B175" s="15">
        <v>50207010</v>
      </c>
      <c r="C175" s="51"/>
      <c r="D175" s="51"/>
      <c r="F175" s="24"/>
      <c r="G175" s="22"/>
      <c r="H175" s="19"/>
      <c r="I175" s="22"/>
      <c r="J175" s="22"/>
    </row>
    <row r="176" spans="1:10" s="7" customFormat="1" ht="15" hidden="1" customHeight="1" x14ac:dyDescent="0.2">
      <c r="A176" s="14" t="s">
        <v>185</v>
      </c>
      <c r="B176" s="15">
        <v>50207020</v>
      </c>
      <c r="C176" s="51"/>
      <c r="D176" s="51"/>
      <c r="F176" s="24"/>
      <c r="G176" s="22"/>
      <c r="H176" s="19"/>
      <c r="I176" s="22"/>
      <c r="J176" s="22"/>
    </row>
    <row r="177" spans="1:10" s="7" customFormat="1" ht="15" customHeight="1" x14ac:dyDescent="0.2">
      <c r="A177" s="14" t="s">
        <v>149</v>
      </c>
      <c r="B177" s="15">
        <v>50210030</v>
      </c>
      <c r="C177" s="51"/>
      <c r="D177" s="51"/>
      <c r="F177" s="24"/>
      <c r="G177" s="22"/>
      <c r="H177" s="19"/>
      <c r="I177" s="22"/>
      <c r="J177" s="22"/>
    </row>
    <row r="178" spans="1:10" s="7" customFormat="1" ht="15" customHeight="1" x14ac:dyDescent="0.2">
      <c r="A178" s="14" t="s">
        <v>150</v>
      </c>
      <c r="B178" s="15">
        <v>50211010</v>
      </c>
      <c r="C178" s="51"/>
      <c r="D178" s="51"/>
      <c r="F178" s="24"/>
      <c r="G178" s="22"/>
      <c r="H178" s="19"/>
      <c r="I178" s="22"/>
      <c r="J178" s="22"/>
    </row>
    <row r="179" spans="1:10" s="7" customFormat="1" ht="15" hidden="1" customHeight="1" x14ac:dyDescent="0.2">
      <c r="A179" s="14" t="s">
        <v>66</v>
      </c>
      <c r="B179" s="15">
        <v>50211020</v>
      </c>
      <c r="C179" s="51"/>
      <c r="D179" s="51"/>
      <c r="F179" s="24"/>
      <c r="G179" s="22"/>
      <c r="H179" s="19"/>
      <c r="I179" s="22"/>
      <c r="J179" s="22"/>
    </row>
    <row r="180" spans="1:10" s="7" customFormat="1" ht="15" hidden="1" customHeight="1" x14ac:dyDescent="0.2">
      <c r="A180" s="14" t="s">
        <v>27</v>
      </c>
      <c r="B180" s="15">
        <v>50211030</v>
      </c>
      <c r="C180" s="51"/>
      <c r="D180" s="51"/>
      <c r="F180" s="24"/>
      <c r="G180" s="22"/>
      <c r="H180" s="19"/>
      <c r="I180" s="22"/>
      <c r="J180" s="22"/>
    </row>
    <row r="181" spans="1:10" s="7" customFormat="1" ht="15" customHeight="1" x14ac:dyDescent="0.2">
      <c r="A181" s="14" t="s">
        <v>63</v>
      </c>
      <c r="B181" s="15">
        <v>50211990</v>
      </c>
      <c r="C181" s="51">
        <v>854000</v>
      </c>
      <c r="D181" s="51"/>
      <c r="F181" s="24"/>
      <c r="G181" s="22"/>
      <c r="H181" s="19"/>
      <c r="I181" s="22"/>
      <c r="J181" s="22"/>
    </row>
    <row r="182" spans="1:10" s="7" customFormat="1" ht="15" customHeight="1" x14ac:dyDescent="0.2">
      <c r="A182" s="14" t="s">
        <v>216</v>
      </c>
      <c r="B182" s="15">
        <v>50212030</v>
      </c>
      <c r="C182" s="51"/>
      <c r="D182" s="51"/>
      <c r="F182" s="24"/>
      <c r="G182" s="22"/>
      <c r="H182" s="19"/>
      <c r="I182" s="22"/>
      <c r="J182" s="22"/>
    </row>
    <row r="183" spans="1:10" s="7" customFormat="1" ht="15" customHeight="1" x14ac:dyDescent="0.2">
      <c r="A183" s="14" t="s">
        <v>202</v>
      </c>
      <c r="B183" s="15">
        <v>50212990</v>
      </c>
      <c r="C183" s="51">
        <v>2809690</v>
      </c>
      <c r="D183" s="51"/>
      <c r="F183" s="24"/>
      <c r="G183" s="22"/>
      <c r="H183" s="19"/>
      <c r="I183" s="22"/>
      <c r="J183" s="22"/>
    </row>
    <row r="184" spans="1:10" s="7" customFormat="1" ht="15" customHeight="1" x14ac:dyDescent="0.2">
      <c r="A184" s="14" t="s">
        <v>224</v>
      </c>
      <c r="B184" s="15">
        <v>50213020</v>
      </c>
      <c r="C184" s="51"/>
      <c r="D184" s="51"/>
      <c r="F184" s="24"/>
      <c r="G184" s="22"/>
      <c r="H184" s="19"/>
      <c r="I184" s="22"/>
      <c r="J184" s="22"/>
    </row>
    <row r="185" spans="1:10" s="7" customFormat="1" ht="15" customHeight="1" x14ac:dyDescent="0.2">
      <c r="A185" s="14" t="s">
        <v>186</v>
      </c>
      <c r="B185" s="15">
        <v>50213030</v>
      </c>
      <c r="C185" s="51">
        <v>182495</v>
      </c>
      <c r="D185" s="16"/>
      <c r="F185" s="24"/>
      <c r="G185" s="22"/>
      <c r="H185" s="19"/>
      <c r="I185" s="22"/>
      <c r="J185" s="22"/>
    </row>
    <row r="186" spans="1:10" s="7" customFormat="1" ht="15" customHeight="1" x14ac:dyDescent="0.2">
      <c r="A186" s="14" t="s">
        <v>120</v>
      </c>
      <c r="B186" s="15">
        <v>50213040</v>
      </c>
      <c r="C186" s="51"/>
      <c r="D186" s="16"/>
      <c r="F186" s="24"/>
      <c r="G186" s="22"/>
      <c r="H186" s="19"/>
      <c r="I186" s="22"/>
      <c r="J186" s="22"/>
    </row>
    <row r="187" spans="1:10" s="7" customFormat="1" ht="15" customHeight="1" x14ac:dyDescent="0.2">
      <c r="A187" s="14" t="s">
        <v>121</v>
      </c>
      <c r="B187" s="15">
        <v>50213050</v>
      </c>
      <c r="C187" s="51"/>
      <c r="D187" s="16"/>
      <c r="F187" s="24"/>
      <c r="G187" s="22"/>
      <c r="H187" s="19"/>
      <c r="I187" s="22"/>
      <c r="J187" s="22"/>
    </row>
    <row r="188" spans="1:10" s="7" customFormat="1" ht="15" customHeight="1" x14ac:dyDescent="0.2">
      <c r="A188" s="14" t="s">
        <v>122</v>
      </c>
      <c r="B188" s="15">
        <v>50213060</v>
      </c>
      <c r="C188" s="51"/>
      <c r="D188" s="16"/>
      <c r="F188" s="24"/>
      <c r="G188" s="22"/>
      <c r="H188" s="19"/>
      <c r="I188" s="22"/>
      <c r="J188" s="22"/>
    </row>
    <row r="189" spans="1:10" s="7" customFormat="1" ht="15" customHeight="1" x14ac:dyDescent="0.2">
      <c r="A189" s="14" t="s">
        <v>152</v>
      </c>
      <c r="B189" s="15">
        <v>50213070</v>
      </c>
      <c r="C189" s="51"/>
      <c r="D189" s="16"/>
      <c r="F189" s="24"/>
      <c r="G189" s="22"/>
      <c r="H189" s="19"/>
      <c r="I189" s="22"/>
      <c r="J189" s="22"/>
    </row>
    <row r="190" spans="1:10" s="7" customFormat="1" ht="15" hidden="1" customHeight="1" x14ac:dyDescent="0.2">
      <c r="A190" s="14" t="s">
        <v>170</v>
      </c>
      <c r="B190" s="15">
        <v>50213990</v>
      </c>
      <c r="C190" s="51"/>
      <c r="D190" s="16"/>
      <c r="F190" s="24"/>
      <c r="G190" s="22"/>
      <c r="H190" s="19"/>
      <c r="I190" s="22"/>
      <c r="J190" s="22"/>
    </row>
    <row r="191" spans="1:10" s="7" customFormat="1" ht="15" customHeight="1" x14ac:dyDescent="0.2">
      <c r="A191" s="14" t="s">
        <v>153</v>
      </c>
      <c r="B191" s="15">
        <v>50214030</v>
      </c>
      <c r="C191" s="51">
        <v>248173.95</v>
      </c>
      <c r="D191" s="16"/>
      <c r="F191" s="24"/>
      <c r="G191" s="22"/>
      <c r="H191" s="19"/>
      <c r="I191" s="22"/>
      <c r="J191" s="22"/>
    </row>
    <row r="192" spans="1:10" s="7" customFormat="1" ht="15" hidden="1" customHeight="1" x14ac:dyDescent="0.2">
      <c r="A192" s="14" t="s">
        <v>220</v>
      </c>
      <c r="B192" s="15">
        <v>50214060</v>
      </c>
      <c r="C192" s="51"/>
      <c r="D192" s="16"/>
      <c r="F192" s="24"/>
      <c r="G192" s="22"/>
      <c r="H192" s="19"/>
      <c r="I192" s="22"/>
      <c r="J192" s="22"/>
    </row>
    <row r="193" spans="1:10" s="7" customFormat="1" ht="15" hidden="1" customHeight="1" x14ac:dyDescent="0.2">
      <c r="A193" s="14" t="s">
        <v>211</v>
      </c>
      <c r="B193" s="15">
        <v>50215020</v>
      </c>
      <c r="C193" s="51"/>
      <c r="D193" s="16"/>
      <c r="F193" s="24"/>
      <c r="G193" s="22"/>
      <c r="H193" s="19"/>
      <c r="I193" s="22"/>
      <c r="J193" s="22"/>
    </row>
    <row r="194" spans="1:10" s="7" customFormat="1" ht="15" customHeight="1" x14ac:dyDescent="0.2">
      <c r="A194" s="14" t="s">
        <v>154</v>
      </c>
      <c r="B194" s="15">
        <v>50216010</v>
      </c>
      <c r="C194" s="51"/>
      <c r="D194" s="16"/>
      <c r="F194" s="24"/>
      <c r="G194" s="22"/>
      <c r="H194" s="19"/>
      <c r="I194" s="22"/>
      <c r="J194" s="22"/>
    </row>
    <row r="195" spans="1:10" s="7" customFormat="1" ht="15" customHeight="1" x14ac:dyDescent="0.2">
      <c r="A195" s="14" t="s">
        <v>155</v>
      </c>
      <c r="B195" s="15">
        <v>50216020</v>
      </c>
      <c r="C195" s="51"/>
      <c r="D195" s="16"/>
      <c r="F195" s="24"/>
      <c r="G195" s="22"/>
      <c r="H195" s="19"/>
      <c r="I195" s="22"/>
      <c r="J195" s="22"/>
    </row>
    <row r="196" spans="1:10" s="7" customFormat="1" ht="15" customHeight="1" x14ac:dyDescent="0.2">
      <c r="A196" s="14" t="s">
        <v>156</v>
      </c>
      <c r="B196" s="15">
        <v>50216030</v>
      </c>
      <c r="C196" s="51">
        <v>399231.84</v>
      </c>
      <c r="D196" s="16"/>
      <c r="F196" s="24"/>
      <c r="G196" s="22"/>
      <c r="H196" s="19"/>
      <c r="I196" s="22"/>
      <c r="J196" s="22"/>
    </row>
    <row r="197" spans="1:10" s="7" customFormat="1" ht="15" customHeight="1" x14ac:dyDescent="0.2">
      <c r="A197" s="14" t="s">
        <v>157</v>
      </c>
      <c r="B197" s="15">
        <v>50299010</v>
      </c>
      <c r="C197" s="51"/>
      <c r="D197" s="16"/>
      <c r="F197" s="24"/>
      <c r="G197" s="22"/>
      <c r="H197" s="19"/>
      <c r="I197" s="22"/>
      <c r="J197" s="22"/>
    </row>
    <row r="198" spans="1:10" s="7" customFormat="1" ht="15" hidden="1" customHeight="1" x14ac:dyDescent="0.2">
      <c r="A198" s="14" t="s">
        <v>158</v>
      </c>
      <c r="B198" s="15">
        <v>50299020</v>
      </c>
      <c r="C198" s="51"/>
      <c r="D198" s="16"/>
      <c r="F198" s="24"/>
      <c r="G198" s="22"/>
      <c r="H198" s="19"/>
      <c r="I198" s="22"/>
      <c r="J198" s="22"/>
    </row>
    <row r="199" spans="1:10" s="7" customFormat="1" ht="15" customHeight="1" x14ac:dyDescent="0.2">
      <c r="A199" s="14" t="s">
        <v>24</v>
      </c>
      <c r="B199" s="15">
        <v>50299030</v>
      </c>
      <c r="C199" s="51"/>
      <c r="D199" s="16"/>
      <c r="F199" s="24"/>
      <c r="G199" s="22"/>
      <c r="H199" s="19"/>
      <c r="I199" s="22"/>
      <c r="J199" s="22"/>
    </row>
    <row r="200" spans="1:10" s="7" customFormat="1" ht="15" customHeight="1" x14ac:dyDescent="0.2">
      <c r="A200" s="14" t="s">
        <v>159</v>
      </c>
      <c r="B200" s="15">
        <v>50299050</v>
      </c>
      <c r="C200" s="51"/>
      <c r="D200" s="16"/>
      <c r="F200" s="24"/>
      <c r="G200" s="22"/>
      <c r="H200" s="19"/>
      <c r="I200" s="22"/>
      <c r="J200" s="22"/>
    </row>
    <row r="201" spans="1:10" s="7" customFormat="1" ht="15" customHeight="1" x14ac:dyDescent="0.2">
      <c r="A201" s="14" t="s">
        <v>160</v>
      </c>
      <c r="B201" s="15">
        <v>50299060</v>
      </c>
      <c r="C201" s="51"/>
      <c r="D201" s="16"/>
      <c r="F201" s="24"/>
      <c r="G201" s="22"/>
      <c r="H201" s="19"/>
      <c r="I201" s="22"/>
      <c r="J201" s="22"/>
    </row>
    <row r="202" spans="1:10" s="7" customFormat="1" ht="15" customHeight="1" x14ac:dyDescent="0.2">
      <c r="A202" s="14" t="s">
        <v>28</v>
      </c>
      <c r="B202" s="15">
        <v>50299080</v>
      </c>
      <c r="C202" s="51"/>
      <c r="D202" s="16"/>
      <c r="F202" s="24"/>
      <c r="G202" s="22"/>
      <c r="H202" s="19"/>
      <c r="I202" s="22"/>
      <c r="J202" s="22"/>
    </row>
    <row r="203" spans="1:10" s="7" customFormat="1" ht="15" customHeight="1" x14ac:dyDescent="0.2">
      <c r="A203" s="14" t="s">
        <v>168</v>
      </c>
      <c r="B203" s="15">
        <v>50299990</v>
      </c>
      <c r="C203" s="51"/>
      <c r="D203" s="16"/>
      <c r="F203" s="24"/>
      <c r="G203" s="22"/>
      <c r="H203" s="19"/>
      <c r="I203" s="22"/>
      <c r="J203" s="22"/>
    </row>
    <row r="204" spans="1:10" s="7" customFormat="1" ht="15" customHeight="1" x14ac:dyDescent="0.2">
      <c r="A204" s="14" t="s">
        <v>161</v>
      </c>
      <c r="B204" s="15">
        <v>50301990</v>
      </c>
      <c r="C204" s="51"/>
      <c r="D204" s="16"/>
      <c r="F204" s="41"/>
      <c r="G204" s="22"/>
      <c r="H204" s="19"/>
      <c r="I204" s="22"/>
      <c r="J204" s="22"/>
    </row>
    <row r="205" spans="1:10" s="7" customFormat="1" ht="15" hidden="1" customHeight="1" x14ac:dyDescent="0.2">
      <c r="A205" s="14" t="s">
        <v>191</v>
      </c>
      <c r="B205" s="15">
        <v>50501030</v>
      </c>
      <c r="C205" s="51"/>
      <c r="D205" s="16"/>
      <c r="F205" s="41"/>
      <c r="G205" s="22"/>
      <c r="H205" s="19"/>
      <c r="I205" s="22"/>
      <c r="J205" s="22"/>
    </row>
    <row r="206" spans="1:10" s="26" customFormat="1" ht="15" customHeight="1" x14ac:dyDescent="0.2">
      <c r="A206" s="14" t="s">
        <v>162</v>
      </c>
      <c r="B206" s="15">
        <v>50501050</v>
      </c>
      <c r="C206" s="51"/>
      <c r="D206" s="16"/>
      <c r="F206" s="72"/>
      <c r="G206" s="31"/>
      <c r="H206" s="40"/>
      <c r="I206" s="31"/>
      <c r="J206" s="31"/>
    </row>
    <row r="207" spans="1:10" s="26" customFormat="1" ht="15" customHeight="1" x14ac:dyDescent="0.2">
      <c r="A207" s="14" t="s">
        <v>163</v>
      </c>
      <c r="B207" s="15">
        <v>50501060</v>
      </c>
      <c r="C207" s="51"/>
      <c r="D207" s="16"/>
      <c r="F207" s="39"/>
      <c r="G207" s="31"/>
      <c r="H207" s="40"/>
      <c r="I207" s="31"/>
      <c r="J207" s="31"/>
    </row>
    <row r="208" spans="1:10" s="26" customFormat="1" ht="15" customHeight="1" x14ac:dyDescent="0.2">
      <c r="A208" s="14" t="s">
        <v>164</v>
      </c>
      <c r="B208" s="15">
        <v>50501070</v>
      </c>
      <c r="C208" s="51"/>
      <c r="D208" s="16"/>
      <c r="F208" s="39"/>
      <c r="G208" s="31"/>
      <c r="H208" s="40"/>
      <c r="I208" s="31"/>
      <c r="J208" s="31"/>
    </row>
    <row r="209" spans="1:10" s="26" customFormat="1" ht="15" customHeight="1" x14ac:dyDescent="0.2">
      <c r="A209" s="14" t="s">
        <v>165</v>
      </c>
      <c r="B209" s="15">
        <v>50501990</v>
      </c>
      <c r="C209" s="16"/>
      <c r="D209" s="16"/>
      <c r="F209" s="39"/>
      <c r="G209" s="31"/>
      <c r="H209" s="40"/>
      <c r="I209" s="31"/>
      <c r="J209" s="31"/>
    </row>
    <row r="210" spans="1:10" ht="15" customHeight="1" x14ac:dyDescent="0.2">
      <c r="A210" s="8"/>
      <c r="B210" s="9" t="s">
        <v>6</v>
      </c>
      <c r="C210" s="10">
        <f>SUM(C11:C209)</f>
        <v>575446788.03000009</v>
      </c>
      <c r="D210" s="10">
        <f>SUM(D11:D204)</f>
        <v>575446788.03000009</v>
      </c>
      <c r="F210" s="20">
        <f>D210-C210</f>
        <v>0</v>
      </c>
      <c r="G210" s="53" t="e">
        <f>D210-#REF!</f>
        <v>#REF!</v>
      </c>
    </row>
    <row r="211" spans="1:10" ht="15" customHeight="1" x14ac:dyDescent="0.2">
      <c r="A211" s="11"/>
      <c r="B211" s="12"/>
      <c r="C211" s="43"/>
      <c r="D211" s="13"/>
      <c r="F211" s="27"/>
    </row>
    <row r="212" spans="1:10" ht="15" customHeight="1" x14ac:dyDescent="0.2">
      <c r="A212" s="2" t="s">
        <v>64</v>
      </c>
      <c r="B212" s="219" t="s">
        <v>0</v>
      </c>
      <c r="C212" s="219"/>
      <c r="D212" s="219"/>
      <c r="F212" s="49"/>
    </row>
    <row r="213" spans="1:10" ht="15" customHeight="1" x14ac:dyDescent="0.2">
      <c r="A213" s="2"/>
      <c r="B213" s="1"/>
      <c r="C213" s="44"/>
      <c r="D213" s="2"/>
      <c r="F213" s="27"/>
    </row>
    <row r="214" spans="1:10" ht="15" customHeight="1" x14ac:dyDescent="0.2">
      <c r="A214" s="2"/>
      <c r="B214" s="1"/>
      <c r="C214" s="45"/>
      <c r="D214" s="2"/>
      <c r="F214" s="27"/>
    </row>
    <row r="215" spans="1:10" ht="15" customHeight="1" x14ac:dyDescent="0.2">
      <c r="A215" s="82" t="s">
        <v>225</v>
      </c>
      <c r="B215" s="214" t="s">
        <v>200</v>
      </c>
      <c r="C215" s="214"/>
      <c r="D215" s="214"/>
      <c r="F215" s="27"/>
    </row>
    <row r="216" spans="1:10" ht="15" customHeight="1" x14ac:dyDescent="0.2">
      <c r="A216" s="83" t="s">
        <v>229</v>
      </c>
      <c r="B216" s="215" t="s">
        <v>195</v>
      </c>
      <c r="C216" s="215"/>
      <c r="D216" s="215"/>
      <c r="F216" s="27"/>
    </row>
    <row r="217" spans="1:10" ht="14.25" x14ac:dyDescent="0.2">
      <c r="A217" s="2"/>
      <c r="B217" s="1"/>
      <c r="C217" s="45"/>
      <c r="D217" s="2"/>
    </row>
    <row r="218" spans="1:10" ht="14.25" x14ac:dyDescent="0.2">
      <c r="A218" s="2"/>
      <c r="B218" s="2"/>
      <c r="C218" s="46"/>
      <c r="D218" s="4"/>
    </row>
    <row r="219" spans="1:10" ht="14.25" x14ac:dyDescent="0.2">
      <c r="A219" s="2"/>
      <c r="B219" s="2"/>
      <c r="C219" s="46"/>
      <c r="D219" s="4"/>
    </row>
    <row r="220" spans="1:10" x14ac:dyDescent="0.2">
      <c r="B220" s="3"/>
      <c r="C220" s="47"/>
      <c r="D220" s="5"/>
    </row>
    <row r="221" spans="1:10" x14ac:dyDescent="0.2">
      <c r="B221" s="3"/>
      <c r="C221" s="47"/>
      <c r="D221" s="5"/>
    </row>
    <row r="222" spans="1:10" x14ac:dyDescent="0.2">
      <c r="B222" s="3"/>
      <c r="C222" s="47"/>
      <c r="D222" s="5"/>
    </row>
    <row r="223" spans="1:10" x14ac:dyDescent="0.2">
      <c r="B223" s="3"/>
      <c r="C223" s="47"/>
      <c r="D223" s="5"/>
    </row>
    <row r="224" spans="1:10" x14ac:dyDescent="0.2">
      <c r="B224" s="3"/>
      <c r="C224" s="47"/>
      <c r="D224" s="5"/>
    </row>
    <row r="225" spans="2:4" x14ac:dyDescent="0.2">
      <c r="B225" s="3"/>
      <c r="C225" s="47"/>
      <c r="D225" s="5"/>
    </row>
    <row r="226" spans="2:4" x14ac:dyDescent="0.2">
      <c r="B226" s="3"/>
      <c r="C226" s="47"/>
      <c r="D226" s="5"/>
    </row>
    <row r="227" spans="2:4" x14ac:dyDescent="0.2">
      <c r="B227" s="3"/>
      <c r="C227" s="47"/>
      <c r="D227" s="5"/>
    </row>
    <row r="228" spans="2:4" x14ac:dyDescent="0.2">
      <c r="B228" s="3"/>
      <c r="C228" s="47"/>
      <c r="D228" s="5"/>
    </row>
    <row r="229" spans="2:4" x14ac:dyDescent="0.2">
      <c r="B229" s="3"/>
      <c r="C229" s="47"/>
      <c r="D229" s="5"/>
    </row>
    <row r="230" spans="2:4" x14ac:dyDescent="0.2">
      <c r="B230" s="3"/>
      <c r="C230" s="47"/>
      <c r="D230" s="5"/>
    </row>
    <row r="231" spans="2:4" x14ac:dyDescent="0.2">
      <c r="B231" s="3"/>
      <c r="C231" s="47"/>
      <c r="D231" s="5"/>
    </row>
    <row r="232" spans="2:4" x14ac:dyDescent="0.2">
      <c r="B232" s="3"/>
      <c r="C232" s="47"/>
      <c r="D232" s="5"/>
    </row>
    <row r="233" spans="2:4" x14ac:dyDescent="0.2">
      <c r="B233" s="3"/>
      <c r="C233" s="47"/>
      <c r="D233" s="5"/>
    </row>
    <row r="234" spans="2:4" x14ac:dyDescent="0.2">
      <c r="B234" s="3"/>
      <c r="C234" s="47"/>
      <c r="D234" s="5"/>
    </row>
    <row r="235" spans="2:4" x14ac:dyDescent="0.2">
      <c r="B235" s="3"/>
      <c r="C235" s="47"/>
      <c r="D235" s="5"/>
    </row>
    <row r="236" spans="2:4" x14ac:dyDescent="0.2">
      <c r="B236" s="3"/>
      <c r="C236" s="47"/>
      <c r="D236" s="5"/>
    </row>
    <row r="237" spans="2:4" x14ac:dyDescent="0.2">
      <c r="B237" s="3"/>
      <c r="C237" s="47"/>
      <c r="D237" s="5"/>
    </row>
    <row r="238" spans="2:4" x14ac:dyDescent="0.2">
      <c r="B238" s="3"/>
      <c r="C238" s="47"/>
      <c r="D238" s="5"/>
    </row>
    <row r="239" spans="2:4" x14ac:dyDescent="0.2">
      <c r="B239" s="3"/>
      <c r="C239" s="47"/>
      <c r="D239" s="5"/>
    </row>
    <row r="240" spans="2:4" x14ac:dyDescent="0.2">
      <c r="B240" s="3"/>
      <c r="C240" s="47"/>
      <c r="D240" s="5"/>
    </row>
    <row r="241" spans="2:4" x14ac:dyDescent="0.2">
      <c r="B241" s="3"/>
      <c r="C241" s="47"/>
      <c r="D241" s="5"/>
    </row>
    <row r="242" spans="2:4" x14ac:dyDescent="0.2">
      <c r="B242" s="3"/>
      <c r="C242" s="47"/>
      <c r="D242" s="5"/>
    </row>
    <row r="243" spans="2:4" x14ac:dyDescent="0.2">
      <c r="B243" s="3"/>
      <c r="C243" s="47"/>
      <c r="D243" s="5"/>
    </row>
    <row r="244" spans="2:4" x14ac:dyDescent="0.2">
      <c r="B244" s="3"/>
      <c r="C244" s="47"/>
      <c r="D244" s="5"/>
    </row>
    <row r="245" spans="2:4" x14ac:dyDescent="0.2">
      <c r="B245" s="3"/>
      <c r="C245" s="47"/>
      <c r="D245" s="5"/>
    </row>
    <row r="246" spans="2:4" x14ac:dyDescent="0.2">
      <c r="B246" s="3"/>
      <c r="C246" s="47"/>
      <c r="D246" s="5"/>
    </row>
    <row r="247" spans="2:4" x14ac:dyDescent="0.2">
      <c r="B247" s="3"/>
      <c r="C247" s="47"/>
      <c r="D247" s="5"/>
    </row>
    <row r="248" spans="2:4" x14ac:dyDescent="0.2">
      <c r="B248" s="3"/>
      <c r="C248" s="47"/>
      <c r="D248" s="5"/>
    </row>
    <row r="249" spans="2:4" x14ac:dyDescent="0.2">
      <c r="B249" s="3"/>
      <c r="C249" s="47"/>
      <c r="D249" s="5"/>
    </row>
    <row r="250" spans="2:4" x14ac:dyDescent="0.2">
      <c r="B250" s="3"/>
      <c r="C250" s="47"/>
      <c r="D250" s="5"/>
    </row>
    <row r="251" spans="2:4" x14ac:dyDescent="0.2">
      <c r="B251" s="3"/>
      <c r="C251" s="47"/>
      <c r="D251" s="5"/>
    </row>
    <row r="252" spans="2:4" x14ac:dyDescent="0.2">
      <c r="B252" s="3"/>
      <c r="C252" s="47"/>
      <c r="D252" s="5"/>
    </row>
    <row r="253" spans="2:4" x14ac:dyDescent="0.2">
      <c r="B253" s="3"/>
      <c r="C253" s="47"/>
      <c r="D253" s="5"/>
    </row>
    <row r="254" spans="2:4" x14ac:dyDescent="0.2">
      <c r="B254" s="3"/>
      <c r="C254" s="47"/>
      <c r="D254" s="5"/>
    </row>
    <row r="255" spans="2:4" x14ac:dyDescent="0.2">
      <c r="B255" s="3"/>
      <c r="C255" s="47"/>
      <c r="D255" s="5"/>
    </row>
    <row r="256" spans="2:4" x14ac:dyDescent="0.2">
      <c r="B256" s="3"/>
      <c r="C256" s="47"/>
      <c r="D256" s="5"/>
    </row>
    <row r="257" spans="2:4" x14ac:dyDescent="0.2">
      <c r="B257" s="3"/>
      <c r="C257" s="47"/>
      <c r="D257" s="5"/>
    </row>
    <row r="258" spans="2:4" x14ac:dyDescent="0.2">
      <c r="B258" s="3"/>
      <c r="C258" s="47"/>
      <c r="D258" s="5"/>
    </row>
    <row r="259" spans="2:4" x14ac:dyDescent="0.2">
      <c r="B259" s="3"/>
      <c r="C259" s="47"/>
      <c r="D259" s="5"/>
    </row>
    <row r="260" spans="2:4" x14ac:dyDescent="0.2">
      <c r="B260" s="3"/>
      <c r="C260" s="47"/>
      <c r="D260" s="5"/>
    </row>
    <row r="261" spans="2:4" x14ac:dyDescent="0.2">
      <c r="B261" s="3"/>
      <c r="C261" s="47"/>
      <c r="D261" s="5"/>
    </row>
    <row r="262" spans="2:4" x14ac:dyDescent="0.2">
      <c r="B262" s="3"/>
      <c r="C262" s="47"/>
      <c r="D262" s="5"/>
    </row>
    <row r="263" spans="2:4" x14ac:dyDescent="0.2">
      <c r="B263" s="3"/>
      <c r="C263" s="47"/>
      <c r="D263" s="5"/>
    </row>
    <row r="264" spans="2:4" x14ac:dyDescent="0.2">
      <c r="B264" s="3"/>
      <c r="C264" s="47"/>
      <c r="D264" s="5"/>
    </row>
    <row r="265" spans="2:4" x14ac:dyDescent="0.2">
      <c r="B265" s="3"/>
      <c r="C265" s="47"/>
      <c r="D265" s="5"/>
    </row>
    <row r="266" spans="2:4" x14ac:dyDescent="0.2">
      <c r="B266" s="3"/>
      <c r="C266" s="47"/>
      <c r="D266" s="5"/>
    </row>
    <row r="267" spans="2:4" x14ac:dyDescent="0.2">
      <c r="B267" s="3"/>
      <c r="C267" s="47"/>
      <c r="D267" s="5"/>
    </row>
    <row r="268" spans="2:4" x14ac:dyDescent="0.2">
      <c r="B268" s="3"/>
      <c r="C268" s="47"/>
      <c r="D268" s="5"/>
    </row>
    <row r="269" spans="2:4" x14ac:dyDescent="0.2">
      <c r="B269" s="3"/>
      <c r="C269" s="47"/>
      <c r="D269" s="5"/>
    </row>
    <row r="270" spans="2:4" x14ac:dyDescent="0.2">
      <c r="B270" s="3"/>
      <c r="C270" s="47"/>
      <c r="D270" s="5"/>
    </row>
    <row r="271" spans="2:4" x14ac:dyDescent="0.2">
      <c r="B271" s="3"/>
      <c r="C271" s="47"/>
      <c r="D271" s="5"/>
    </row>
    <row r="272" spans="2:4" x14ac:dyDescent="0.2">
      <c r="B272" s="3"/>
      <c r="C272" s="47"/>
      <c r="D272" s="5"/>
    </row>
    <row r="273" spans="2:4" x14ac:dyDescent="0.2">
      <c r="B273" s="3"/>
      <c r="C273" s="47"/>
      <c r="D273" s="5"/>
    </row>
    <row r="274" spans="2:4" x14ac:dyDescent="0.2">
      <c r="B274" s="3"/>
      <c r="C274" s="47"/>
      <c r="D274" s="5"/>
    </row>
    <row r="275" spans="2:4" x14ac:dyDescent="0.2">
      <c r="B275" s="3"/>
      <c r="C275" s="47"/>
      <c r="D275" s="5"/>
    </row>
    <row r="276" spans="2:4" x14ac:dyDescent="0.2">
      <c r="B276" s="3"/>
      <c r="C276" s="47"/>
      <c r="D276" s="5"/>
    </row>
    <row r="277" spans="2:4" x14ac:dyDescent="0.2">
      <c r="B277" s="3"/>
      <c r="C277" s="47"/>
      <c r="D277" s="5"/>
    </row>
    <row r="278" spans="2:4" x14ac:dyDescent="0.2">
      <c r="B278" s="3"/>
      <c r="C278" s="47"/>
      <c r="D278" s="5"/>
    </row>
    <row r="279" spans="2:4" x14ac:dyDescent="0.2">
      <c r="B279" s="3"/>
      <c r="C279" s="47"/>
      <c r="D279" s="5"/>
    </row>
    <row r="280" spans="2:4" x14ac:dyDescent="0.2">
      <c r="B280" s="3"/>
      <c r="C280" s="47"/>
      <c r="D280" s="5"/>
    </row>
    <row r="281" spans="2:4" x14ac:dyDescent="0.2">
      <c r="B281" s="3"/>
      <c r="C281" s="47"/>
      <c r="D281" s="5"/>
    </row>
    <row r="282" spans="2:4" x14ac:dyDescent="0.2">
      <c r="B282" s="3"/>
      <c r="C282" s="47"/>
      <c r="D282" s="5"/>
    </row>
    <row r="283" spans="2:4" x14ac:dyDescent="0.2">
      <c r="B283" s="3"/>
      <c r="C283" s="47"/>
      <c r="D283" s="5"/>
    </row>
    <row r="284" spans="2:4" x14ac:dyDescent="0.2">
      <c r="B284" s="3"/>
      <c r="C284" s="47"/>
      <c r="D284" s="5"/>
    </row>
    <row r="285" spans="2:4" x14ac:dyDescent="0.2">
      <c r="B285" s="3"/>
      <c r="C285" s="47"/>
      <c r="D285" s="5"/>
    </row>
    <row r="286" spans="2:4" x14ac:dyDescent="0.2">
      <c r="B286" s="3"/>
      <c r="C286" s="47"/>
      <c r="D286" s="5"/>
    </row>
    <row r="287" spans="2:4" x14ac:dyDescent="0.2">
      <c r="B287" s="3"/>
      <c r="C287" s="47"/>
      <c r="D287" s="5"/>
    </row>
    <row r="288" spans="2:4" x14ac:dyDescent="0.2">
      <c r="B288" s="3"/>
      <c r="C288" s="47"/>
      <c r="D288" s="5"/>
    </row>
    <row r="289" spans="2:4" x14ac:dyDescent="0.2">
      <c r="B289" s="3"/>
      <c r="C289" s="47"/>
      <c r="D289" s="5"/>
    </row>
    <row r="290" spans="2:4" x14ac:dyDescent="0.2">
      <c r="B290" s="3"/>
      <c r="C290" s="47"/>
      <c r="D290" s="5"/>
    </row>
    <row r="291" spans="2:4" x14ac:dyDescent="0.2">
      <c r="B291" s="3"/>
      <c r="C291" s="47"/>
      <c r="D291" s="5"/>
    </row>
    <row r="292" spans="2:4" x14ac:dyDescent="0.2">
      <c r="B292" s="3"/>
      <c r="C292" s="47"/>
      <c r="D292" s="5"/>
    </row>
    <row r="293" spans="2:4" x14ac:dyDescent="0.2">
      <c r="B293" s="3"/>
      <c r="C293" s="47"/>
      <c r="D293" s="5"/>
    </row>
    <row r="294" spans="2:4" x14ac:dyDescent="0.2">
      <c r="B294" s="3"/>
      <c r="C294" s="47"/>
      <c r="D294" s="5"/>
    </row>
    <row r="295" spans="2:4" x14ac:dyDescent="0.2">
      <c r="B295" s="3"/>
      <c r="C295" s="47"/>
      <c r="D295" s="5"/>
    </row>
    <row r="296" spans="2:4" x14ac:dyDescent="0.2">
      <c r="B296" s="3"/>
      <c r="C296" s="47"/>
      <c r="D296" s="5"/>
    </row>
    <row r="297" spans="2:4" x14ac:dyDescent="0.2">
      <c r="B297" s="3"/>
      <c r="C297" s="47"/>
      <c r="D297" s="5"/>
    </row>
    <row r="298" spans="2:4" x14ac:dyDescent="0.2">
      <c r="B298" s="3"/>
      <c r="C298" s="47"/>
      <c r="D298" s="5"/>
    </row>
    <row r="299" spans="2:4" x14ac:dyDescent="0.2">
      <c r="B299" s="3"/>
      <c r="C299" s="47"/>
      <c r="D299" s="5"/>
    </row>
    <row r="300" spans="2:4" x14ac:dyDescent="0.2">
      <c r="B300" s="3"/>
      <c r="C300" s="47"/>
      <c r="D300" s="5"/>
    </row>
    <row r="301" spans="2:4" x14ac:dyDescent="0.2">
      <c r="B301" s="3"/>
      <c r="C301" s="47"/>
      <c r="D301" s="5"/>
    </row>
    <row r="302" spans="2:4" x14ac:dyDescent="0.2">
      <c r="B302" s="3"/>
      <c r="C302" s="47"/>
      <c r="D302" s="5"/>
    </row>
    <row r="303" spans="2:4" x14ac:dyDescent="0.2">
      <c r="B303" s="3"/>
      <c r="C303" s="47"/>
      <c r="D303" s="5"/>
    </row>
    <row r="304" spans="2:4" x14ac:dyDescent="0.2">
      <c r="B304" s="3"/>
      <c r="C304" s="47"/>
      <c r="D304" s="5"/>
    </row>
    <row r="305" spans="2:4" x14ac:dyDescent="0.2">
      <c r="B305" s="3"/>
      <c r="C305" s="47"/>
      <c r="D305" s="5"/>
    </row>
    <row r="306" spans="2:4" x14ac:dyDescent="0.2">
      <c r="B306" s="3"/>
      <c r="C306" s="47"/>
      <c r="D306" s="5"/>
    </row>
    <row r="307" spans="2:4" x14ac:dyDescent="0.2">
      <c r="B307" s="3"/>
      <c r="C307" s="47"/>
      <c r="D307" s="5"/>
    </row>
    <row r="308" spans="2:4" x14ac:dyDescent="0.2">
      <c r="B308" s="3"/>
      <c r="C308" s="47"/>
      <c r="D308" s="5"/>
    </row>
    <row r="309" spans="2:4" x14ac:dyDescent="0.2">
      <c r="B309" s="3"/>
      <c r="C309" s="47"/>
      <c r="D309" s="5"/>
    </row>
    <row r="310" spans="2:4" x14ac:dyDescent="0.2">
      <c r="B310" s="3"/>
      <c r="C310" s="47"/>
      <c r="D310" s="5"/>
    </row>
    <row r="311" spans="2:4" x14ac:dyDescent="0.2">
      <c r="B311" s="3"/>
      <c r="C311" s="47"/>
      <c r="D311" s="5"/>
    </row>
    <row r="312" spans="2:4" x14ac:dyDescent="0.2">
      <c r="B312" s="3"/>
      <c r="C312" s="47"/>
      <c r="D312" s="5"/>
    </row>
    <row r="313" spans="2:4" x14ac:dyDescent="0.2">
      <c r="B313" s="3"/>
      <c r="C313" s="47"/>
      <c r="D313" s="5"/>
    </row>
    <row r="314" spans="2:4" x14ac:dyDescent="0.2">
      <c r="B314" s="3"/>
      <c r="C314" s="47"/>
      <c r="D314" s="5"/>
    </row>
    <row r="315" spans="2:4" x14ac:dyDescent="0.2">
      <c r="B315" s="3"/>
      <c r="C315" s="47"/>
      <c r="D315" s="5"/>
    </row>
    <row r="316" spans="2:4" x14ac:dyDescent="0.2">
      <c r="B316" s="3"/>
      <c r="C316" s="47"/>
      <c r="D316" s="5"/>
    </row>
    <row r="317" spans="2:4" x14ac:dyDescent="0.2">
      <c r="B317" s="3"/>
      <c r="C317" s="47"/>
      <c r="D317" s="5"/>
    </row>
    <row r="318" spans="2:4" x14ac:dyDescent="0.2">
      <c r="B318" s="3"/>
      <c r="C318" s="47"/>
      <c r="D318" s="5"/>
    </row>
    <row r="319" spans="2:4" x14ac:dyDescent="0.2">
      <c r="B319" s="3"/>
      <c r="C319" s="47"/>
      <c r="D319" s="5"/>
    </row>
    <row r="320" spans="2:4" x14ac:dyDescent="0.2">
      <c r="B320" s="3"/>
      <c r="C320" s="47"/>
      <c r="D320" s="5"/>
    </row>
    <row r="321" spans="2:4" x14ac:dyDescent="0.2">
      <c r="B321" s="3"/>
      <c r="C321" s="47"/>
      <c r="D321" s="5"/>
    </row>
    <row r="322" spans="2:4" x14ac:dyDescent="0.2">
      <c r="B322" s="3"/>
      <c r="C322" s="47"/>
      <c r="D322" s="5"/>
    </row>
    <row r="323" spans="2:4" x14ac:dyDescent="0.2">
      <c r="B323" s="3"/>
      <c r="C323" s="47"/>
      <c r="D323" s="5"/>
    </row>
    <row r="324" spans="2:4" x14ac:dyDescent="0.2">
      <c r="B324" s="3"/>
      <c r="C324" s="47"/>
      <c r="D324" s="5"/>
    </row>
    <row r="325" spans="2:4" x14ac:dyDescent="0.2">
      <c r="B325" s="3"/>
      <c r="C325" s="47"/>
      <c r="D325" s="5"/>
    </row>
    <row r="326" spans="2:4" x14ac:dyDescent="0.2">
      <c r="B326" s="3"/>
      <c r="C326" s="47"/>
      <c r="D326" s="5"/>
    </row>
    <row r="327" spans="2:4" x14ac:dyDescent="0.2">
      <c r="B327" s="3"/>
      <c r="C327" s="47"/>
      <c r="D327" s="5"/>
    </row>
    <row r="328" spans="2:4" x14ac:dyDescent="0.2">
      <c r="B328" s="3"/>
      <c r="C328" s="47"/>
      <c r="D328" s="5"/>
    </row>
    <row r="329" spans="2:4" x14ac:dyDescent="0.2">
      <c r="B329" s="3"/>
      <c r="C329" s="47"/>
      <c r="D329" s="5"/>
    </row>
    <row r="330" spans="2:4" x14ac:dyDescent="0.2">
      <c r="B330" s="3"/>
      <c r="C330" s="47"/>
      <c r="D330" s="5"/>
    </row>
    <row r="331" spans="2:4" x14ac:dyDescent="0.2">
      <c r="B331" s="3"/>
      <c r="C331" s="47"/>
      <c r="D331" s="5"/>
    </row>
    <row r="332" spans="2:4" x14ac:dyDescent="0.2">
      <c r="B332" s="3"/>
      <c r="C332" s="47"/>
      <c r="D332" s="5"/>
    </row>
    <row r="333" spans="2:4" x14ac:dyDescent="0.2">
      <c r="B333" s="3"/>
      <c r="C333" s="47"/>
      <c r="D333" s="5"/>
    </row>
    <row r="334" spans="2:4" x14ac:dyDescent="0.2">
      <c r="B334" s="3"/>
      <c r="C334" s="47"/>
      <c r="D334" s="5"/>
    </row>
    <row r="335" spans="2:4" x14ac:dyDescent="0.2">
      <c r="B335" s="3"/>
      <c r="C335" s="47"/>
      <c r="D335" s="5"/>
    </row>
    <row r="336" spans="2:4" x14ac:dyDescent="0.2">
      <c r="B336" s="3"/>
      <c r="C336" s="47"/>
      <c r="D336" s="5"/>
    </row>
    <row r="337" spans="2:4" x14ac:dyDescent="0.2">
      <c r="B337" s="3"/>
      <c r="C337" s="47"/>
      <c r="D337" s="5"/>
    </row>
    <row r="338" spans="2:4" x14ac:dyDescent="0.2">
      <c r="B338" s="3"/>
      <c r="C338" s="47"/>
      <c r="D338" s="5"/>
    </row>
    <row r="339" spans="2:4" x14ac:dyDescent="0.2">
      <c r="B339" s="3"/>
      <c r="C339" s="47"/>
      <c r="D339" s="5"/>
    </row>
    <row r="340" spans="2:4" x14ac:dyDescent="0.2">
      <c r="B340" s="3"/>
      <c r="C340" s="47"/>
      <c r="D340" s="5"/>
    </row>
    <row r="341" spans="2:4" x14ac:dyDescent="0.2">
      <c r="B341" s="3"/>
      <c r="C341" s="47"/>
      <c r="D341" s="5"/>
    </row>
    <row r="342" spans="2:4" x14ac:dyDescent="0.2">
      <c r="B342" s="3"/>
      <c r="C342" s="47"/>
      <c r="D342" s="5"/>
    </row>
    <row r="343" spans="2:4" x14ac:dyDescent="0.2">
      <c r="B343" s="3"/>
      <c r="C343" s="47"/>
      <c r="D343" s="5"/>
    </row>
    <row r="344" spans="2:4" x14ac:dyDescent="0.2">
      <c r="B344" s="3"/>
      <c r="C344" s="47"/>
      <c r="D344" s="5"/>
    </row>
    <row r="345" spans="2:4" x14ac:dyDescent="0.2">
      <c r="B345" s="3"/>
      <c r="C345" s="47"/>
      <c r="D345" s="5"/>
    </row>
    <row r="346" spans="2:4" x14ac:dyDescent="0.2">
      <c r="B346" s="3"/>
      <c r="C346" s="47"/>
      <c r="D346" s="5"/>
    </row>
    <row r="347" spans="2:4" x14ac:dyDescent="0.2">
      <c r="B347" s="3"/>
      <c r="C347" s="47"/>
      <c r="D347" s="5"/>
    </row>
    <row r="348" spans="2:4" x14ac:dyDescent="0.2">
      <c r="B348" s="3"/>
      <c r="C348" s="47"/>
      <c r="D348" s="5"/>
    </row>
    <row r="349" spans="2:4" x14ac:dyDescent="0.2">
      <c r="B349" s="3"/>
      <c r="C349" s="47"/>
      <c r="D349" s="5"/>
    </row>
    <row r="350" spans="2:4" x14ac:dyDescent="0.2">
      <c r="B350" s="3"/>
      <c r="C350" s="47"/>
      <c r="D350" s="5"/>
    </row>
    <row r="351" spans="2:4" x14ac:dyDescent="0.2">
      <c r="B351" s="3"/>
      <c r="C351" s="47"/>
      <c r="D351" s="5"/>
    </row>
    <row r="352" spans="2:4" x14ac:dyDescent="0.2">
      <c r="B352" s="3"/>
      <c r="C352" s="47"/>
      <c r="D352" s="5"/>
    </row>
    <row r="353" spans="2:4" x14ac:dyDescent="0.2">
      <c r="B353" s="3"/>
      <c r="C353" s="47"/>
      <c r="D353" s="5"/>
    </row>
    <row r="354" spans="2:4" x14ac:dyDescent="0.2">
      <c r="B354" s="3"/>
      <c r="C354" s="47"/>
      <c r="D354" s="5"/>
    </row>
    <row r="355" spans="2:4" x14ac:dyDescent="0.2">
      <c r="B355" s="3"/>
      <c r="C355" s="47"/>
      <c r="D355" s="5"/>
    </row>
    <row r="356" spans="2:4" x14ac:dyDescent="0.2">
      <c r="B356" s="3"/>
      <c r="C356" s="47"/>
      <c r="D356" s="5"/>
    </row>
    <row r="357" spans="2:4" x14ac:dyDescent="0.2">
      <c r="B357" s="3"/>
      <c r="C357" s="47"/>
      <c r="D357" s="5"/>
    </row>
    <row r="358" spans="2:4" x14ac:dyDescent="0.2">
      <c r="B358" s="3"/>
      <c r="C358" s="47"/>
      <c r="D358" s="5"/>
    </row>
    <row r="359" spans="2:4" x14ac:dyDescent="0.2">
      <c r="B359" s="3"/>
      <c r="C359" s="47"/>
      <c r="D359" s="5"/>
    </row>
    <row r="360" spans="2:4" x14ac:dyDescent="0.2">
      <c r="B360" s="3"/>
      <c r="C360" s="47"/>
      <c r="D360" s="5"/>
    </row>
    <row r="361" spans="2:4" x14ac:dyDescent="0.2">
      <c r="B361" s="3"/>
      <c r="C361" s="47"/>
      <c r="D361" s="5"/>
    </row>
    <row r="362" spans="2:4" x14ac:dyDescent="0.2">
      <c r="B362" s="3"/>
      <c r="C362" s="47"/>
      <c r="D362" s="5"/>
    </row>
    <row r="363" spans="2:4" x14ac:dyDescent="0.2">
      <c r="B363" s="3"/>
      <c r="C363" s="47"/>
      <c r="D363" s="5"/>
    </row>
    <row r="364" spans="2:4" x14ac:dyDescent="0.2">
      <c r="B364" s="3"/>
      <c r="C364" s="47"/>
      <c r="D364" s="5"/>
    </row>
    <row r="365" spans="2:4" x14ac:dyDescent="0.2">
      <c r="B365" s="3"/>
      <c r="C365" s="47"/>
      <c r="D365" s="5"/>
    </row>
    <row r="366" spans="2:4" x14ac:dyDescent="0.2">
      <c r="B366" s="3"/>
      <c r="C366" s="47"/>
      <c r="D366" s="5"/>
    </row>
    <row r="367" spans="2:4" x14ac:dyDescent="0.2">
      <c r="B367" s="3"/>
      <c r="C367" s="47"/>
      <c r="D367" s="5"/>
    </row>
    <row r="368" spans="2:4" x14ac:dyDescent="0.2">
      <c r="B368" s="3"/>
      <c r="C368" s="47"/>
      <c r="D368" s="5"/>
    </row>
    <row r="369" spans="2:4" x14ac:dyDescent="0.2">
      <c r="B369" s="3"/>
      <c r="C369" s="47"/>
      <c r="D369" s="5"/>
    </row>
    <row r="370" spans="2:4" x14ac:dyDescent="0.2">
      <c r="B370" s="3"/>
      <c r="C370" s="47"/>
      <c r="D370" s="5"/>
    </row>
    <row r="371" spans="2:4" x14ac:dyDescent="0.2">
      <c r="B371" s="3"/>
      <c r="C371" s="47"/>
      <c r="D371" s="5"/>
    </row>
    <row r="372" spans="2:4" x14ac:dyDescent="0.2">
      <c r="B372" s="3"/>
      <c r="C372" s="47"/>
      <c r="D372" s="5"/>
    </row>
    <row r="373" spans="2:4" x14ac:dyDescent="0.2">
      <c r="B373" s="3"/>
      <c r="C373" s="47"/>
      <c r="D373" s="5"/>
    </row>
    <row r="374" spans="2:4" x14ac:dyDescent="0.2">
      <c r="B374" s="3"/>
      <c r="C374" s="47"/>
      <c r="D374" s="5"/>
    </row>
    <row r="375" spans="2:4" x14ac:dyDescent="0.2">
      <c r="B375" s="3"/>
      <c r="C375" s="47"/>
      <c r="D375" s="5"/>
    </row>
    <row r="376" spans="2:4" x14ac:dyDescent="0.2">
      <c r="B376" s="3"/>
      <c r="C376" s="47"/>
      <c r="D376" s="5"/>
    </row>
    <row r="377" spans="2:4" x14ac:dyDescent="0.2">
      <c r="B377" s="3"/>
      <c r="C377" s="47"/>
      <c r="D377" s="5"/>
    </row>
    <row r="378" spans="2:4" x14ac:dyDescent="0.2">
      <c r="B378" s="3"/>
      <c r="C378" s="47"/>
      <c r="D378" s="5"/>
    </row>
    <row r="379" spans="2:4" x14ac:dyDescent="0.2">
      <c r="B379" s="3"/>
      <c r="C379" s="47"/>
      <c r="D379" s="5"/>
    </row>
    <row r="380" spans="2:4" x14ac:dyDescent="0.2">
      <c r="B380" s="3"/>
      <c r="C380" s="47"/>
      <c r="D380" s="5"/>
    </row>
    <row r="381" spans="2:4" x14ac:dyDescent="0.2">
      <c r="B381" s="3"/>
      <c r="C381" s="47"/>
      <c r="D381" s="5"/>
    </row>
    <row r="382" spans="2:4" x14ac:dyDescent="0.2">
      <c r="B382" s="3"/>
      <c r="C382" s="47"/>
      <c r="D382" s="5"/>
    </row>
    <row r="383" spans="2:4" x14ac:dyDescent="0.2">
      <c r="B383" s="3"/>
      <c r="C383" s="47"/>
      <c r="D383" s="5"/>
    </row>
    <row r="384" spans="2:4" x14ac:dyDescent="0.2">
      <c r="B384" s="3"/>
      <c r="C384" s="47"/>
      <c r="D384" s="5"/>
    </row>
    <row r="385" spans="2:4" x14ac:dyDescent="0.2">
      <c r="B385" s="3"/>
      <c r="C385" s="47"/>
      <c r="D385" s="5"/>
    </row>
    <row r="386" spans="2:4" x14ac:dyDescent="0.2">
      <c r="B386" s="3"/>
      <c r="C386" s="47"/>
      <c r="D386" s="5"/>
    </row>
    <row r="387" spans="2:4" x14ac:dyDescent="0.2">
      <c r="B387" s="3"/>
      <c r="C387" s="47"/>
      <c r="D387" s="5"/>
    </row>
    <row r="388" spans="2:4" x14ac:dyDescent="0.2">
      <c r="B388" s="3"/>
      <c r="C388" s="47"/>
      <c r="D388" s="5"/>
    </row>
    <row r="389" spans="2:4" x14ac:dyDescent="0.2">
      <c r="B389" s="3"/>
      <c r="C389" s="47"/>
      <c r="D389" s="5"/>
    </row>
    <row r="390" spans="2:4" x14ac:dyDescent="0.2">
      <c r="B390" s="3"/>
      <c r="C390" s="47"/>
      <c r="D390" s="5"/>
    </row>
    <row r="391" spans="2:4" x14ac:dyDescent="0.2">
      <c r="B391" s="3"/>
      <c r="C391" s="47"/>
      <c r="D391" s="5"/>
    </row>
    <row r="392" spans="2:4" x14ac:dyDescent="0.2">
      <c r="B392" s="3"/>
      <c r="C392" s="47"/>
      <c r="D392" s="5"/>
    </row>
    <row r="393" spans="2:4" x14ac:dyDescent="0.2">
      <c r="B393" s="3"/>
      <c r="C393" s="47"/>
      <c r="D393" s="5"/>
    </row>
    <row r="394" spans="2:4" x14ac:dyDescent="0.2">
      <c r="B394" s="3"/>
      <c r="C394" s="47"/>
      <c r="D394" s="5"/>
    </row>
    <row r="395" spans="2:4" x14ac:dyDescent="0.2">
      <c r="B395" s="3"/>
      <c r="C395" s="47"/>
      <c r="D395" s="5"/>
    </row>
    <row r="396" spans="2:4" x14ac:dyDescent="0.2">
      <c r="B396" s="3"/>
      <c r="C396" s="47"/>
      <c r="D396" s="5"/>
    </row>
    <row r="397" spans="2:4" x14ac:dyDescent="0.2">
      <c r="B397" s="3"/>
      <c r="C397" s="47"/>
      <c r="D397" s="5"/>
    </row>
    <row r="398" spans="2:4" x14ac:dyDescent="0.2">
      <c r="B398" s="3"/>
      <c r="C398" s="47"/>
      <c r="D398" s="5"/>
    </row>
    <row r="399" spans="2:4" x14ac:dyDescent="0.2">
      <c r="B399" s="3"/>
      <c r="C399" s="47"/>
      <c r="D399" s="5"/>
    </row>
    <row r="400" spans="2:4" x14ac:dyDescent="0.2">
      <c r="B400" s="3"/>
      <c r="C400" s="47"/>
      <c r="D400" s="5"/>
    </row>
    <row r="401" spans="2:4" x14ac:dyDescent="0.2">
      <c r="B401" s="3"/>
      <c r="C401" s="47"/>
      <c r="D401" s="5"/>
    </row>
    <row r="402" spans="2:4" x14ac:dyDescent="0.2">
      <c r="B402" s="3"/>
      <c r="C402" s="47"/>
      <c r="D402" s="5"/>
    </row>
    <row r="403" spans="2:4" x14ac:dyDescent="0.2">
      <c r="B403" s="3"/>
      <c r="C403" s="47"/>
      <c r="D403" s="5"/>
    </row>
    <row r="404" spans="2:4" x14ac:dyDescent="0.2">
      <c r="B404" s="3"/>
      <c r="C404" s="47"/>
      <c r="D404" s="5"/>
    </row>
    <row r="405" spans="2:4" x14ac:dyDescent="0.2">
      <c r="B405" s="3"/>
      <c r="C405" s="47"/>
      <c r="D405" s="5"/>
    </row>
    <row r="406" spans="2:4" x14ac:dyDescent="0.2">
      <c r="B406" s="3"/>
      <c r="C406" s="47"/>
      <c r="D406" s="5"/>
    </row>
    <row r="407" spans="2:4" x14ac:dyDescent="0.2">
      <c r="B407" s="3"/>
      <c r="C407" s="47"/>
      <c r="D407" s="5"/>
    </row>
    <row r="408" spans="2:4" x14ac:dyDescent="0.2">
      <c r="B408" s="3"/>
      <c r="C408" s="47"/>
      <c r="D408" s="5"/>
    </row>
    <row r="409" spans="2:4" x14ac:dyDescent="0.2">
      <c r="B409" s="3"/>
      <c r="C409" s="47"/>
      <c r="D409" s="5"/>
    </row>
    <row r="410" spans="2:4" x14ac:dyDescent="0.2">
      <c r="B410" s="3"/>
      <c r="C410" s="47"/>
      <c r="D410" s="5"/>
    </row>
    <row r="411" spans="2:4" x14ac:dyDescent="0.2">
      <c r="B411" s="3"/>
      <c r="C411" s="47"/>
      <c r="D411" s="5"/>
    </row>
    <row r="412" spans="2:4" x14ac:dyDescent="0.2">
      <c r="B412" s="3"/>
      <c r="C412" s="47"/>
      <c r="D412" s="5"/>
    </row>
    <row r="413" spans="2:4" x14ac:dyDescent="0.2">
      <c r="B413" s="3"/>
      <c r="C413" s="47"/>
      <c r="D413" s="5"/>
    </row>
    <row r="414" spans="2:4" x14ac:dyDescent="0.2">
      <c r="B414" s="3"/>
      <c r="C414" s="47"/>
      <c r="D414" s="5"/>
    </row>
    <row r="415" spans="2:4" x14ac:dyDescent="0.2">
      <c r="B415" s="3"/>
      <c r="C415" s="47"/>
      <c r="D415" s="5"/>
    </row>
    <row r="416" spans="2:4" x14ac:dyDescent="0.2">
      <c r="B416" s="3"/>
      <c r="C416" s="47"/>
      <c r="D416" s="5"/>
    </row>
    <row r="417" spans="2:4" x14ac:dyDescent="0.2">
      <c r="B417" s="3"/>
      <c r="C417" s="47"/>
      <c r="D417" s="5"/>
    </row>
  </sheetData>
  <mergeCells count="44">
    <mergeCell ref="B215:D215"/>
    <mergeCell ref="B216:D216"/>
    <mergeCell ref="F92:G92"/>
    <mergeCell ref="F93:G93"/>
    <mergeCell ref="F94:G94"/>
    <mergeCell ref="F95:G95"/>
    <mergeCell ref="F96:G97"/>
    <mergeCell ref="B212:D212"/>
    <mergeCell ref="I81:I82"/>
    <mergeCell ref="J81:J82"/>
    <mergeCell ref="F83:G84"/>
    <mergeCell ref="H83:H84"/>
    <mergeCell ref="F85:G91"/>
    <mergeCell ref="H85:H91"/>
    <mergeCell ref="I85:I91"/>
    <mergeCell ref="J85:J91"/>
    <mergeCell ref="F32:F34"/>
    <mergeCell ref="G32:G34"/>
    <mergeCell ref="I32:I33"/>
    <mergeCell ref="J32:J33"/>
    <mergeCell ref="F36:F80"/>
    <mergeCell ref="G36:G80"/>
    <mergeCell ref="I36:I80"/>
    <mergeCell ref="J36:J80"/>
    <mergeCell ref="I11:I13"/>
    <mergeCell ref="J11:J13"/>
    <mergeCell ref="F15:F25"/>
    <mergeCell ref="G15:G25"/>
    <mergeCell ref="F26:F31"/>
    <mergeCell ref="G26:G31"/>
    <mergeCell ref="I26:I31"/>
    <mergeCell ref="J26:J31"/>
    <mergeCell ref="A8:A10"/>
    <mergeCell ref="B8:B10"/>
    <mergeCell ref="C8:C10"/>
    <mergeCell ref="D8:D10"/>
    <mergeCell ref="F11:F13"/>
    <mergeCell ref="G11:G13"/>
    <mergeCell ref="A1:D1"/>
    <mergeCell ref="A2:D2"/>
    <mergeCell ref="A3:D3"/>
    <mergeCell ref="A5:D5"/>
    <mergeCell ref="A6:D6"/>
    <mergeCell ref="A7:D7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417"/>
  <sheetViews>
    <sheetView zoomScaleNormal="100" workbookViewId="0">
      <selection activeCell="C13" sqref="C13"/>
    </sheetView>
  </sheetViews>
  <sheetFormatPr defaultRowHeight="12.75" x14ac:dyDescent="0.2"/>
  <cols>
    <col min="1" max="1" width="51.42578125" style="3" customWidth="1"/>
    <col min="2" max="2" width="18" style="6" customWidth="1"/>
    <col min="3" max="3" width="17.7109375" style="48" customWidth="1"/>
    <col min="4" max="4" width="18.28515625" style="3" customWidth="1"/>
    <col min="5" max="5" width="18.28515625" hidden="1" customWidth="1"/>
    <col min="6" max="6" width="18.28515625" style="23" customWidth="1"/>
    <col min="7" max="7" width="18.28515625" style="21" customWidth="1"/>
    <col min="8" max="8" width="18.28515625" style="18" customWidth="1"/>
    <col min="9" max="10" width="18.28515625" style="21" customWidth="1"/>
    <col min="11" max="16" width="18.28515625" customWidth="1"/>
  </cols>
  <sheetData>
    <row r="1" spans="1:10" ht="14.25" x14ac:dyDescent="0.2">
      <c r="A1" s="235" t="s">
        <v>2</v>
      </c>
      <c r="B1" s="235"/>
      <c r="C1" s="235"/>
      <c r="D1" s="235"/>
      <c r="F1" s="20">
        <f>F210</f>
        <v>0</v>
      </c>
      <c r="G1" s="27"/>
      <c r="H1" s="88"/>
      <c r="I1" s="27"/>
    </row>
    <row r="2" spans="1:10" ht="15" x14ac:dyDescent="0.2">
      <c r="A2" s="236" t="s">
        <v>3</v>
      </c>
      <c r="B2" s="236"/>
      <c r="C2" s="236"/>
      <c r="D2" s="236"/>
      <c r="G2" s="27"/>
      <c r="H2" s="89"/>
      <c r="I2" s="27"/>
    </row>
    <row r="3" spans="1:10" ht="14.25" x14ac:dyDescent="0.2">
      <c r="A3" s="235" t="s">
        <v>1</v>
      </c>
      <c r="B3" s="235"/>
      <c r="C3" s="235"/>
      <c r="D3" s="235"/>
      <c r="G3" s="27"/>
      <c r="H3" s="88"/>
      <c r="I3" s="27"/>
    </row>
    <row r="4" spans="1:10" ht="14.25" x14ac:dyDescent="0.2">
      <c r="A4" s="2"/>
      <c r="B4" s="1"/>
      <c r="C4" s="42"/>
      <c r="D4" s="2"/>
      <c r="G4" s="27"/>
      <c r="H4" s="88"/>
      <c r="I4" s="27"/>
    </row>
    <row r="5" spans="1:10" ht="15" x14ac:dyDescent="0.2">
      <c r="A5" s="236" t="s">
        <v>7</v>
      </c>
      <c r="B5" s="236"/>
      <c r="C5" s="236"/>
      <c r="D5" s="236"/>
      <c r="G5" s="53"/>
      <c r="H5" s="88"/>
      <c r="I5" s="27"/>
    </row>
    <row r="6" spans="1:10" ht="14.25" x14ac:dyDescent="0.2">
      <c r="A6" s="235" t="s">
        <v>233</v>
      </c>
      <c r="B6" s="235"/>
      <c r="C6" s="235"/>
      <c r="D6" s="235"/>
      <c r="G6" s="27"/>
      <c r="H6" s="88"/>
      <c r="I6" s="27"/>
    </row>
    <row r="7" spans="1:10" ht="15.75" thickBot="1" x14ac:dyDescent="0.25">
      <c r="A7" s="236" t="s">
        <v>8</v>
      </c>
      <c r="B7" s="236"/>
      <c r="C7" s="236"/>
      <c r="D7" s="236"/>
      <c r="H7" s="88"/>
      <c r="I7" s="27"/>
    </row>
    <row r="8" spans="1:10" ht="12.75" customHeight="1" thickTop="1" x14ac:dyDescent="0.2">
      <c r="A8" s="229" t="s">
        <v>10</v>
      </c>
      <c r="B8" s="229" t="s">
        <v>9</v>
      </c>
      <c r="C8" s="232" t="s">
        <v>4</v>
      </c>
      <c r="D8" s="229" t="s">
        <v>5</v>
      </c>
      <c r="H8" s="88"/>
      <c r="I8" s="27"/>
    </row>
    <row r="9" spans="1:10" ht="12.75" customHeight="1" x14ac:dyDescent="0.2">
      <c r="A9" s="230"/>
      <c r="B9" s="230"/>
      <c r="C9" s="233"/>
      <c r="D9" s="230"/>
    </row>
    <row r="10" spans="1:10" ht="13.5" customHeight="1" thickBot="1" x14ac:dyDescent="0.25">
      <c r="A10" s="231"/>
      <c r="B10" s="231"/>
      <c r="C10" s="234"/>
      <c r="D10" s="231"/>
      <c r="H10" s="17" t="s">
        <v>171</v>
      </c>
      <c r="I10" s="29" t="s">
        <v>189</v>
      </c>
      <c r="J10" s="29" t="s">
        <v>190</v>
      </c>
    </row>
    <row r="11" spans="1:10" s="7" customFormat="1" ht="15" customHeight="1" thickTop="1" x14ac:dyDescent="0.2">
      <c r="A11" s="34" t="s">
        <v>123</v>
      </c>
      <c r="B11" s="35">
        <v>10101010</v>
      </c>
      <c r="C11" s="50">
        <v>773183.31</v>
      </c>
      <c r="D11" s="50"/>
      <c r="F11" s="225" t="s">
        <v>172</v>
      </c>
      <c r="G11" s="227">
        <f>SUM(C11:C13)</f>
        <v>155841937.81</v>
      </c>
      <c r="H11" s="19"/>
      <c r="I11" s="220">
        <f>G11</f>
        <v>155841937.81</v>
      </c>
      <c r="J11" s="220">
        <v>0</v>
      </c>
    </row>
    <row r="12" spans="1:10" s="7" customFormat="1" ht="15" customHeight="1" x14ac:dyDescent="0.2">
      <c r="A12" s="56" t="s">
        <v>67</v>
      </c>
      <c r="B12" s="57">
        <v>10101020</v>
      </c>
      <c r="C12" s="51">
        <f>'[1]10101020'!$F$46</f>
        <v>43642.380000000005</v>
      </c>
      <c r="D12" s="51"/>
      <c r="F12" s="225"/>
      <c r="G12" s="227"/>
      <c r="H12" s="19"/>
      <c r="I12" s="221"/>
      <c r="J12" s="221"/>
    </row>
    <row r="13" spans="1:10" s="7" customFormat="1" ht="15" customHeight="1" x14ac:dyDescent="0.2">
      <c r="A13" s="56" t="s">
        <v>226</v>
      </c>
      <c r="B13" s="57">
        <v>10102020</v>
      </c>
      <c r="C13" s="51">
        <v>155025112.12</v>
      </c>
      <c r="D13" s="51"/>
      <c r="F13" s="225"/>
      <c r="G13" s="227"/>
      <c r="H13" s="19"/>
      <c r="I13" s="221"/>
      <c r="J13" s="221"/>
    </row>
    <row r="14" spans="1:10" s="7" customFormat="1" ht="15" customHeight="1" x14ac:dyDescent="0.2">
      <c r="A14" s="56" t="s">
        <v>68</v>
      </c>
      <c r="B14" s="57">
        <v>10205990</v>
      </c>
      <c r="C14" s="51">
        <f>'[1]10205990'!$F$44</f>
        <v>72000</v>
      </c>
      <c r="D14" s="51"/>
      <c r="F14" s="24" t="s">
        <v>173</v>
      </c>
      <c r="G14" s="86">
        <f>C14</f>
        <v>72000</v>
      </c>
      <c r="H14" s="19"/>
      <c r="I14" s="22"/>
      <c r="J14" s="30">
        <f>G14</f>
        <v>72000</v>
      </c>
    </row>
    <row r="15" spans="1:10" s="62" customFormat="1" ht="15" customHeight="1" x14ac:dyDescent="0.2">
      <c r="A15" s="56" t="s">
        <v>11</v>
      </c>
      <c r="B15" s="57">
        <v>10301020</v>
      </c>
      <c r="C15" s="51">
        <v>14296547.380000001</v>
      </c>
      <c r="D15" s="51"/>
      <c r="F15" s="225" t="s">
        <v>174</v>
      </c>
      <c r="G15" s="227">
        <f>SUM(C15:C25)-(D20)</f>
        <v>40451751.640000001</v>
      </c>
      <c r="H15" s="65"/>
      <c r="I15" s="77">
        <f>C15</f>
        <v>14296547.380000001</v>
      </c>
      <c r="J15" s="77"/>
    </row>
    <row r="16" spans="1:10" s="7" customFormat="1" ht="15" customHeight="1" x14ac:dyDescent="0.2">
      <c r="A16" s="56" t="s">
        <v>133</v>
      </c>
      <c r="B16" s="57">
        <v>10303010</v>
      </c>
      <c r="C16" s="51">
        <f>'[1]10303010'!$F$44</f>
        <v>33742.129999999997</v>
      </c>
      <c r="D16" s="51"/>
      <c r="F16" s="225"/>
      <c r="G16" s="228"/>
      <c r="H16" s="19"/>
      <c r="I16" s="87"/>
      <c r="J16" s="86">
        <f>C16</f>
        <v>33742.129999999997</v>
      </c>
    </row>
    <row r="17" spans="1:13" s="7" customFormat="1" ht="15" customHeight="1" x14ac:dyDescent="0.2">
      <c r="A17" s="56" t="s">
        <v>50</v>
      </c>
      <c r="B17" s="57">
        <v>10303020</v>
      </c>
      <c r="C17" s="51">
        <f>'[1]10303020'!$F$44</f>
        <v>45818.23</v>
      </c>
      <c r="D17" s="51"/>
      <c r="F17" s="225"/>
      <c r="G17" s="228"/>
      <c r="H17" s="19"/>
      <c r="I17" s="87"/>
      <c r="J17" s="86">
        <f>C17</f>
        <v>45818.23</v>
      </c>
    </row>
    <row r="18" spans="1:13" s="7" customFormat="1" ht="15" customHeight="1" x14ac:dyDescent="0.2">
      <c r="A18" s="56" t="s">
        <v>51</v>
      </c>
      <c r="B18" s="57">
        <v>10303030</v>
      </c>
      <c r="C18" s="51">
        <f>'[1]10303030'!$F$44</f>
        <v>85141.1</v>
      </c>
      <c r="D18" s="51"/>
      <c r="F18" s="225"/>
      <c r="G18" s="228"/>
      <c r="H18" s="19"/>
      <c r="I18" s="87"/>
      <c r="J18" s="86">
        <f>C18</f>
        <v>85141.1</v>
      </c>
      <c r="M18" s="36"/>
    </row>
    <row r="19" spans="1:13" s="7" customFormat="1" ht="15" customHeight="1" x14ac:dyDescent="0.2">
      <c r="A19" s="56" t="s">
        <v>12</v>
      </c>
      <c r="B19" s="57">
        <v>10304050</v>
      </c>
      <c r="C19" s="51">
        <v>21298163.02</v>
      </c>
      <c r="D19" s="51"/>
      <c r="F19" s="225"/>
      <c r="G19" s="228"/>
      <c r="H19" s="19"/>
      <c r="I19" s="76">
        <f>C19</f>
        <v>21298163.02</v>
      </c>
      <c r="J19" s="37"/>
      <c r="L19" s="36"/>
    </row>
    <row r="20" spans="1:13" s="7" customFormat="1" ht="15" customHeight="1" x14ac:dyDescent="0.2">
      <c r="A20" s="56" t="s">
        <v>125</v>
      </c>
      <c r="B20" s="57">
        <v>10305010</v>
      </c>
      <c r="C20" s="51">
        <v>274660</v>
      </c>
      <c r="D20" s="51"/>
      <c r="F20" s="225"/>
      <c r="G20" s="228"/>
      <c r="H20" s="19"/>
      <c r="I20" s="86">
        <f>C20</f>
        <v>274660</v>
      </c>
      <c r="J20" s="22"/>
    </row>
    <row r="21" spans="1:13" s="7" customFormat="1" ht="15" customHeight="1" x14ac:dyDescent="0.2">
      <c r="A21" s="56" t="s">
        <v>69</v>
      </c>
      <c r="B21" s="57">
        <v>10305020</v>
      </c>
      <c r="C21" s="51">
        <v>1000.76</v>
      </c>
      <c r="D21" s="51"/>
      <c r="F21" s="225"/>
      <c r="G21" s="228"/>
      <c r="H21" s="19"/>
      <c r="I21" s="86">
        <f>C21</f>
        <v>1000.76</v>
      </c>
      <c r="J21" s="22"/>
      <c r="K21" s="36">
        <f>SUM(I15:I22)</f>
        <v>40255573.719999999</v>
      </c>
      <c r="L21" s="36"/>
    </row>
    <row r="22" spans="1:13" s="62" customFormat="1" ht="15" customHeight="1" x14ac:dyDescent="0.2">
      <c r="A22" s="56" t="s">
        <v>70</v>
      </c>
      <c r="B22" s="57">
        <v>10305040</v>
      </c>
      <c r="C22" s="51">
        <v>4385202.5599999996</v>
      </c>
      <c r="D22" s="51"/>
      <c r="F22" s="225"/>
      <c r="G22" s="228"/>
      <c r="H22" s="65"/>
      <c r="I22" s="78">
        <f>C22</f>
        <v>4385202.5599999996</v>
      </c>
      <c r="J22" s="77"/>
      <c r="K22" s="79">
        <f>SUM(J16:J25)</f>
        <v>196177.92000000001</v>
      </c>
    </row>
    <row r="23" spans="1:13" s="7" customFormat="1" ht="15" customHeight="1" x14ac:dyDescent="0.2">
      <c r="A23" s="56" t="s">
        <v>124</v>
      </c>
      <c r="B23" s="57">
        <v>10306010</v>
      </c>
      <c r="C23" s="51">
        <f>'[1]10306010'!$F$44</f>
        <v>23333.02</v>
      </c>
      <c r="D23" s="51"/>
      <c r="F23" s="225"/>
      <c r="G23" s="228"/>
      <c r="H23" s="19"/>
      <c r="I23" s="87"/>
      <c r="J23" s="86">
        <f>C23</f>
        <v>23333.02</v>
      </c>
      <c r="K23" s="36">
        <f>SUM(K21:K22)</f>
        <v>40451751.640000001</v>
      </c>
      <c r="L23" s="36"/>
    </row>
    <row r="24" spans="1:13" s="7" customFormat="1" ht="15" customHeight="1" x14ac:dyDescent="0.2">
      <c r="A24" s="56" t="s">
        <v>134</v>
      </c>
      <c r="B24" s="57">
        <v>10306020</v>
      </c>
      <c r="C24" s="51">
        <f>'[1]10306020'!$F$44</f>
        <v>4002.72</v>
      </c>
      <c r="D24" s="51"/>
      <c r="F24" s="225"/>
      <c r="G24" s="228"/>
      <c r="H24" s="19"/>
      <c r="I24" s="87"/>
      <c r="J24" s="86">
        <f>C24</f>
        <v>4002.72</v>
      </c>
      <c r="K24" s="75"/>
      <c r="L24" s="36"/>
    </row>
    <row r="25" spans="1:13" s="7" customFormat="1" ht="15" customHeight="1" x14ac:dyDescent="0.2">
      <c r="A25" s="56" t="s">
        <v>13</v>
      </c>
      <c r="B25" s="57">
        <v>10306990</v>
      </c>
      <c r="C25" s="51">
        <v>4140.72</v>
      </c>
      <c r="D25" s="51"/>
      <c r="F25" s="225"/>
      <c r="G25" s="228"/>
      <c r="H25" s="19"/>
      <c r="I25" s="87"/>
      <c r="J25" s="86">
        <f>C25</f>
        <v>4140.72</v>
      </c>
    </row>
    <row r="26" spans="1:13" s="7" customFormat="1" ht="15" customHeight="1" x14ac:dyDescent="0.2">
      <c r="A26" s="56" t="s">
        <v>135</v>
      </c>
      <c r="B26" s="57">
        <v>10402090</v>
      </c>
      <c r="C26" s="51">
        <v>2624853.35</v>
      </c>
      <c r="D26" s="51"/>
      <c r="F26" s="225" t="s">
        <v>175</v>
      </c>
      <c r="G26" s="222">
        <f>SUM(C26:C31)</f>
        <v>6830529.8100000005</v>
      </c>
      <c r="H26" s="19"/>
      <c r="I26" s="220"/>
      <c r="J26" s="220"/>
    </row>
    <row r="27" spans="1:13" s="7" customFormat="1" ht="15" customHeight="1" x14ac:dyDescent="0.2">
      <c r="A27" s="56" t="s">
        <v>65</v>
      </c>
      <c r="B27" s="57">
        <v>10404010</v>
      </c>
      <c r="C27" s="51">
        <v>316243.65999999997</v>
      </c>
      <c r="D27" s="51"/>
      <c r="F27" s="225"/>
      <c r="G27" s="223"/>
      <c r="H27" s="19"/>
      <c r="I27" s="221"/>
      <c r="J27" s="221"/>
    </row>
    <row r="28" spans="1:13" s="7" customFormat="1" ht="15" customHeight="1" x14ac:dyDescent="0.2">
      <c r="A28" s="56" t="s">
        <v>219</v>
      </c>
      <c r="B28" s="57">
        <v>10404060</v>
      </c>
      <c r="C28" s="51">
        <v>1600654.74</v>
      </c>
      <c r="D28" s="51"/>
      <c r="F28" s="225"/>
      <c r="G28" s="223"/>
      <c r="H28" s="19"/>
      <c r="I28" s="221"/>
      <c r="J28" s="221"/>
    </row>
    <row r="29" spans="1:13" s="7" customFormat="1" ht="15" customHeight="1" x14ac:dyDescent="0.2">
      <c r="A29" s="56" t="s">
        <v>196</v>
      </c>
      <c r="B29" s="57">
        <v>10404070</v>
      </c>
      <c r="C29" s="51">
        <v>221295.61</v>
      </c>
      <c r="D29" s="51"/>
      <c r="F29" s="225"/>
      <c r="G29" s="223"/>
      <c r="H29" s="19"/>
      <c r="I29" s="221"/>
      <c r="J29" s="221"/>
    </row>
    <row r="30" spans="1:13" s="7" customFormat="1" ht="15" customHeight="1" x14ac:dyDescent="0.2">
      <c r="A30" s="56" t="s">
        <v>188</v>
      </c>
      <c r="B30" s="57">
        <v>10404090</v>
      </c>
      <c r="C30" s="51">
        <v>23374.48</v>
      </c>
      <c r="D30" s="51"/>
      <c r="F30" s="225"/>
      <c r="G30" s="223"/>
      <c r="H30" s="19"/>
      <c r="I30" s="221"/>
      <c r="J30" s="221"/>
    </row>
    <row r="31" spans="1:13" s="7" customFormat="1" ht="15" customHeight="1" x14ac:dyDescent="0.2">
      <c r="A31" s="56" t="s">
        <v>71</v>
      </c>
      <c r="B31" s="57">
        <v>10404990</v>
      </c>
      <c r="C31" s="51">
        <v>2044107.97</v>
      </c>
      <c r="D31" s="51"/>
      <c r="F31" s="225"/>
      <c r="G31" s="223"/>
      <c r="H31" s="19"/>
      <c r="I31" s="221"/>
      <c r="J31" s="221"/>
    </row>
    <row r="32" spans="1:13" s="7" customFormat="1" ht="15" customHeight="1" x14ac:dyDescent="0.2">
      <c r="A32" s="56" t="s">
        <v>228</v>
      </c>
      <c r="B32" s="57">
        <v>10501010</v>
      </c>
      <c r="C32" s="51">
        <v>498872.08</v>
      </c>
      <c r="D32" s="51"/>
      <c r="F32" s="224" t="s">
        <v>176</v>
      </c>
      <c r="G32" s="222">
        <f>SUM(C32:C34)</f>
        <v>531910.17000000004</v>
      </c>
      <c r="H32" s="19"/>
      <c r="I32" s="220"/>
      <c r="J32" s="220"/>
    </row>
    <row r="33" spans="1:10" s="7" customFormat="1" ht="15" customHeight="1" x14ac:dyDescent="0.2">
      <c r="A33" s="56" t="s">
        <v>49</v>
      </c>
      <c r="B33" s="57">
        <v>10501050</v>
      </c>
      <c r="C33" s="51">
        <v>3038.09</v>
      </c>
      <c r="D33" s="51"/>
      <c r="F33" s="224"/>
      <c r="G33" s="222"/>
      <c r="H33" s="19"/>
      <c r="I33" s="221"/>
      <c r="J33" s="221"/>
    </row>
    <row r="34" spans="1:10" s="7" customFormat="1" ht="15" customHeight="1" x14ac:dyDescent="0.2">
      <c r="A34" s="56" t="s">
        <v>218</v>
      </c>
      <c r="B34" s="57">
        <v>10501990</v>
      </c>
      <c r="C34" s="51">
        <f>'[1]10501990'!$F$44</f>
        <v>30000</v>
      </c>
      <c r="D34" s="51"/>
      <c r="F34" s="224"/>
      <c r="G34" s="222"/>
      <c r="H34" s="19"/>
      <c r="I34" s="22"/>
      <c r="J34" s="22"/>
    </row>
    <row r="35" spans="1:10" s="7" customFormat="1" ht="15" customHeight="1" x14ac:dyDescent="0.2">
      <c r="A35" s="56" t="s">
        <v>136</v>
      </c>
      <c r="B35" s="57">
        <v>10601030</v>
      </c>
      <c r="C35" s="51">
        <v>2374360</v>
      </c>
      <c r="D35" s="51"/>
      <c r="F35" s="24" t="s">
        <v>177</v>
      </c>
      <c r="G35" s="86">
        <f>C35</f>
        <v>2374360</v>
      </c>
      <c r="H35" s="19"/>
      <c r="I35" s="22"/>
      <c r="J35" s="22"/>
    </row>
    <row r="36" spans="1:10" s="7" customFormat="1" ht="15" customHeight="1" x14ac:dyDescent="0.2">
      <c r="A36" s="56" t="s">
        <v>14</v>
      </c>
      <c r="B36" s="57">
        <v>10701010</v>
      </c>
      <c r="C36" s="51">
        <f>'[1]10701010'!$F$44</f>
        <v>7224640</v>
      </c>
      <c r="D36" s="51"/>
      <c r="F36" s="225" t="s">
        <v>178</v>
      </c>
      <c r="G36" s="226">
        <f>SUM(C36:C80)-SUM(D36:D80)</f>
        <v>333463334.21999997</v>
      </c>
      <c r="H36" s="19"/>
      <c r="I36" s="216"/>
      <c r="J36" s="216"/>
    </row>
    <row r="37" spans="1:10" s="7" customFormat="1" ht="15" customHeight="1" x14ac:dyDescent="0.2">
      <c r="A37" s="56" t="s">
        <v>72</v>
      </c>
      <c r="B37" s="57">
        <v>10702010</v>
      </c>
      <c r="C37" s="51">
        <f>'[1]10702010'!$F$44</f>
        <v>15439991.949999999</v>
      </c>
      <c r="D37" s="51"/>
      <c r="F37" s="225"/>
      <c r="G37" s="226"/>
      <c r="H37" s="19"/>
      <c r="I37" s="216"/>
      <c r="J37" s="216"/>
    </row>
    <row r="38" spans="1:10" s="7" customFormat="1" ht="15" customHeight="1" x14ac:dyDescent="0.2">
      <c r="A38" s="56" t="s">
        <v>204</v>
      </c>
      <c r="B38" s="57">
        <v>10703010</v>
      </c>
      <c r="C38" s="51">
        <v>12833783.59</v>
      </c>
      <c r="D38" s="51"/>
      <c r="F38" s="225"/>
      <c r="G38" s="226"/>
      <c r="H38" s="19"/>
      <c r="I38" s="216"/>
      <c r="J38" s="216"/>
    </row>
    <row r="39" spans="1:10" s="7" customFormat="1" ht="15" customHeight="1" x14ac:dyDescent="0.2">
      <c r="A39" s="56" t="s">
        <v>231</v>
      </c>
      <c r="B39" s="57">
        <v>10703020</v>
      </c>
      <c r="C39" s="51">
        <v>7556056.9800000004</v>
      </c>
      <c r="D39" s="51"/>
      <c r="F39" s="225"/>
      <c r="G39" s="226"/>
      <c r="H39" s="19"/>
      <c r="I39" s="216"/>
      <c r="J39" s="216"/>
    </row>
    <row r="40" spans="1:10" s="7" customFormat="1" ht="15" customHeight="1" x14ac:dyDescent="0.2">
      <c r="A40" s="56" t="s">
        <v>214</v>
      </c>
      <c r="B40" s="57">
        <v>10703040</v>
      </c>
      <c r="C40" s="51">
        <v>91701416.989999995</v>
      </c>
      <c r="D40" s="51"/>
      <c r="F40" s="225"/>
      <c r="G40" s="226"/>
      <c r="H40" s="19"/>
      <c r="I40" s="216"/>
      <c r="J40" s="216"/>
    </row>
    <row r="41" spans="1:10" s="7" customFormat="1" ht="15" customHeight="1" x14ac:dyDescent="0.2">
      <c r="A41" s="56" t="s">
        <v>73</v>
      </c>
      <c r="B41" s="57">
        <v>10703050</v>
      </c>
      <c r="C41" s="51">
        <v>129946.35</v>
      </c>
      <c r="D41" s="51"/>
      <c r="F41" s="225"/>
      <c r="G41" s="226"/>
      <c r="H41" s="19"/>
      <c r="I41" s="216"/>
      <c r="J41" s="216"/>
    </row>
    <row r="42" spans="1:10" s="7" customFormat="1" ht="15" customHeight="1" x14ac:dyDescent="0.2">
      <c r="A42" s="56" t="s">
        <v>82</v>
      </c>
      <c r="B42" s="57">
        <v>10703051</v>
      </c>
      <c r="C42" s="51"/>
      <c r="D42" s="51">
        <f>'[2]10703051'!$F$44</f>
        <v>2659.55</v>
      </c>
      <c r="F42" s="225"/>
      <c r="G42" s="226"/>
      <c r="H42" s="19"/>
      <c r="I42" s="216"/>
      <c r="J42" s="216"/>
    </row>
    <row r="43" spans="1:10" s="7" customFormat="1" ht="15" customHeight="1" x14ac:dyDescent="0.2">
      <c r="A43" s="56" t="s">
        <v>74</v>
      </c>
      <c r="B43" s="57">
        <v>10704010</v>
      </c>
      <c r="C43" s="51">
        <v>23642659.870000001</v>
      </c>
      <c r="D43" s="51"/>
      <c r="F43" s="225"/>
      <c r="G43" s="226"/>
      <c r="H43" s="19"/>
      <c r="I43" s="216"/>
      <c r="J43" s="216"/>
    </row>
    <row r="44" spans="1:10" s="7" customFormat="1" ht="15" customHeight="1" x14ac:dyDescent="0.2">
      <c r="A44" s="56" t="s">
        <v>15</v>
      </c>
      <c r="B44" s="57">
        <v>10704020</v>
      </c>
      <c r="C44" s="51">
        <f>'[1]10704020'!$F$44</f>
        <v>5572357.3899999997</v>
      </c>
      <c r="D44" s="51"/>
      <c r="F44" s="225"/>
      <c r="G44" s="226"/>
      <c r="H44" s="19"/>
      <c r="I44" s="216"/>
      <c r="J44" s="216"/>
    </row>
    <row r="45" spans="1:10" s="7" customFormat="1" ht="15" customHeight="1" x14ac:dyDescent="0.2">
      <c r="A45" s="56" t="s">
        <v>75</v>
      </c>
      <c r="B45" s="57">
        <v>10704040</v>
      </c>
      <c r="C45" s="51">
        <v>44161657.109999999</v>
      </c>
      <c r="D45" s="51"/>
      <c r="F45" s="225"/>
      <c r="G45" s="226"/>
      <c r="H45" s="19"/>
      <c r="I45" s="216"/>
      <c r="J45" s="216"/>
    </row>
    <row r="46" spans="1:10" s="7" customFormat="1" ht="15" customHeight="1" x14ac:dyDescent="0.2">
      <c r="A46" s="56" t="s">
        <v>193</v>
      </c>
      <c r="B46" s="57">
        <v>10704050</v>
      </c>
      <c r="C46" s="51">
        <f>'[1]10704050'!$F$44</f>
        <v>2496748.44</v>
      </c>
      <c r="D46" s="51"/>
      <c r="F46" s="225"/>
      <c r="G46" s="226"/>
      <c r="H46" s="19"/>
      <c r="I46" s="216"/>
      <c r="J46" s="216"/>
    </row>
    <row r="47" spans="1:10" s="7" customFormat="1" ht="15" customHeight="1" x14ac:dyDescent="0.2">
      <c r="A47" s="56" t="s">
        <v>209</v>
      </c>
      <c r="B47" s="57">
        <v>10704990</v>
      </c>
      <c r="C47" s="51">
        <f>'[1]10704990'!$F$44</f>
        <v>3971491.5600000005</v>
      </c>
      <c r="D47" s="51"/>
      <c r="F47" s="225"/>
      <c r="G47" s="226"/>
      <c r="H47" s="19"/>
      <c r="I47" s="216"/>
      <c r="J47" s="216"/>
    </row>
    <row r="48" spans="1:10" s="7" customFormat="1" ht="15" customHeight="1" x14ac:dyDescent="0.2">
      <c r="A48" s="56" t="s">
        <v>17</v>
      </c>
      <c r="B48" s="57">
        <v>10705010</v>
      </c>
      <c r="C48" s="51">
        <v>1324131</v>
      </c>
      <c r="D48" s="51"/>
      <c r="F48" s="225"/>
      <c r="G48" s="226"/>
      <c r="H48" s="19"/>
      <c r="I48" s="216"/>
      <c r="J48" s="216"/>
    </row>
    <row r="49" spans="1:10" s="7" customFormat="1" ht="15" customHeight="1" x14ac:dyDescent="0.2">
      <c r="A49" s="56" t="s">
        <v>83</v>
      </c>
      <c r="B49" s="57">
        <v>10705011</v>
      </c>
      <c r="C49" s="51"/>
      <c r="D49" s="51">
        <v>500326.65</v>
      </c>
      <c r="F49" s="225"/>
      <c r="G49" s="226"/>
      <c r="H49" s="19"/>
      <c r="I49" s="216"/>
      <c r="J49" s="216"/>
    </row>
    <row r="50" spans="1:10" s="7" customFormat="1" ht="15" customHeight="1" x14ac:dyDescent="0.2">
      <c r="A50" s="56" t="s">
        <v>16</v>
      </c>
      <c r="B50" s="57">
        <v>10705020</v>
      </c>
      <c r="C50" s="51">
        <f>'[1]10705020'!$F$44</f>
        <v>1071276</v>
      </c>
      <c r="D50" s="51"/>
      <c r="F50" s="225"/>
      <c r="G50" s="226"/>
      <c r="H50" s="19"/>
      <c r="I50" s="216"/>
      <c r="J50" s="216"/>
    </row>
    <row r="51" spans="1:10" s="7" customFormat="1" ht="15" customHeight="1" x14ac:dyDescent="0.2">
      <c r="A51" s="56" t="s">
        <v>84</v>
      </c>
      <c r="B51" s="57">
        <v>10705021</v>
      </c>
      <c r="C51" s="51"/>
      <c r="D51" s="51">
        <v>867445.69</v>
      </c>
      <c r="F51" s="225"/>
      <c r="G51" s="226"/>
      <c r="H51" s="19"/>
      <c r="I51" s="216"/>
      <c r="J51" s="216"/>
    </row>
    <row r="52" spans="1:10" s="7" customFormat="1" ht="15" customHeight="1" x14ac:dyDescent="0.2">
      <c r="A52" s="56" t="s">
        <v>76</v>
      </c>
      <c r="B52" s="57">
        <v>10705030</v>
      </c>
      <c r="C52" s="51">
        <v>9588889.6400000006</v>
      </c>
      <c r="D52" s="51"/>
      <c r="F52" s="225"/>
      <c r="G52" s="226"/>
      <c r="H52" s="19"/>
      <c r="I52" s="216"/>
      <c r="J52" s="216"/>
    </row>
    <row r="53" spans="1:10" s="7" customFormat="1" ht="15" customHeight="1" x14ac:dyDescent="0.2">
      <c r="A53" s="67" t="s">
        <v>85</v>
      </c>
      <c r="B53" s="57">
        <v>10705031</v>
      </c>
      <c r="C53" s="51"/>
      <c r="D53" s="51">
        <v>4536877.6500000004</v>
      </c>
      <c r="F53" s="225"/>
      <c r="G53" s="226"/>
      <c r="H53" s="19"/>
      <c r="I53" s="216"/>
      <c r="J53" s="216"/>
    </row>
    <row r="54" spans="1:10" s="7" customFormat="1" ht="15" customHeight="1" x14ac:dyDescent="0.2">
      <c r="A54" s="56" t="s">
        <v>77</v>
      </c>
      <c r="B54" s="57">
        <v>10705040</v>
      </c>
      <c r="C54" s="51">
        <v>8782132</v>
      </c>
      <c r="D54" s="51"/>
      <c r="F54" s="225"/>
      <c r="G54" s="226"/>
      <c r="H54" s="19"/>
      <c r="I54" s="216"/>
      <c r="J54" s="216"/>
    </row>
    <row r="55" spans="1:10" s="7" customFormat="1" ht="15" customHeight="1" x14ac:dyDescent="0.2">
      <c r="A55" s="68" t="s">
        <v>86</v>
      </c>
      <c r="B55" s="57">
        <v>10705041</v>
      </c>
      <c r="C55" s="51"/>
      <c r="D55" s="51">
        <v>1850857.83</v>
      </c>
      <c r="F55" s="225"/>
      <c r="G55" s="226"/>
      <c r="H55" s="19"/>
      <c r="I55" s="216"/>
      <c r="J55" s="216"/>
    </row>
    <row r="56" spans="1:10" s="7" customFormat="1" ht="15" customHeight="1" x14ac:dyDescent="0.2">
      <c r="A56" s="56" t="s">
        <v>18</v>
      </c>
      <c r="B56" s="57">
        <v>10705070</v>
      </c>
      <c r="C56" s="51">
        <f>'[1]10705070'!$F$44</f>
        <v>90861.88</v>
      </c>
      <c r="D56" s="51"/>
      <c r="F56" s="225"/>
      <c r="G56" s="226"/>
      <c r="H56" s="19"/>
      <c r="I56" s="216"/>
      <c r="J56" s="216"/>
    </row>
    <row r="57" spans="1:10" s="7" customFormat="1" ht="15" customHeight="1" x14ac:dyDescent="0.2">
      <c r="A57" s="56" t="s">
        <v>87</v>
      </c>
      <c r="B57" s="57">
        <v>10705071</v>
      </c>
      <c r="C57" s="51"/>
      <c r="D57" s="51">
        <v>27376.58</v>
      </c>
      <c r="F57" s="225"/>
      <c r="G57" s="226"/>
      <c r="H57" s="19"/>
      <c r="I57" s="216"/>
      <c r="J57" s="216"/>
    </row>
    <row r="58" spans="1:10" s="7" customFormat="1" ht="15" customHeight="1" x14ac:dyDescent="0.2">
      <c r="A58" s="56" t="s">
        <v>52</v>
      </c>
      <c r="B58" s="57">
        <v>10705080</v>
      </c>
      <c r="C58" s="51">
        <f>'[1]10705080'!$F$44</f>
        <v>12978512.390000001</v>
      </c>
      <c r="D58" s="51"/>
      <c r="F58" s="225"/>
      <c r="G58" s="226"/>
      <c r="H58" s="19"/>
      <c r="I58" s="216"/>
      <c r="J58" s="216"/>
    </row>
    <row r="59" spans="1:10" s="7" customFormat="1" ht="15" customHeight="1" x14ac:dyDescent="0.2">
      <c r="A59" s="68" t="s">
        <v>88</v>
      </c>
      <c r="B59" s="57">
        <v>10705081</v>
      </c>
      <c r="C59" s="51"/>
      <c r="D59" s="51">
        <v>3957961.26</v>
      </c>
      <c r="F59" s="225"/>
      <c r="G59" s="226"/>
      <c r="H59" s="19"/>
      <c r="I59" s="216"/>
      <c r="J59" s="216"/>
    </row>
    <row r="60" spans="1:10" s="7" customFormat="1" ht="15" customHeight="1" x14ac:dyDescent="0.2">
      <c r="A60" s="68" t="s">
        <v>137</v>
      </c>
      <c r="B60" s="57">
        <v>10705090</v>
      </c>
      <c r="C60" s="51">
        <f>'[1]10705090'!$F$44</f>
        <v>4821085</v>
      </c>
      <c r="D60" s="51"/>
      <c r="F60" s="225"/>
      <c r="G60" s="226"/>
      <c r="H60" s="19"/>
      <c r="I60" s="216"/>
      <c r="J60" s="216"/>
    </row>
    <row r="61" spans="1:10" s="7" customFormat="1" ht="15" customHeight="1" x14ac:dyDescent="0.2">
      <c r="A61" s="69" t="s">
        <v>138</v>
      </c>
      <c r="B61" s="57">
        <v>10705091</v>
      </c>
      <c r="C61" s="51"/>
      <c r="D61" s="51">
        <v>1605454.34</v>
      </c>
      <c r="F61" s="225"/>
      <c r="G61" s="226"/>
      <c r="H61" s="19"/>
      <c r="I61" s="216"/>
      <c r="J61" s="216"/>
    </row>
    <row r="62" spans="1:10" s="7" customFormat="1" ht="15" customHeight="1" x14ac:dyDescent="0.2">
      <c r="A62" s="56" t="s">
        <v>208</v>
      </c>
      <c r="B62" s="57">
        <v>10705100</v>
      </c>
      <c r="C62" s="51">
        <v>334996</v>
      </c>
      <c r="D62" s="51"/>
      <c r="F62" s="225"/>
      <c r="G62" s="226"/>
      <c r="H62" s="19"/>
      <c r="I62" s="216"/>
      <c r="J62" s="216"/>
    </row>
    <row r="63" spans="1:10" s="7" customFormat="1" ht="15" customHeight="1" x14ac:dyDescent="0.2">
      <c r="A63" s="69" t="s">
        <v>221</v>
      </c>
      <c r="B63" s="57">
        <v>10705101</v>
      </c>
      <c r="C63" s="51"/>
      <c r="D63" s="51">
        <v>46680.480000000003</v>
      </c>
      <c r="F63" s="225"/>
      <c r="G63" s="226"/>
      <c r="H63" s="19"/>
      <c r="I63" s="216"/>
      <c r="J63" s="216"/>
    </row>
    <row r="64" spans="1:10" s="7" customFormat="1" ht="15" customHeight="1" x14ac:dyDescent="0.2">
      <c r="A64" s="56" t="s">
        <v>197</v>
      </c>
      <c r="B64" s="57">
        <v>10705110</v>
      </c>
      <c r="C64" s="51">
        <f>'[1]10705110'!$F$44</f>
        <v>367000</v>
      </c>
      <c r="D64" s="51"/>
      <c r="F64" s="225"/>
      <c r="G64" s="226"/>
      <c r="H64" s="19"/>
      <c r="I64" s="216"/>
      <c r="J64" s="216"/>
    </row>
    <row r="65" spans="1:10" s="7" customFormat="1" ht="15" customHeight="1" x14ac:dyDescent="0.2">
      <c r="A65" s="68" t="s">
        <v>210</v>
      </c>
      <c r="B65" s="57">
        <v>10705111</v>
      </c>
      <c r="C65" s="51"/>
      <c r="D65" s="51">
        <v>62392.5</v>
      </c>
      <c r="F65" s="225"/>
      <c r="G65" s="226"/>
      <c r="H65" s="19"/>
      <c r="I65" s="216"/>
      <c r="J65" s="216"/>
    </row>
    <row r="66" spans="1:10" s="7" customFormat="1" ht="15" customHeight="1" x14ac:dyDescent="0.2">
      <c r="A66" s="56" t="s">
        <v>22</v>
      </c>
      <c r="B66" s="57">
        <v>10705130</v>
      </c>
      <c r="C66" s="51">
        <f>'[1]10705130'!$F$44</f>
        <v>127616.5</v>
      </c>
      <c r="D66" s="51"/>
      <c r="F66" s="225"/>
      <c r="G66" s="226"/>
      <c r="H66" s="19"/>
      <c r="I66" s="216"/>
      <c r="J66" s="216"/>
    </row>
    <row r="67" spans="1:10" s="7" customFormat="1" ht="15" customHeight="1" x14ac:dyDescent="0.2">
      <c r="A67" s="56" t="s">
        <v>61</v>
      </c>
      <c r="B67" s="57">
        <v>10705140</v>
      </c>
      <c r="C67" s="51">
        <f>'[1]10705140'!$F$44</f>
        <v>21340.17</v>
      </c>
      <c r="D67" s="51"/>
      <c r="F67" s="225"/>
      <c r="G67" s="226"/>
      <c r="H67" s="19"/>
      <c r="I67" s="216"/>
      <c r="J67" s="216"/>
    </row>
    <row r="68" spans="1:10" s="7" customFormat="1" ht="15" customHeight="1" x14ac:dyDescent="0.2">
      <c r="A68" s="56" t="s">
        <v>78</v>
      </c>
      <c r="B68" s="57">
        <v>10705990</v>
      </c>
      <c r="C68" s="51">
        <v>1169809</v>
      </c>
      <c r="D68" s="51"/>
      <c r="F68" s="225"/>
      <c r="G68" s="226"/>
      <c r="H68" s="19"/>
      <c r="I68" s="216"/>
      <c r="J68" s="216"/>
    </row>
    <row r="69" spans="1:10" s="7" customFormat="1" ht="15" customHeight="1" x14ac:dyDescent="0.2">
      <c r="A69" s="68" t="s">
        <v>89</v>
      </c>
      <c r="B69" s="57">
        <v>10705991</v>
      </c>
      <c r="C69" s="51"/>
      <c r="D69" s="51">
        <v>292914.78999999998</v>
      </c>
      <c r="F69" s="225"/>
      <c r="G69" s="226"/>
      <c r="H69" s="19"/>
      <c r="I69" s="216"/>
      <c r="J69" s="216"/>
    </row>
    <row r="70" spans="1:10" s="7" customFormat="1" ht="15" customHeight="1" x14ac:dyDescent="0.2">
      <c r="A70" s="56" t="s">
        <v>19</v>
      </c>
      <c r="B70" s="57">
        <v>10706010</v>
      </c>
      <c r="C70" s="51">
        <v>8545982.8100000005</v>
      </c>
      <c r="D70" s="51"/>
      <c r="F70" s="225"/>
      <c r="G70" s="226"/>
      <c r="H70" s="19"/>
      <c r="I70" s="216"/>
      <c r="J70" s="216"/>
    </row>
    <row r="71" spans="1:10" s="7" customFormat="1" ht="15" customHeight="1" x14ac:dyDescent="0.2">
      <c r="A71" s="56" t="s">
        <v>90</v>
      </c>
      <c r="B71" s="57">
        <v>10706011</v>
      </c>
      <c r="C71" s="51"/>
      <c r="D71" s="51">
        <v>1221443.97</v>
      </c>
      <c r="F71" s="225"/>
      <c r="G71" s="226"/>
      <c r="H71" s="19"/>
      <c r="I71" s="216"/>
      <c r="J71" s="216"/>
    </row>
    <row r="72" spans="1:10" s="7" customFormat="1" ht="15" customHeight="1" x14ac:dyDescent="0.2">
      <c r="A72" s="56" t="s">
        <v>62</v>
      </c>
      <c r="B72" s="57">
        <v>10707010</v>
      </c>
      <c r="C72" s="51">
        <v>5062536.4000000004</v>
      </c>
      <c r="D72" s="51"/>
      <c r="F72" s="225"/>
      <c r="G72" s="226"/>
      <c r="H72" s="19"/>
      <c r="I72" s="216"/>
      <c r="J72" s="216"/>
    </row>
    <row r="73" spans="1:10" s="7" customFormat="1" ht="15" customHeight="1" x14ac:dyDescent="0.2">
      <c r="A73" s="56" t="s">
        <v>91</v>
      </c>
      <c r="B73" s="57">
        <v>10707011</v>
      </c>
      <c r="C73" s="51"/>
      <c r="D73" s="51">
        <v>1741577.45</v>
      </c>
      <c r="F73" s="225"/>
      <c r="G73" s="226"/>
      <c r="H73" s="19"/>
      <c r="I73" s="216"/>
      <c r="J73" s="216"/>
    </row>
    <row r="74" spans="1:10" s="7" customFormat="1" ht="15" customHeight="1" x14ac:dyDescent="0.2">
      <c r="A74" s="56" t="s">
        <v>79</v>
      </c>
      <c r="B74" s="57">
        <v>10707020</v>
      </c>
      <c r="C74" s="51">
        <f>'[1]10707020'!$F$44</f>
        <v>22350</v>
      </c>
      <c r="D74" s="51"/>
      <c r="F74" s="225"/>
      <c r="G74" s="226"/>
      <c r="H74" s="19"/>
      <c r="I74" s="216"/>
      <c r="J74" s="216"/>
    </row>
    <row r="75" spans="1:10" s="7" customFormat="1" ht="15" customHeight="1" x14ac:dyDescent="0.2">
      <c r="A75" s="56" t="s">
        <v>223</v>
      </c>
      <c r="B75" s="57">
        <v>10710010</v>
      </c>
      <c r="C75" s="51">
        <v>658625</v>
      </c>
      <c r="D75" s="51"/>
      <c r="F75" s="225"/>
      <c r="G75" s="226"/>
      <c r="H75" s="19"/>
      <c r="I75" s="216"/>
      <c r="J75" s="216"/>
    </row>
    <row r="76" spans="1:10" s="7" customFormat="1" ht="15" customHeight="1" x14ac:dyDescent="0.2">
      <c r="A76" s="56" t="s">
        <v>80</v>
      </c>
      <c r="B76" s="57">
        <v>10710020</v>
      </c>
      <c r="C76" s="51">
        <v>53379272.539999999</v>
      </c>
      <c r="D76" s="51"/>
      <c r="F76" s="225"/>
      <c r="G76" s="226"/>
      <c r="H76" s="19"/>
      <c r="I76" s="216"/>
      <c r="J76" s="216"/>
    </row>
    <row r="77" spans="1:10" s="7" customFormat="1" ht="15" customHeight="1" x14ac:dyDescent="0.2">
      <c r="A77" s="56" t="s">
        <v>81</v>
      </c>
      <c r="B77" s="57">
        <v>10710030</v>
      </c>
      <c r="C77" s="51">
        <v>24414598.66</v>
      </c>
      <c r="D77" s="51"/>
      <c r="F77" s="225"/>
      <c r="G77" s="226"/>
      <c r="H77" s="19"/>
      <c r="I77" s="216"/>
      <c r="J77" s="216"/>
    </row>
    <row r="78" spans="1:10" s="7" customFormat="1" ht="15" customHeight="1" x14ac:dyDescent="0.2">
      <c r="A78" s="68" t="s">
        <v>207</v>
      </c>
      <c r="B78" s="57">
        <v>10707021</v>
      </c>
      <c r="C78" s="51"/>
      <c r="D78" s="51">
        <v>1102.5</v>
      </c>
      <c r="F78" s="225"/>
      <c r="G78" s="226"/>
      <c r="H78" s="19"/>
      <c r="I78" s="216"/>
      <c r="J78" s="216"/>
    </row>
    <row r="79" spans="1:10" s="7" customFormat="1" ht="15" customHeight="1" x14ac:dyDescent="0.2">
      <c r="A79" s="56" t="s">
        <v>53</v>
      </c>
      <c r="B79" s="57">
        <v>10799990</v>
      </c>
      <c r="C79" s="51">
        <v>3873224.85</v>
      </c>
      <c r="D79" s="51"/>
      <c r="F79" s="225"/>
      <c r="G79" s="226"/>
      <c r="H79" s="19"/>
      <c r="I79" s="216"/>
      <c r="J79" s="216"/>
    </row>
    <row r="80" spans="1:10" s="7" customFormat="1" ht="17.850000000000001" customHeight="1" x14ac:dyDescent="0.2">
      <c r="A80" s="68" t="s">
        <v>92</v>
      </c>
      <c r="B80" s="57">
        <v>10799991</v>
      </c>
      <c r="C80" s="51"/>
      <c r="D80" s="51">
        <v>1186584.6100000001</v>
      </c>
      <c r="F80" s="225"/>
      <c r="G80" s="226"/>
      <c r="H80" s="19"/>
      <c r="I80" s="216"/>
      <c r="J80" s="216"/>
    </row>
    <row r="81" spans="1:12" s="7" customFormat="1" ht="17.850000000000001" customHeight="1" x14ac:dyDescent="0.2">
      <c r="A81" s="56" t="s">
        <v>169</v>
      </c>
      <c r="B81" s="57">
        <v>10901020</v>
      </c>
      <c r="C81" s="51">
        <f>'[1]10901020'!$F$44</f>
        <v>306599</v>
      </c>
      <c r="D81" s="51"/>
      <c r="F81" s="33" t="s">
        <v>179</v>
      </c>
      <c r="G81" s="25">
        <f>SUM(C81:C82)</f>
        <v>350599</v>
      </c>
      <c r="H81" s="38">
        <f>SUM(G10:G81)</f>
        <v>539916422.64999998</v>
      </c>
      <c r="I81" s="220"/>
      <c r="J81" s="220"/>
    </row>
    <row r="82" spans="1:12" s="7" customFormat="1" ht="15.75" customHeight="1" x14ac:dyDescent="0.2">
      <c r="A82" s="56" t="s">
        <v>166</v>
      </c>
      <c r="B82" s="57">
        <v>10901990</v>
      </c>
      <c r="C82" s="51">
        <v>44000</v>
      </c>
      <c r="D82" s="51"/>
      <c r="F82" s="33"/>
      <c r="G82" s="19"/>
      <c r="H82" s="38"/>
      <c r="I82" s="221"/>
      <c r="J82" s="221"/>
    </row>
    <row r="83" spans="1:12" s="62" customFormat="1" ht="14.25" customHeight="1" x14ac:dyDescent="0.2">
      <c r="A83" s="56" t="s">
        <v>29</v>
      </c>
      <c r="B83" s="57">
        <v>20101020</v>
      </c>
      <c r="C83" s="51"/>
      <c r="D83" s="51">
        <v>67694.710000000006</v>
      </c>
      <c r="F83" s="216" t="s">
        <v>180</v>
      </c>
      <c r="G83" s="216"/>
      <c r="H83" s="222">
        <f>SUM(D83:D84)</f>
        <v>34063113.910000004</v>
      </c>
      <c r="I83" s="59">
        <f>D83</f>
        <v>67694.710000000006</v>
      </c>
      <c r="J83" s="59"/>
    </row>
    <row r="84" spans="1:12" s="7" customFormat="1" ht="15" customHeight="1" x14ac:dyDescent="0.2">
      <c r="A84" s="56" t="s">
        <v>34</v>
      </c>
      <c r="B84" s="57">
        <v>20102040</v>
      </c>
      <c r="C84" s="51"/>
      <c r="D84" s="51">
        <v>33995419.200000003</v>
      </c>
      <c r="F84" s="216"/>
      <c r="G84" s="216"/>
      <c r="H84" s="223"/>
      <c r="I84" s="32"/>
      <c r="J84" s="28">
        <f>D84</f>
        <v>33995419.200000003</v>
      </c>
      <c r="L84" s="36"/>
    </row>
    <row r="85" spans="1:12" s="7" customFormat="1" ht="15" customHeight="1" x14ac:dyDescent="0.2">
      <c r="A85" s="56" t="s">
        <v>30</v>
      </c>
      <c r="B85" s="57">
        <v>20201010</v>
      </c>
      <c r="C85" s="51"/>
      <c r="D85" s="51">
        <v>1675442.35</v>
      </c>
      <c r="F85" s="216" t="s">
        <v>181</v>
      </c>
      <c r="G85" s="216"/>
      <c r="H85" s="222">
        <f>SUM(D85:D91)</f>
        <v>14350539.150000002</v>
      </c>
      <c r="I85" s="222"/>
      <c r="J85" s="222"/>
    </row>
    <row r="86" spans="1:12" s="7" customFormat="1" ht="15.75" customHeight="1" x14ac:dyDescent="0.2">
      <c r="A86" s="56" t="s">
        <v>31</v>
      </c>
      <c r="B86" s="57">
        <v>20201020</v>
      </c>
      <c r="C86" s="51"/>
      <c r="D86" s="51">
        <v>1966983.9</v>
      </c>
      <c r="F86" s="216"/>
      <c r="G86" s="216"/>
      <c r="H86" s="223"/>
      <c r="I86" s="223"/>
      <c r="J86" s="223"/>
    </row>
    <row r="87" spans="1:12" s="7" customFormat="1" ht="15" customHeight="1" x14ac:dyDescent="0.2">
      <c r="A87" s="56" t="s">
        <v>54</v>
      </c>
      <c r="B87" s="57">
        <v>20201030</v>
      </c>
      <c r="C87" s="51"/>
      <c r="D87" s="51">
        <v>97987.75</v>
      </c>
      <c r="F87" s="216"/>
      <c r="G87" s="216"/>
      <c r="H87" s="223"/>
      <c r="I87" s="223"/>
      <c r="J87" s="223"/>
    </row>
    <row r="88" spans="1:12" s="7" customFormat="1" ht="15" customHeight="1" x14ac:dyDescent="0.2">
      <c r="A88" s="56" t="s">
        <v>55</v>
      </c>
      <c r="B88" s="57">
        <v>20201040</v>
      </c>
      <c r="C88" s="51"/>
      <c r="D88" s="51">
        <v>141541.35</v>
      </c>
      <c r="F88" s="216"/>
      <c r="G88" s="216"/>
      <c r="H88" s="223"/>
      <c r="I88" s="223"/>
      <c r="J88" s="223"/>
    </row>
    <row r="89" spans="1:12" s="7" customFormat="1" ht="15" customHeight="1" x14ac:dyDescent="0.2">
      <c r="A89" s="56" t="s">
        <v>93</v>
      </c>
      <c r="B89" s="57">
        <v>20201050</v>
      </c>
      <c r="C89" s="51"/>
      <c r="D89" s="51">
        <v>5632840.1100000003</v>
      </c>
      <c r="F89" s="216"/>
      <c r="G89" s="216"/>
      <c r="H89" s="223"/>
      <c r="I89" s="223"/>
      <c r="J89" s="223"/>
    </row>
    <row r="90" spans="1:12" s="7" customFormat="1" ht="15" customHeight="1" x14ac:dyDescent="0.2">
      <c r="A90" s="56" t="s">
        <v>94</v>
      </c>
      <c r="B90" s="57">
        <v>20201060</v>
      </c>
      <c r="C90" s="51"/>
      <c r="D90" s="51">
        <v>148523.39000000001</v>
      </c>
      <c r="F90" s="216"/>
      <c r="G90" s="216"/>
      <c r="H90" s="223"/>
      <c r="I90" s="223"/>
      <c r="J90" s="223"/>
      <c r="L90" s="75">
        <f>H94+H95</f>
        <v>14550077.34</v>
      </c>
    </row>
    <row r="91" spans="1:12" s="7" customFormat="1" ht="15" customHeight="1" x14ac:dyDescent="0.2">
      <c r="A91" s="56" t="s">
        <v>56</v>
      </c>
      <c r="B91" s="57">
        <v>20201070</v>
      </c>
      <c r="C91" s="51"/>
      <c r="D91" s="51">
        <v>4687220.3</v>
      </c>
      <c r="F91" s="216"/>
      <c r="G91" s="216"/>
      <c r="H91" s="223"/>
      <c r="I91" s="223"/>
      <c r="J91" s="223"/>
    </row>
    <row r="92" spans="1:12" s="7" customFormat="1" ht="15" customHeight="1" x14ac:dyDescent="0.2">
      <c r="A92" s="56" t="s">
        <v>32</v>
      </c>
      <c r="B92" s="57">
        <v>20301010</v>
      </c>
      <c r="C92" s="51"/>
      <c r="D92" s="51">
        <v>5734628.4000000004</v>
      </c>
      <c r="F92" s="216" t="s">
        <v>182</v>
      </c>
      <c r="G92" s="216"/>
      <c r="H92" s="28">
        <f>D92</f>
        <v>5734628.4000000004</v>
      </c>
      <c r="I92" s="22"/>
      <c r="J92" s="22"/>
    </row>
    <row r="93" spans="1:12" s="62" customFormat="1" ht="15" customHeight="1" x14ac:dyDescent="0.2">
      <c r="A93" s="56" t="s">
        <v>95</v>
      </c>
      <c r="B93" s="57">
        <v>20401040</v>
      </c>
      <c r="C93" s="52"/>
      <c r="D93" s="51">
        <v>711907.62</v>
      </c>
      <c r="F93" s="217" t="s">
        <v>183</v>
      </c>
      <c r="G93" s="217"/>
      <c r="H93" s="59">
        <f>D93</f>
        <v>711907.62</v>
      </c>
      <c r="I93" s="64"/>
      <c r="J93" s="64"/>
    </row>
    <row r="94" spans="1:12" s="7" customFormat="1" ht="15" customHeight="1" x14ac:dyDescent="0.2">
      <c r="A94" s="56" t="s">
        <v>96</v>
      </c>
      <c r="B94" s="57">
        <v>20501010</v>
      </c>
      <c r="C94" s="52"/>
      <c r="D94" s="51">
        <v>14003509.5</v>
      </c>
      <c r="F94" s="216" t="s">
        <v>184</v>
      </c>
      <c r="G94" s="216"/>
      <c r="H94" s="28">
        <f>D94</f>
        <v>14003509.5</v>
      </c>
      <c r="I94" s="22"/>
      <c r="J94" s="22"/>
    </row>
    <row r="95" spans="1:12" s="58" customFormat="1" ht="15" customHeight="1" x14ac:dyDescent="0.2">
      <c r="A95" s="56" t="s">
        <v>33</v>
      </c>
      <c r="B95" s="57">
        <v>29999990</v>
      </c>
      <c r="C95" s="52"/>
      <c r="D95" s="51">
        <v>546567.84</v>
      </c>
      <c r="F95" s="218" t="s">
        <v>33</v>
      </c>
      <c r="G95" s="218"/>
      <c r="H95" s="59">
        <f>D95</f>
        <v>546567.84</v>
      </c>
      <c r="I95" s="60"/>
      <c r="J95" s="60"/>
    </row>
    <row r="96" spans="1:12" s="7" customFormat="1" ht="15" customHeight="1" x14ac:dyDescent="0.2">
      <c r="A96" s="56" t="s">
        <v>35</v>
      </c>
      <c r="B96" s="57">
        <v>30101010</v>
      </c>
      <c r="C96" s="52"/>
      <c r="D96" s="51">
        <v>444197659.80000001</v>
      </c>
      <c r="F96" s="216" t="s">
        <v>35</v>
      </c>
      <c r="G96" s="216"/>
      <c r="H96" s="25">
        <f>SUM(D96:D209)-SUM(C96:C209)</f>
        <v>470506156.22999996</v>
      </c>
      <c r="I96" s="22"/>
      <c r="J96" s="22"/>
    </row>
    <row r="97" spans="1:10" s="7" customFormat="1" ht="15" customHeight="1" x14ac:dyDescent="0.2">
      <c r="A97" s="56" t="s">
        <v>97</v>
      </c>
      <c r="B97" s="57">
        <v>30101020</v>
      </c>
      <c r="C97" s="52">
        <v>5160537.58</v>
      </c>
      <c r="D97" s="51"/>
      <c r="F97" s="216"/>
      <c r="G97" s="216"/>
      <c r="H97" s="19"/>
      <c r="I97" s="22"/>
      <c r="J97" s="22"/>
    </row>
    <row r="98" spans="1:10" s="7" customFormat="1" ht="15" customHeight="1" x14ac:dyDescent="0.2">
      <c r="A98" s="56" t="s">
        <v>128</v>
      </c>
      <c r="B98" s="57">
        <v>40101020</v>
      </c>
      <c r="C98" s="52"/>
      <c r="D98" s="51">
        <v>1380</v>
      </c>
      <c r="F98" s="24"/>
      <c r="G98" s="22"/>
      <c r="H98" s="38">
        <f>SUM(H83:H97)</f>
        <v>539916422.64999998</v>
      </c>
      <c r="I98" s="22"/>
      <c r="J98" s="22"/>
    </row>
    <row r="99" spans="1:10" s="7" customFormat="1" ht="15" customHeight="1" x14ac:dyDescent="0.2">
      <c r="A99" s="56" t="s">
        <v>37</v>
      </c>
      <c r="B99" s="57">
        <v>40101050</v>
      </c>
      <c r="C99" s="52"/>
      <c r="D99" s="51">
        <v>501471.65</v>
      </c>
      <c r="F99" s="24"/>
      <c r="G99" s="22"/>
      <c r="H99" s="33">
        <f>H81-H98</f>
        <v>0</v>
      </c>
      <c r="I99" s="22"/>
      <c r="J99" s="22"/>
    </row>
    <row r="100" spans="1:10" s="7" customFormat="1" ht="15" customHeight="1" x14ac:dyDescent="0.2">
      <c r="A100" s="56" t="s">
        <v>98</v>
      </c>
      <c r="B100" s="57">
        <v>40102040</v>
      </c>
      <c r="C100" s="52"/>
      <c r="D100" s="51">
        <v>861017.37</v>
      </c>
      <c r="F100" s="24"/>
      <c r="G100" s="22"/>
      <c r="H100" s="19"/>
      <c r="I100" s="22"/>
      <c r="J100" s="22"/>
    </row>
    <row r="101" spans="1:10" s="7" customFormat="1" ht="15" customHeight="1" x14ac:dyDescent="0.2">
      <c r="A101" s="56" t="s">
        <v>99</v>
      </c>
      <c r="B101" s="57">
        <v>40102041</v>
      </c>
      <c r="C101" s="52">
        <v>144705.5</v>
      </c>
      <c r="D101" s="51"/>
      <c r="F101" s="24"/>
      <c r="G101" s="61"/>
      <c r="H101" s="19"/>
      <c r="I101" s="22"/>
      <c r="J101" s="22"/>
    </row>
    <row r="102" spans="1:10" s="7" customFormat="1" ht="15" customHeight="1" x14ac:dyDescent="0.2">
      <c r="A102" s="56" t="s">
        <v>130</v>
      </c>
      <c r="B102" s="57">
        <v>40102080</v>
      </c>
      <c r="C102" s="52"/>
      <c r="D102" s="51">
        <v>2541.6999999999998</v>
      </c>
      <c r="F102" s="24"/>
      <c r="G102" s="22"/>
      <c r="H102" s="19"/>
      <c r="I102" s="22"/>
      <c r="J102" s="22"/>
    </row>
    <row r="103" spans="1:10" s="7" customFormat="1" ht="15" customHeight="1" x14ac:dyDescent="0.2">
      <c r="A103" s="56" t="s">
        <v>36</v>
      </c>
      <c r="B103" s="57">
        <v>40103030</v>
      </c>
      <c r="C103" s="52"/>
      <c r="D103" s="51">
        <v>1036858.95</v>
      </c>
      <c r="F103" s="24"/>
      <c r="G103" s="22"/>
      <c r="H103" s="19"/>
      <c r="I103" s="22"/>
      <c r="J103" s="22"/>
    </row>
    <row r="104" spans="1:10" s="7" customFormat="1" ht="15" customHeight="1" x14ac:dyDescent="0.2">
      <c r="A104" s="56" t="s">
        <v>132</v>
      </c>
      <c r="B104" s="57">
        <v>40103040</v>
      </c>
      <c r="C104" s="52"/>
      <c r="D104" s="51">
        <v>145806</v>
      </c>
      <c r="F104" s="66"/>
      <c r="G104" s="30"/>
      <c r="H104" s="55"/>
      <c r="I104" s="22"/>
      <c r="J104" s="22"/>
    </row>
    <row r="105" spans="1:10" s="7" customFormat="1" ht="16.5" customHeight="1" x14ac:dyDescent="0.2">
      <c r="A105" s="56" t="s">
        <v>38</v>
      </c>
      <c r="B105" s="57">
        <v>40103050</v>
      </c>
      <c r="C105" s="52"/>
      <c r="D105" s="51">
        <v>6290</v>
      </c>
      <c r="F105" s="24"/>
      <c r="G105" s="30"/>
      <c r="H105" s="55"/>
      <c r="I105" s="22"/>
      <c r="J105" s="22"/>
    </row>
    <row r="106" spans="1:10" s="7" customFormat="1" ht="16.5" customHeight="1" x14ac:dyDescent="0.2">
      <c r="A106" s="56" t="s">
        <v>139</v>
      </c>
      <c r="B106" s="57">
        <v>40103060</v>
      </c>
      <c r="C106" s="52"/>
      <c r="D106" s="51">
        <v>2000</v>
      </c>
      <c r="F106" s="24"/>
      <c r="G106" s="30"/>
      <c r="H106" s="19"/>
      <c r="I106" s="22"/>
      <c r="J106" s="22"/>
    </row>
    <row r="107" spans="1:10" s="7" customFormat="1" ht="16.5" customHeight="1" x14ac:dyDescent="0.2">
      <c r="A107" s="56" t="s">
        <v>126</v>
      </c>
      <c r="B107" s="57">
        <v>40103070</v>
      </c>
      <c r="C107" s="52"/>
      <c r="D107" s="51">
        <v>1530</v>
      </c>
      <c r="F107" s="24"/>
      <c r="G107" s="22"/>
      <c r="H107" s="19"/>
      <c r="I107" s="22"/>
      <c r="J107" s="22"/>
    </row>
    <row r="108" spans="1:10" s="7" customFormat="1" ht="15" hidden="1" customHeight="1" x14ac:dyDescent="0.2">
      <c r="A108" s="56" t="s">
        <v>100</v>
      </c>
      <c r="B108" s="57">
        <v>40104990</v>
      </c>
      <c r="C108" s="52"/>
      <c r="D108" s="51"/>
      <c r="F108" s="24"/>
      <c r="G108" s="41"/>
      <c r="H108" s="19"/>
      <c r="I108" s="22"/>
      <c r="J108" s="22"/>
    </row>
    <row r="109" spans="1:10" s="7" customFormat="1" ht="15" customHeight="1" x14ac:dyDescent="0.2">
      <c r="A109" s="56" t="s">
        <v>101</v>
      </c>
      <c r="B109" s="57">
        <v>40105020</v>
      </c>
      <c r="C109" s="52"/>
      <c r="D109" s="51">
        <v>47258.36</v>
      </c>
      <c r="F109" s="24"/>
      <c r="G109" s="22"/>
      <c r="H109" s="19"/>
      <c r="I109" s="22"/>
      <c r="J109" s="22"/>
    </row>
    <row r="110" spans="1:10" s="7" customFormat="1" ht="15" customHeight="1" x14ac:dyDescent="0.2">
      <c r="A110" s="56" t="s">
        <v>102</v>
      </c>
      <c r="B110" s="57">
        <v>40106010</v>
      </c>
      <c r="C110" s="52"/>
      <c r="D110" s="51">
        <v>55501722</v>
      </c>
      <c r="F110" s="24"/>
      <c r="G110" s="61"/>
      <c r="H110" s="19"/>
      <c r="I110" s="22"/>
      <c r="J110" s="22"/>
    </row>
    <row r="111" spans="1:10" s="7" customFormat="1" ht="15" hidden="1" customHeight="1" x14ac:dyDescent="0.2">
      <c r="A111" s="56" t="s">
        <v>192</v>
      </c>
      <c r="B111" s="57">
        <v>40106030</v>
      </c>
      <c r="C111" s="52"/>
      <c r="D111" s="51"/>
      <c r="F111" s="24"/>
      <c r="G111" s="22"/>
      <c r="H111" s="19"/>
      <c r="I111" s="22"/>
      <c r="J111" s="22"/>
    </row>
    <row r="112" spans="1:10" s="7" customFormat="1" ht="15" customHeight="1" x14ac:dyDescent="0.2">
      <c r="A112" s="56" t="s">
        <v>39</v>
      </c>
      <c r="B112" s="57">
        <v>40201010</v>
      </c>
      <c r="C112" s="52"/>
      <c r="D112" s="51">
        <v>884288.99</v>
      </c>
      <c r="F112" s="24"/>
      <c r="G112" s="22"/>
      <c r="H112" s="19"/>
      <c r="I112" s="22"/>
      <c r="J112" s="22"/>
    </row>
    <row r="113" spans="1:10" s="7" customFormat="1" ht="15" customHeight="1" x14ac:dyDescent="0.2">
      <c r="A113" s="56" t="s">
        <v>40</v>
      </c>
      <c r="B113" s="57">
        <v>40201020</v>
      </c>
      <c r="C113" s="52"/>
      <c r="D113" s="51">
        <v>8078</v>
      </c>
      <c r="F113" s="24"/>
      <c r="G113" s="22"/>
      <c r="H113" s="19"/>
      <c r="I113" s="22"/>
      <c r="J113" s="22"/>
    </row>
    <row r="114" spans="1:10" s="7" customFormat="1" ht="15" hidden="1" customHeight="1" x14ac:dyDescent="0.2">
      <c r="A114" s="56" t="s">
        <v>205</v>
      </c>
      <c r="B114" s="57">
        <v>40201030</v>
      </c>
      <c r="C114" s="52"/>
      <c r="D114" s="51"/>
      <c r="F114" s="24"/>
      <c r="G114" s="22"/>
      <c r="H114" s="19"/>
      <c r="I114" s="22"/>
      <c r="J114" s="22"/>
    </row>
    <row r="115" spans="1:10" s="62" customFormat="1" ht="15" customHeight="1" x14ac:dyDescent="0.2">
      <c r="A115" s="56" t="s">
        <v>41</v>
      </c>
      <c r="B115" s="57">
        <v>40201040</v>
      </c>
      <c r="C115" s="52"/>
      <c r="D115" s="51">
        <v>556265</v>
      </c>
      <c r="F115" s="63"/>
      <c r="G115" s="64"/>
      <c r="H115" s="65"/>
      <c r="I115" s="64"/>
      <c r="J115" s="64"/>
    </row>
    <row r="116" spans="1:10" s="7" customFormat="1" ht="15" customHeight="1" x14ac:dyDescent="0.2">
      <c r="A116" s="56" t="s">
        <v>43</v>
      </c>
      <c r="B116" s="57">
        <v>40201100</v>
      </c>
      <c r="C116" s="52"/>
      <c r="D116" s="51">
        <v>1559430</v>
      </c>
      <c r="F116" s="24"/>
      <c r="G116" s="22"/>
      <c r="H116" s="19"/>
      <c r="I116" s="22"/>
      <c r="J116" s="22"/>
    </row>
    <row r="117" spans="1:10" s="7" customFormat="1" ht="15" customHeight="1" x14ac:dyDescent="0.2">
      <c r="A117" s="56" t="s">
        <v>103</v>
      </c>
      <c r="B117" s="57">
        <v>40201140</v>
      </c>
      <c r="C117" s="52"/>
      <c r="D117" s="51">
        <v>170700</v>
      </c>
      <c r="F117" s="24"/>
      <c r="G117" s="22"/>
      <c r="H117" s="19"/>
      <c r="I117" s="22"/>
      <c r="J117" s="22"/>
    </row>
    <row r="118" spans="1:10" s="7" customFormat="1" ht="15" customHeight="1" x14ac:dyDescent="0.2">
      <c r="A118" s="56" t="s">
        <v>104</v>
      </c>
      <c r="B118" s="57">
        <v>40201160</v>
      </c>
      <c r="C118" s="52"/>
      <c r="D118" s="51">
        <v>18900</v>
      </c>
      <c r="F118" s="24"/>
      <c r="G118" s="22"/>
      <c r="H118" s="19"/>
      <c r="I118" s="22"/>
      <c r="J118" s="22"/>
    </row>
    <row r="119" spans="1:10" s="62" customFormat="1" ht="15" customHeight="1" x14ac:dyDescent="0.2">
      <c r="A119" s="56" t="s">
        <v>127</v>
      </c>
      <c r="B119" s="57">
        <v>40201980</v>
      </c>
      <c r="C119" s="52"/>
      <c r="D119" s="51">
        <v>70646.100000000006</v>
      </c>
      <c r="F119" s="63"/>
      <c r="G119" s="64"/>
      <c r="H119" s="65"/>
      <c r="I119" s="64"/>
      <c r="J119" s="64"/>
    </row>
    <row r="120" spans="1:10" s="62" customFormat="1" ht="15" customHeight="1" x14ac:dyDescent="0.2">
      <c r="A120" s="56" t="s">
        <v>44</v>
      </c>
      <c r="B120" s="57">
        <v>40201990</v>
      </c>
      <c r="C120" s="52"/>
      <c r="D120" s="51">
        <v>347590</v>
      </c>
      <c r="F120" s="63"/>
      <c r="G120" s="64"/>
      <c r="H120" s="65"/>
      <c r="I120" s="64"/>
      <c r="J120" s="64"/>
    </row>
    <row r="121" spans="1:10" s="7" customFormat="1" ht="15" customHeight="1" x14ac:dyDescent="0.2">
      <c r="A121" s="56" t="s">
        <v>45</v>
      </c>
      <c r="B121" s="57">
        <v>40202050</v>
      </c>
      <c r="C121" s="52"/>
      <c r="D121" s="51">
        <v>447824.56</v>
      </c>
      <c r="F121" s="24"/>
      <c r="G121" s="22"/>
      <c r="H121" s="19"/>
      <c r="I121" s="22"/>
      <c r="J121" s="22"/>
    </row>
    <row r="122" spans="1:10" s="7" customFormat="1" ht="15" customHeight="1" x14ac:dyDescent="0.2">
      <c r="A122" s="56" t="s">
        <v>105</v>
      </c>
      <c r="B122" s="57">
        <v>40202140</v>
      </c>
      <c r="C122" s="52"/>
      <c r="D122" s="51">
        <v>201750</v>
      </c>
      <c r="F122" s="24"/>
      <c r="G122" s="22"/>
      <c r="H122" s="19"/>
      <c r="I122" s="22"/>
      <c r="J122" s="22"/>
    </row>
    <row r="123" spans="1:10" s="7" customFormat="1" ht="15" customHeight="1" x14ac:dyDescent="0.2">
      <c r="A123" s="56" t="s">
        <v>106</v>
      </c>
      <c r="B123" s="57">
        <v>40202150</v>
      </c>
      <c r="C123" s="52"/>
      <c r="D123" s="51">
        <v>125600</v>
      </c>
      <c r="F123" s="24"/>
      <c r="G123" s="22"/>
      <c r="H123" s="19"/>
      <c r="I123" s="22"/>
      <c r="J123" s="22"/>
    </row>
    <row r="124" spans="1:10" s="7" customFormat="1" ht="15" customHeight="1" x14ac:dyDescent="0.2">
      <c r="A124" s="56" t="s">
        <v>107</v>
      </c>
      <c r="B124" s="57">
        <v>40202160</v>
      </c>
      <c r="C124" s="52"/>
      <c r="D124" s="51">
        <v>536350</v>
      </c>
      <c r="F124" s="24"/>
      <c r="G124" s="22"/>
      <c r="H124" s="19"/>
      <c r="I124" s="22"/>
      <c r="J124" s="22"/>
    </row>
    <row r="125" spans="1:10" s="7" customFormat="1" ht="15" customHeight="1" x14ac:dyDescent="0.2">
      <c r="A125" s="56" t="s">
        <v>42</v>
      </c>
      <c r="B125" s="57">
        <v>40202190</v>
      </c>
      <c r="C125" s="52"/>
      <c r="D125" s="51">
        <v>82450</v>
      </c>
      <c r="F125" s="24"/>
      <c r="G125" s="22"/>
      <c r="H125" s="19"/>
      <c r="I125" s="22"/>
      <c r="J125" s="22"/>
    </row>
    <row r="126" spans="1:10" s="7" customFormat="1" ht="15" customHeight="1" x14ac:dyDescent="0.2">
      <c r="A126" s="56" t="s">
        <v>131</v>
      </c>
      <c r="B126" s="57">
        <v>40202220</v>
      </c>
      <c r="C126" s="52"/>
      <c r="D126" s="51">
        <v>13619.15</v>
      </c>
      <c r="F126" s="24"/>
      <c r="G126" s="22"/>
      <c r="H126" s="19"/>
      <c r="I126" s="22"/>
      <c r="J126" s="22"/>
    </row>
    <row r="127" spans="1:10" s="7" customFormat="1" ht="15" customHeight="1" x14ac:dyDescent="0.2">
      <c r="A127" s="56" t="s">
        <v>222</v>
      </c>
      <c r="B127" s="57">
        <v>40202980</v>
      </c>
      <c r="C127" s="52"/>
      <c r="D127" s="51"/>
      <c r="F127" s="24"/>
      <c r="G127" s="22"/>
      <c r="H127" s="19"/>
      <c r="I127" s="22"/>
      <c r="J127" s="22"/>
    </row>
    <row r="128" spans="1:10" s="7" customFormat="1" ht="15" customHeight="1" x14ac:dyDescent="0.2">
      <c r="A128" s="56" t="s">
        <v>129</v>
      </c>
      <c r="B128" s="57">
        <v>40202990</v>
      </c>
      <c r="C128" s="52"/>
      <c r="D128" s="51"/>
      <c r="F128" s="24"/>
      <c r="G128" s="22"/>
      <c r="H128" s="19"/>
      <c r="I128" s="22"/>
      <c r="J128" s="22"/>
    </row>
    <row r="129" spans="1:10" s="7" customFormat="1" ht="15" hidden="1" customHeight="1" x14ac:dyDescent="0.2">
      <c r="A129" s="56" t="s">
        <v>212</v>
      </c>
      <c r="B129" s="57">
        <v>40301010</v>
      </c>
      <c r="C129" s="52"/>
      <c r="D129" s="51"/>
      <c r="F129" s="24"/>
      <c r="G129" s="22"/>
      <c r="H129" s="19"/>
      <c r="I129" s="22"/>
      <c r="J129" s="22"/>
    </row>
    <row r="130" spans="1:10" s="7" customFormat="1" ht="15" hidden="1" customHeight="1" x14ac:dyDescent="0.2">
      <c r="A130" s="56" t="s">
        <v>217</v>
      </c>
      <c r="B130" s="57">
        <v>40302010</v>
      </c>
      <c r="C130" s="52"/>
      <c r="D130" s="51"/>
      <c r="F130" s="24"/>
      <c r="G130" s="22"/>
      <c r="H130" s="19"/>
      <c r="I130" s="22"/>
      <c r="J130" s="22"/>
    </row>
    <row r="131" spans="1:10" s="7" customFormat="1" ht="15" customHeight="1" x14ac:dyDescent="0.2">
      <c r="A131" s="56" t="s">
        <v>108</v>
      </c>
      <c r="B131" s="57">
        <v>40401020</v>
      </c>
      <c r="C131" s="52"/>
      <c r="D131" s="51">
        <v>183264.63</v>
      </c>
      <c r="F131" s="24"/>
      <c r="G131" s="22"/>
      <c r="H131" s="19"/>
      <c r="I131" s="22"/>
      <c r="J131" s="22"/>
    </row>
    <row r="132" spans="1:10" s="7" customFormat="1" ht="15" customHeight="1" x14ac:dyDescent="0.2">
      <c r="A132" s="56" t="s">
        <v>187</v>
      </c>
      <c r="B132" s="57">
        <v>40402010</v>
      </c>
      <c r="C132" s="52"/>
      <c r="D132" s="51"/>
      <c r="F132" s="24"/>
      <c r="G132" s="22"/>
      <c r="H132" s="19"/>
      <c r="I132" s="22"/>
      <c r="J132" s="22"/>
    </row>
    <row r="133" spans="1:10" s="7" customFormat="1" ht="15" customHeight="1" x14ac:dyDescent="0.2">
      <c r="A133" s="56" t="s">
        <v>227</v>
      </c>
      <c r="B133" s="57">
        <v>40402020</v>
      </c>
      <c r="C133" s="52"/>
      <c r="D133" s="51"/>
      <c r="F133" s="24"/>
      <c r="G133" s="22"/>
      <c r="H133" s="19"/>
      <c r="I133" s="22"/>
      <c r="J133" s="22"/>
    </row>
    <row r="134" spans="1:10" s="7" customFormat="1" ht="15" customHeight="1" x14ac:dyDescent="0.2">
      <c r="A134" s="56" t="s">
        <v>213</v>
      </c>
      <c r="B134" s="57">
        <v>40601010</v>
      </c>
      <c r="C134" s="52"/>
      <c r="D134" s="51"/>
      <c r="F134" s="24"/>
      <c r="G134" s="22"/>
      <c r="H134" s="19"/>
      <c r="I134" s="22"/>
      <c r="J134" s="22"/>
    </row>
    <row r="135" spans="1:10" s="7" customFormat="1" ht="15" customHeight="1" x14ac:dyDescent="0.2">
      <c r="A135" s="56" t="s">
        <v>109</v>
      </c>
      <c r="B135" s="57">
        <v>50101010</v>
      </c>
      <c r="C135" s="51">
        <v>11615982.23</v>
      </c>
      <c r="D135" s="51"/>
      <c r="F135" s="24"/>
      <c r="G135" s="22"/>
      <c r="H135" s="19"/>
      <c r="I135" s="22"/>
      <c r="J135" s="22"/>
    </row>
    <row r="136" spans="1:10" s="7" customFormat="1" ht="15" customHeight="1" x14ac:dyDescent="0.2">
      <c r="A136" s="56" t="s">
        <v>110</v>
      </c>
      <c r="B136" s="57">
        <v>50101020</v>
      </c>
      <c r="C136" s="51">
        <v>1861101.6</v>
      </c>
      <c r="D136" s="51"/>
      <c r="F136" s="24"/>
      <c r="G136" s="22"/>
      <c r="H136" s="19"/>
      <c r="I136" s="22"/>
      <c r="J136" s="22"/>
    </row>
    <row r="137" spans="1:10" s="7" customFormat="1" ht="15" customHeight="1" x14ac:dyDescent="0.2">
      <c r="A137" s="56" t="s">
        <v>57</v>
      </c>
      <c r="B137" s="57">
        <v>50102010</v>
      </c>
      <c r="C137" s="51">
        <v>1344860.2</v>
      </c>
      <c r="D137" s="51"/>
      <c r="F137" s="24"/>
      <c r="G137" s="22"/>
      <c r="H137" s="19"/>
      <c r="I137" s="22"/>
      <c r="J137" s="22"/>
    </row>
    <row r="138" spans="1:10" s="7" customFormat="1" ht="15" customHeight="1" x14ac:dyDescent="0.2">
      <c r="A138" s="56" t="s">
        <v>111</v>
      </c>
      <c r="B138" s="57">
        <v>50102020</v>
      </c>
      <c r="C138" s="51">
        <v>468000</v>
      </c>
      <c r="D138" s="51"/>
      <c r="F138" s="24"/>
      <c r="G138" s="22"/>
      <c r="H138" s="19"/>
      <c r="I138" s="22"/>
      <c r="J138" s="22"/>
    </row>
    <row r="139" spans="1:10" s="7" customFormat="1" ht="15" customHeight="1" x14ac:dyDescent="0.2">
      <c r="A139" s="56" t="s">
        <v>112</v>
      </c>
      <c r="B139" s="57">
        <v>50102030</v>
      </c>
      <c r="C139" s="51">
        <v>468000</v>
      </c>
      <c r="D139" s="51"/>
      <c r="F139" s="24"/>
      <c r="G139" s="22"/>
      <c r="H139" s="19"/>
      <c r="I139" s="22"/>
      <c r="J139" s="22"/>
    </row>
    <row r="140" spans="1:10" s="7" customFormat="1" ht="15" customHeight="1" x14ac:dyDescent="0.2">
      <c r="A140" s="56" t="s">
        <v>58</v>
      </c>
      <c r="B140" s="57">
        <v>50102040</v>
      </c>
      <c r="C140" s="51">
        <v>1206000</v>
      </c>
      <c r="D140" s="51"/>
      <c r="F140" s="24"/>
      <c r="G140" s="22"/>
      <c r="H140" s="19"/>
      <c r="I140" s="22"/>
      <c r="J140" s="22"/>
    </row>
    <row r="141" spans="1:10" s="7" customFormat="1" ht="15" customHeight="1" x14ac:dyDescent="0.2">
      <c r="A141" s="56" t="s">
        <v>113</v>
      </c>
      <c r="B141" s="57">
        <v>50102050</v>
      </c>
      <c r="C141" s="51">
        <v>96350</v>
      </c>
      <c r="D141" s="51"/>
      <c r="F141" s="24"/>
      <c r="G141" s="22"/>
      <c r="H141" s="19"/>
      <c r="I141" s="22"/>
      <c r="J141" s="22"/>
    </row>
    <row r="142" spans="1:10" s="7" customFormat="1" ht="15" customHeight="1" x14ac:dyDescent="0.2">
      <c r="A142" s="56" t="s">
        <v>114</v>
      </c>
      <c r="B142" s="57">
        <v>50102060</v>
      </c>
      <c r="C142" s="51">
        <v>8638.5400000000009</v>
      </c>
      <c r="D142" s="51"/>
      <c r="F142" s="24"/>
      <c r="G142" s="22"/>
      <c r="H142" s="19"/>
      <c r="I142" s="22"/>
      <c r="J142" s="22"/>
    </row>
    <row r="143" spans="1:10" s="7" customFormat="1" ht="15" customHeight="1" x14ac:dyDescent="0.2">
      <c r="A143" s="56" t="s">
        <v>20</v>
      </c>
      <c r="B143" s="57">
        <v>50102100</v>
      </c>
      <c r="C143" s="51">
        <v>1500</v>
      </c>
      <c r="D143" s="51"/>
      <c r="F143" s="24"/>
      <c r="G143" s="22"/>
      <c r="H143" s="19"/>
      <c r="I143" s="22"/>
      <c r="J143" s="22"/>
    </row>
    <row r="144" spans="1:10" s="7" customFormat="1" ht="15" customHeight="1" x14ac:dyDescent="0.2">
      <c r="A144" s="56" t="s">
        <v>21</v>
      </c>
      <c r="B144" s="57">
        <v>50102110</v>
      </c>
      <c r="C144" s="51">
        <v>201576.1</v>
      </c>
      <c r="D144" s="51"/>
      <c r="F144" s="24"/>
      <c r="G144" s="22"/>
      <c r="H144" s="19"/>
      <c r="I144" s="22"/>
      <c r="J144" s="22"/>
    </row>
    <row r="145" spans="1:10" s="7" customFormat="1" ht="15" customHeight="1" x14ac:dyDescent="0.2">
      <c r="A145" s="56" t="s">
        <v>140</v>
      </c>
      <c r="B145" s="57">
        <v>50102130</v>
      </c>
      <c r="C145" s="51">
        <v>484409.02</v>
      </c>
      <c r="D145" s="51"/>
      <c r="F145" s="24"/>
      <c r="G145" s="22"/>
      <c r="H145" s="19"/>
      <c r="I145" s="22"/>
      <c r="J145" s="22"/>
    </row>
    <row r="146" spans="1:10" s="7" customFormat="1" ht="15" customHeight="1" x14ac:dyDescent="0.2">
      <c r="A146" s="56" t="s">
        <v>141</v>
      </c>
      <c r="B146" s="57">
        <v>50102140</v>
      </c>
      <c r="C146" s="51"/>
      <c r="D146" s="51"/>
      <c r="F146" s="24"/>
      <c r="G146" s="22"/>
      <c r="H146" s="19"/>
      <c r="I146" s="22"/>
      <c r="J146" s="22"/>
    </row>
    <row r="147" spans="1:10" s="7" customFormat="1" ht="18" customHeight="1" x14ac:dyDescent="0.2">
      <c r="A147" s="56" t="s">
        <v>142</v>
      </c>
      <c r="B147" s="57">
        <v>50102150</v>
      </c>
      <c r="C147" s="51"/>
      <c r="D147" s="51"/>
      <c r="F147" s="24"/>
      <c r="G147" s="22"/>
      <c r="H147" s="19"/>
      <c r="I147" s="22"/>
      <c r="J147" s="22"/>
    </row>
    <row r="148" spans="1:10" s="7" customFormat="1" ht="18" customHeight="1" x14ac:dyDescent="0.2">
      <c r="A148" s="56" t="s">
        <v>143</v>
      </c>
      <c r="B148" s="57">
        <v>50102990</v>
      </c>
      <c r="C148" s="51"/>
      <c r="D148" s="51"/>
      <c r="F148" s="24"/>
      <c r="G148" s="22"/>
      <c r="H148" s="19"/>
      <c r="I148" s="22"/>
      <c r="J148" s="22"/>
    </row>
    <row r="149" spans="1:10" s="7" customFormat="1" ht="18" customHeight="1" x14ac:dyDescent="0.2">
      <c r="A149" s="56" t="s">
        <v>115</v>
      </c>
      <c r="B149" s="57">
        <v>50103010</v>
      </c>
      <c r="C149" s="51">
        <v>1558898.88</v>
      </c>
      <c r="D149" s="51"/>
      <c r="F149" s="24"/>
      <c r="G149" s="22"/>
      <c r="H149" s="19"/>
      <c r="I149" s="22"/>
      <c r="J149" s="22"/>
    </row>
    <row r="150" spans="1:10" s="7" customFormat="1" ht="18" customHeight="1" x14ac:dyDescent="0.2">
      <c r="A150" s="56" t="s">
        <v>59</v>
      </c>
      <c r="B150" s="57">
        <v>50103020</v>
      </c>
      <c r="C150" s="51">
        <v>68700</v>
      </c>
      <c r="D150" s="51"/>
      <c r="F150" s="24"/>
      <c r="G150" s="22"/>
      <c r="H150" s="19"/>
      <c r="I150" s="22"/>
      <c r="J150" s="22"/>
    </row>
    <row r="151" spans="1:10" s="7" customFormat="1" ht="15" customHeight="1" x14ac:dyDescent="0.2">
      <c r="A151" s="56" t="s">
        <v>60</v>
      </c>
      <c r="B151" s="57">
        <v>50103030</v>
      </c>
      <c r="C151" s="51">
        <v>194683.77</v>
      </c>
      <c r="D151" s="51"/>
      <c r="F151" s="24"/>
      <c r="G151" s="22"/>
      <c r="H151" s="19"/>
      <c r="I151" s="22"/>
      <c r="J151" s="22"/>
    </row>
    <row r="152" spans="1:10" s="7" customFormat="1" ht="15" customHeight="1" x14ac:dyDescent="0.2">
      <c r="A152" s="56" t="s">
        <v>116</v>
      </c>
      <c r="B152" s="57">
        <v>50103040</v>
      </c>
      <c r="C152" s="51">
        <v>60019.48</v>
      </c>
      <c r="D152" s="51"/>
      <c r="F152" s="24"/>
      <c r="G152" s="22"/>
      <c r="H152" s="19"/>
      <c r="I152" s="22"/>
      <c r="J152" s="22"/>
    </row>
    <row r="153" spans="1:10" s="62" customFormat="1" ht="15" customHeight="1" x14ac:dyDescent="0.2">
      <c r="A153" s="56" t="s">
        <v>46</v>
      </c>
      <c r="B153" s="57">
        <v>50104030</v>
      </c>
      <c r="C153" s="51">
        <v>545497.14</v>
      </c>
      <c r="D153" s="51"/>
      <c r="F153" s="63"/>
      <c r="G153" s="64"/>
      <c r="H153" s="65"/>
      <c r="I153" s="64"/>
      <c r="J153" s="64"/>
    </row>
    <row r="154" spans="1:10" s="7" customFormat="1" ht="15" customHeight="1" x14ac:dyDescent="0.2">
      <c r="A154" s="56" t="s">
        <v>203</v>
      </c>
      <c r="B154" s="57">
        <v>50104990</v>
      </c>
      <c r="C154" s="51">
        <v>545502.4</v>
      </c>
      <c r="D154" s="51"/>
      <c r="F154" s="24"/>
      <c r="G154" s="22"/>
      <c r="H154" s="19"/>
      <c r="I154" s="22"/>
      <c r="J154" s="22"/>
    </row>
    <row r="155" spans="1:10" s="7" customFormat="1" ht="15" customHeight="1" x14ac:dyDescent="0.2">
      <c r="A155" s="56" t="s">
        <v>117</v>
      </c>
      <c r="B155" s="57">
        <v>50201010</v>
      </c>
      <c r="C155" s="51">
        <v>5110</v>
      </c>
      <c r="D155" s="51"/>
      <c r="F155" s="24"/>
      <c r="G155" s="22"/>
      <c r="H155" s="19"/>
      <c r="I155" s="22"/>
      <c r="J155" s="22"/>
    </row>
    <row r="156" spans="1:10" s="7" customFormat="1" ht="15" customHeight="1" x14ac:dyDescent="0.2">
      <c r="A156" s="56" t="s">
        <v>47</v>
      </c>
      <c r="B156" s="57">
        <v>50202010</v>
      </c>
      <c r="C156" s="51">
        <v>36000</v>
      </c>
      <c r="D156" s="51"/>
      <c r="F156" s="24"/>
      <c r="G156" s="22"/>
      <c r="H156" s="19"/>
      <c r="I156" s="22"/>
      <c r="J156" s="22"/>
    </row>
    <row r="157" spans="1:10" s="7" customFormat="1" ht="15" customHeight="1" x14ac:dyDescent="0.2">
      <c r="A157" s="56" t="s">
        <v>23</v>
      </c>
      <c r="B157" s="57">
        <v>50203010</v>
      </c>
      <c r="C157" s="51">
        <v>26960</v>
      </c>
      <c r="D157" s="51"/>
      <c r="F157" s="24"/>
      <c r="G157" s="22"/>
      <c r="H157" s="19"/>
      <c r="I157" s="22"/>
      <c r="J157" s="22"/>
    </row>
    <row r="158" spans="1:10" s="7" customFormat="1" ht="15" customHeight="1" x14ac:dyDescent="0.2">
      <c r="A158" s="56" t="s">
        <v>48</v>
      </c>
      <c r="B158" s="57">
        <v>50203020</v>
      </c>
      <c r="C158" s="51">
        <v>52200</v>
      </c>
      <c r="D158" s="51"/>
      <c r="F158" s="24"/>
      <c r="G158" s="22"/>
      <c r="H158" s="19"/>
      <c r="I158" s="22"/>
      <c r="J158" s="22"/>
    </row>
    <row r="159" spans="1:10" s="7" customFormat="1" ht="15" customHeight="1" x14ac:dyDescent="0.2">
      <c r="A159" s="56" t="s">
        <v>206</v>
      </c>
      <c r="B159" s="57">
        <v>50203030</v>
      </c>
      <c r="C159" s="51"/>
      <c r="D159" s="51"/>
      <c r="F159" s="24"/>
      <c r="G159" s="22"/>
      <c r="H159" s="19"/>
      <c r="I159" s="22"/>
      <c r="J159" s="22"/>
    </row>
    <row r="160" spans="1:10" s="7" customFormat="1" ht="15" hidden="1" customHeight="1" x14ac:dyDescent="0.2">
      <c r="A160" s="56" t="s">
        <v>198</v>
      </c>
      <c r="B160" s="57">
        <v>50203040</v>
      </c>
      <c r="C160" s="51"/>
      <c r="D160" s="51"/>
      <c r="F160" s="24"/>
      <c r="G160" s="22"/>
      <c r="H160" s="19"/>
      <c r="I160" s="22"/>
      <c r="J160" s="22"/>
    </row>
    <row r="161" spans="1:10" s="7" customFormat="1" ht="15" customHeight="1" x14ac:dyDescent="0.2">
      <c r="A161" s="56" t="s">
        <v>201</v>
      </c>
      <c r="B161" s="57">
        <v>50203050</v>
      </c>
      <c r="C161" s="51"/>
      <c r="D161" s="51"/>
      <c r="F161" s="24"/>
      <c r="G161" s="22"/>
      <c r="H161" s="19"/>
      <c r="I161" s="22"/>
      <c r="J161" s="22"/>
    </row>
    <row r="162" spans="1:10" s="7" customFormat="1" ht="15" customHeight="1" x14ac:dyDescent="0.2">
      <c r="A162" s="56" t="s">
        <v>144</v>
      </c>
      <c r="B162" s="57">
        <v>50203060</v>
      </c>
      <c r="C162" s="51">
        <v>2685110</v>
      </c>
      <c r="D162" s="51"/>
      <c r="F162" s="24"/>
      <c r="G162" s="22"/>
      <c r="H162" s="19"/>
      <c r="I162" s="22"/>
      <c r="J162" s="22"/>
    </row>
    <row r="163" spans="1:10" s="7" customFormat="1" ht="15" hidden="1" customHeight="1" x14ac:dyDescent="0.2">
      <c r="A163" s="56" t="s">
        <v>145</v>
      </c>
      <c r="B163" s="57">
        <v>50203070</v>
      </c>
      <c r="C163" s="51"/>
      <c r="D163" s="51"/>
      <c r="F163" s="24"/>
      <c r="G163" s="22"/>
      <c r="H163" s="19"/>
      <c r="I163" s="22"/>
      <c r="J163" s="22"/>
    </row>
    <row r="164" spans="1:10" s="7" customFormat="1" ht="15" hidden="1" customHeight="1" x14ac:dyDescent="0.2">
      <c r="A164" s="56" t="s">
        <v>146</v>
      </c>
      <c r="B164" s="57">
        <v>50203080</v>
      </c>
      <c r="C164" s="51"/>
      <c r="D164" s="51"/>
      <c r="F164" s="24"/>
      <c r="G164" s="22"/>
      <c r="H164" s="19"/>
      <c r="I164" s="22"/>
      <c r="J164" s="22"/>
    </row>
    <row r="165" spans="1:10" s="7" customFormat="1" ht="17.25" customHeight="1" x14ac:dyDescent="0.2">
      <c r="A165" s="56" t="s">
        <v>118</v>
      </c>
      <c r="B165" s="57">
        <v>50203090</v>
      </c>
      <c r="C165" s="51">
        <v>231373.8</v>
      </c>
      <c r="D165" s="51"/>
      <c r="F165" s="24"/>
      <c r="G165" s="22"/>
      <c r="H165" s="19"/>
      <c r="I165" s="22"/>
      <c r="J165" s="22"/>
    </row>
    <row r="166" spans="1:10" s="7" customFormat="1" ht="15" customHeight="1" x14ac:dyDescent="0.2">
      <c r="A166" s="56" t="s">
        <v>147</v>
      </c>
      <c r="B166" s="57">
        <v>50203100</v>
      </c>
      <c r="C166" s="51"/>
      <c r="D166" s="51"/>
      <c r="F166" s="24"/>
      <c r="G166" s="22"/>
      <c r="H166" s="19"/>
      <c r="I166" s="22"/>
      <c r="J166" s="22"/>
    </row>
    <row r="167" spans="1:10" s="7" customFormat="1" ht="15" customHeight="1" x14ac:dyDescent="0.2">
      <c r="A167" s="56" t="s">
        <v>119</v>
      </c>
      <c r="B167" s="57">
        <v>50203990</v>
      </c>
      <c r="C167" s="51">
        <v>17413</v>
      </c>
      <c r="D167" s="51"/>
      <c r="F167" s="24"/>
      <c r="G167" s="22"/>
      <c r="H167" s="19"/>
      <c r="I167" s="22"/>
      <c r="J167" s="22"/>
    </row>
    <row r="168" spans="1:10" s="7" customFormat="1" ht="15" customHeight="1" x14ac:dyDescent="0.2">
      <c r="A168" s="56" t="s">
        <v>25</v>
      </c>
      <c r="B168" s="57">
        <v>50204010</v>
      </c>
      <c r="C168" s="51">
        <v>82270</v>
      </c>
      <c r="D168" s="51"/>
      <c r="F168" s="24"/>
      <c r="G168" s="22"/>
      <c r="H168" s="19"/>
      <c r="I168" s="22"/>
      <c r="J168" s="22"/>
    </row>
    <row r="169" spans="1:10" s="7" customFormat="1" ht="15" customHeight="1" x14ac:dyDescent="0.2">
      <c r="A169" s="14" t="s">
        <v>26</v>
      </c>
      <c r="B169" s="15">
        <v>50204020</v>
      </c>
      <c r="C169" s="51">
        <v>748735.17</v>
      </c>
      <c r="D169" s="51"/>
      <c r="F169" s="24"/>
      <c r="G169" s="22"/>
      <c r="H169" s="19"/>
      <c r="I169" s="22"/>
      <c r="J169" s="22"/>
    </row>
    <row r="170" spans="1:10" s="7" customFormat="1" ht="15" customHeight="1" x14ac:dyDescent="0.2">
      <c r="A170" s="14" t="s">
        <v>167</v>
      </c>
      <c r="B170" s="15">
        <v>50205010</v>
      </c>
      <c r="C170" s="51"/>
      <c r="D170" s="51"/>
      <c r="F170" s="24"/>
      <c r="G170" s="22"/>
      <c r="H170" s="19"/>
      <c r="I170" s="22"/>
      <c r="J170" s="22"/>
    </row>
    <row r="171" spans="1:10" s="7" customFormat="1" ht="15" customHeight="1" x14ac:dyDescent="0.2">
      <c r="A171" s="14" t="s">
        <v>151</v>
      </c>
      <c r="B171" s="15">
        <v>50205020</v>
      </c>
      <c r="C171" s="51">
        <v>135000</v>
      </c>
      <c r="D171" s="51"/>
      <c r="F171" s="24"/>
      <c r="G171" s="22"/>
      <c r="H171" s="19"/>
      <c r="I171" s="22"/>
      <c r="J171" s="22"/>
    </row>
    <row r="172" spans="1:10" s="7" customFormat="1" ht="15" customHeight="1" x14ac:dyDescent="0.2">
      <c r="A172" s="14" t="s">
        <v>148</v>
      </c>
      <c r="B172" s="15">
        <v>50205030</v>
      </c>
      <c r="C172" s="51">
        <v>73898</v>
      </c>
      <c r="D172" s="51"/>
      <c r="F172" s="24"/>
      <c r="G172" s="22"/>
      <c r="H172" s="19"/>
      <c r="I172" s="22"/>
      <c r="J172" s="22"/>
    </row>
    <row r="173" spans="1:10" s="7" customFormat="1" ht="15" hidden="1" customHeight="1" x14ac:dyDescent="0.2">
      <c r="A173" s="14" t="s">
        <v>194</v>
      </c>
      <c r="B173" s="15">
        <v>50206010</v>
      </c>
      <c r="C173" s="51"/>
      <c r="D173" s="51"/>
      <c r="F173" s="24"/>
      <c r="G173" s="22"/>
      <c r="H173" s="19"/>
      <c r="I173" s="22"/>
      <c r="J173" s="22"/>
    </row>
    <row r="174" spans="1:10" s="7" customFormat="1" ht="15" customHeight="1" x14ac:dyDescent="0.2">
      <c r="A174" s="14" t="s">
        <v>199</v>
      </c>
      <c r="B174" s="15">
        <v>50206020</v>
      </c>
      <c r="C174" s="51"/>
      <c r="D174" s="51"/>
      <c r="F174" s="24"/>
      <c r="G174" s="22"/>
      <c r="H174" s="19"/>
      <c r="I174" s="22"/>
      <c r="J174" s="22"/>
    </row>
    <row r="175" spans="1:10" s="7" customFormat="1" ht="15" hidden="1" customHeight="1" x14ac:dyDescent="0.2">
      <c r="A175" s="14" t="s">
        <v>215</v>
      </c>
      <c r="B175" s="15">
        <v>50207010</v>
      </c>
      <c r="C175" s="51"/>
      <c r="D175" s="51"/>
      <c r="F175" s="24"/>
      <c r="G175" s="22"/>
      <c r="H175" s="19"/>
      <c r="I175" s="22"/>
      <c r="J175" s="22"/>
    </row>
    <row r="176" spans="1:10" s="7" customFormat="1" ht="15" hidden="1" customHeight="1" x14ac:dyDescent="0.2">
      <c r="A176" s="14" t="s">
        <v>185</v>
      </c>
      <c r="B176" s="15">
        <v>50207020</v>
      </c>
      <c r="C176" s="51"/>
      <c r="D176" s="51"/>
      <c r="F176" s="24"/>
      <c r="G176" s="22"/>
      <c r="H176" s="19"/>
      <c r="I176" s="22"/>
      <c r="J176" s="22"/>
    </row>
    <row r="177" spans="1:10" s="7" customFormat="1" ht="15" customHeight="1" x14ac:dyDescent="0.2">
      <c r="A177" s="14" t="s">
        <v>149</v>
      </c>
      <c r="B177" s="15">
        <v>50210030</v>
      </c>
      <c r="C177" s="51"/>
      <c r="D177" s="51"/>
      <c r="F177" s="24"/>
      <c r="G177" s="22"/>
      <c r="H177" s="19"/>
      <c r="I177" s="22"/>
      <c r="J177" s="22"/>
    </row>
    <row r="178" spans="1:10" s="7" customFormat="1" ht="15" customHeight="1" x14ac:dyDescent="0.2">
      <c r="A178" s="14" t="s">
        <v>150</v>
      </c>
      <c r="B178" s="15">
        <v>50211010</v>
      </c>
      <c r="C178" s="51"/>
      <c r="D178" s="51"/>
      <c r="F178" s="24"/>
      <c r="G178" s="22"/>
      <c r="H178" s="19"/>
      <c r="I178" s="22"/>
      <c r="J178" s="22"/>
    </row>
    <row r="179" spans="1:10" s="7" customFormat="1" ht="15" hidden="1" customHeight="1" x14ac:dyDescent="0.2">
      <c r="A179" s="14" t="s">
        <v>66</v>
      </c>
      <c r="B179" s="15">
        <v>50211020</v>
      </c>
      <c r="C179" s="51"/>
      <c r="D179" s="51"/>
      <c r="F179" s="24"/>
      <c r="G179" s="22"/>
      <c r="H179" s="19"/>
      <c r="I179" s="22"/>
      <c r="J179" s="22"/>
    </row>
    <row r="180" spans="1:10" s="7" customFormat="1" ht="15" hidden="1" customHeight="1" x14ac:dyDescent="0.2">
      <c r="A180" s="14" t="s">
        <v>27</v>
      </c>
      <c r="B180" s="15">
        <v>50211030</v>
      </c>
      <c r="C180" s="51"/>
      <c r="D180" s="51"/>
      <c r="F180" s="24"/>
      <c r="G180" s="22"/>
      <c r="H180" s="19"/>
      <c r="I180" s="22"/>
      <c r="J180" s="22"/>
    </row>
    <row r="181" spans="1:10" s="7" customFormat="1" ht="15" customHeight="1" x14ac:dyDescent="0.2">
      <c r="A181" s="14" t="s">
        <v>63</v>
      </c>
      <c r="B181" s="15">
        <v>50211990</v>
      </c>
      <c r="C181" s="51">
        <v>1132800</v>
      </c>
      <c r="D181" s="51"/>
      <c r="F181" s="24"/>
      <c r="G181" s="22"/>
      <c r="H181" s="19"/>
      <c r="I181" s="22"/>
      <c r="J181" s="22"/>
    </row>
    <row r="182" spans="1:10" s="7" customFormat="1" ht="15" customHeight="1" x14ac:dyDescent="0.2">
      <c r="A182" s="14" t="s">
        <v>216</v>
      </c>
      <c r="B182" s="15">
        <v>50212030</v>
      </c>
      <c r="C182" s="51"/>
      <c r="D182" s="51"/>
      <c r="F182" s="24"/>
      <c r="G182" s="22"/>
      <c r="H182" s="19"/>
      <c r="I182" s="22"/>
      <c r="J182" s="22"/>
    </row>
    <row r="183" spans="1:10" s="7" customFormat="1" ht="15" customHeight="1" x14ac:dyDescent="0.2">
      <c r="A183" s="14" t="s">
        <v>202</v>
      </c>
      <c r="B183" s="15">
        <v>50212990</v>
      </c>
      <c r="C183" s="51">
        <v>4534775</v>
      </c>
      <c r="D183" s="51"/>
      <c r="F183" s="24"/>
      <c r="G183" s="22"/>
      <c r="H183" s="19"/>
      <c r="I183" s="22"/>
      <c r="J183" s="22"/>
    </row>
    <row r="184" spans="1:10" s="7" customFormat="1" ht="15" customHeight="1" x14ac:dyDescent="0.2">
      <c r="A184" s="14" t="s">
        <v>224</v>
      </c>
      <c r="B184" s="15">
        <v>50213020</v>
      </c>
      <c r="C184" s="51"/>
      <c r="D184" s="51"/>
      <c r="F184" s="24"/>
      <c r="G184" s="22"/>
      <c r="H184" s="19"/>
      <c r="I184" s="22"/>
      <c r="J184" s="22"/>
    </row>
    <row r="185" spans="1:10" s="7" customFormat="1" ht="15" customHeight="1" x14ac:dyDescent="0.2">
      <c r="A185" s="14" t="s">
        <v>186</v>
      </c>
      <c r="B185" s="15">
        <v>50213030</v>
      </c>
      <c r="C185" s="51">
        <v>182495</v>
      </c>
      <c r="D185" s="16"/>
      <c r="F185" s="24"/>
      <c r="G185" s="22"/>
      <c r="H185" s="19"/>
      <c r="I185" s="22"/>
      <c r="J185" s="22"/>
    </row>
    <row r="186" spans="1:10" s="7" customFormat="1" ht="15" customHeight="1" x14ac:dyDescent="0.2">
      <c r="A186" s="14" t="s">
        <v>120</v>
      </c>
      <c r="B186" s="15">
        <v>50213040</v>
      </c>
      <c r="C186" s="51"/>
      <c r="D186" s="16"/>
      <c r="F186" s="24"/>
      <c r="G186" s="22"/>
      <c r="H186" s="19"/>
      <c r="I186" s="22"/>
      <c r="J186" s="22"/>
    </row>
    <row r="187" spans="1:10" s="7" customFormat="1" ht="15" customHeight="1" x14ac:dyDescent="0.2">
      <c r="A187" s="14" t="s">
        <v>121</v>
      </c>
      <c r="B187" s="15">
        <v>50213050</v>
      </c>
      <c r="C187" s="51"/>
      <c r="D187" s="16"/>
      <c r="F187" s="24"/>
      <c r="G187" s="22"/>
      <c r="H187" s="19"/>
      <c r="I187" s="22"/>
      <c r="J187" s="22"/>
    </row>
    <row r="188" spans="1:10" s="7" customFormat="1" ht="15" customHeight="1" x14ac:dyDescent="0.2">
      <c r="A188" s="14" t="s">
        <v>122</v>
      </c>
      <c r="B188" s="15">
        <v>50213060</v>
      </c>
      <c r="C188" s="51"/>
      <c r="D188" s="16"/>
      <c r="F188" s="24"/>
      <c r="G188" s="22"/>
      <c r="H188" s="19"/>
      <c r="I188" s="22"/>
      <c r="J188" s="22"/>
    </row>
    <row r="189" spans="1:10" s="7" customFormat="1" ht="15" customHeight="1" x14ac:dyDescent="0.2">
      <c r="A189" s="14" t="s">
        <v>152</v>
      </c>
      <c r="B189" s="15">
        <v>50213070</v>
      </c>
      <c r="C189" s="51"/>
      <c r="D189" s="16"/>
      <c r="F189" s="24"/>
      <c r="G189" s="22"/>
      <c r="H189" s="19"/>
      <c r="I189" s="22"/>
      <c r="J189" s="22"/>
    </row>
    <row r="190" spans="1:10" s="7" customFormat="1" ht="15" hidden="1" customHeight="1" x14ac:dyDescent="0.2">
      <c r="A190" s="14" t="s">
        <v>170</v>
      </c>
      <c r="B190" s="15">
        <v>50213990</v>
      </c>
      <c r="C190" s="51"/>
      <c r="D190" s="16"/>
      <c r="F190" s="24"/>
      <c r="G190" s="22"/>
      <c r="H190" s="19"/>
      <c r="I190" s="22"/>
      <c r="J190" s="22"/>
    </row>
    <row r="191" spans="1:10" s="7" customFormat="1" ht="15" customHeight="1" x14ac:dyDescent="0.2">
      <c r="A191" s="14" t="s">
        <v>153</v>
      </c>
      <c r="B191" s="15">
        <v>50214030</v>
      </c>
      <c r="C191" s="51">
        <v>248173.95</v>
      </c>
      <c r="D191" s="16"/>
      <c r="F191" s="24"/>
      <c r="G191" s="22"/>
      <c r="H191" s="19"/>
      <c r="I191" s="22"/>
      <c r="J191" s="22"/>
    </row>
    <row r="192" spans="1:10" s="7" customFormat="1" ht="15" hidden="1" customHeight="1" x14ac:dyDescent="0.2">
      <c r="A192" s="14" t="s">
        <v>220</v>
      </c>
      <c r="B192" s="15">
        <v>50214060</v>
      </c>
      <c r="C192" s="51"/>
      <c r="D192" s="16"/>
      <c r="F192" s="24"/>
      <c r="G192" s="22"/>
      <c r="H192" s="19"/>
      <c r="I192" s="22"/>
      <c r="J192" s="22"/>
    </row>
    <row r="193" spans="1:10" s="7" customFormat="1" ht="15" hidden="1" customHeight="1" x14ac:dyDescent="0.2">
      <c r="A193" s="14" t="s">
        <v>211</v>
      </c>
      <c r="B193" s="15">
        <v>50215020</v>
      </c>
      <c r="C193" s="51"/>
      <c r="D193" s="16"/>
      <c r="F193" s="24"/>
      <c r="G193" s="22"/>
      <c r="H193" s="19"/>
      <c r="I193" s="22"/>
      <c r="J193" s="22"/>
    </row>
    <row r="194" spans="1:10" s="7" customFormat="1" ht="15" customHeight="1" x14ac:dyDescent="0.2">
      <c r="A194" s="14" t="s">
        <v>154</v>
      </c>
      <c r="B194" s="15">
        <v>50216010</v>
      </c>
      <c r="C194" s="51"/>
      <c r="D194" s="16"/>
      <c r="F194" s="24"/>
      <c r="G194" s="22"/>
      <c r="H194" s="19"/>
      <c r="I194" s="22"/>
      <c r="J194" s="22"/>
    </row>
    <row r="195" spans="1:10" s="7" customFormat="1" ht="15" customHeight="1" x14ac:dyDescent="0.2">
      <c r="A195" s="14" t="s">
        <v>155</v>
      </c>
      <c r="B195" s="15">
        <v>50216020</v>
      </c>
      <c r="C195" s="51">
        <v>42915</v>
      </c>
      <c r="D195" s="16"/>
      <c r="F195" s="24"/>
      <c r="G195" s="22"/>
      <c r="H195" s="19"/>
      <c r="I195" s="22"/>
      <c r="J195" s="22"/>
    </row>
    <row r="196" spans="1:10" s="7" customFormat="1" ht="15" customHeight="1" x14ac:dyDescent="0.2">
      <c r="A196" s="14" t="s">
        <v>156</v>
      </c>
      <c r="B196" s="15">
        <v>50216030</v>
      </c>
      <c r="C196" s="51">
        <v>399231.84</v>
      </c>
      <c r="D196" s="16"/>
      <c r="F196" s="24"/>
      <c r="G196" s="22"/>
      <c r="H196" s="19"/>
      <c r="I196" s="22"/>
      <c r="J196" s="22"/>
    </row>
    <row r="197" spans="1:10" s="7" customFormat="1" ht="15" customHeight="1" x14ac:dyDescent="0.2">
      <c r="A197" s="14" t="s">
        <v>157</v>
      </c>
      <c r="B197" s="15">
        <v>50299010</v>
      </c>
      <c r="C197" s="51"/>
      <c r="D197" s="16"/>
      <c r="F197" s="24"/>
      <c r="G197" s="22"/>
      <c r="H197" s="19"/>
      <c r="I197" s="22"/>
      <c r="J197" s="22"/>
    </row>
    <row r="198" spans="1:10" s="7" customFormat="1" ht="15" hidden="1" customHeight="1" x14ac:dyDescent="0.2">
      <c r="A198" s="14" t="s">
        <v>158</v>
      </c>
      <c r="B198" s="15">
        <v>50299020</v>
      </c>
      <c r="C198" s="51"/>
      <c r="D198" s="16"/>
      <c r="F198" s="24"/>
      <c r="G198" s="22"/>
      <c r="H198" s="19"/>
      <c r="I198" s="22"/>
      <c r="J198" s="22"/>
    </row>
    <row r="199" spans="1:10" s="7" customFormat="1" ht="15" customHeight="1" x14ac:dyDescent="0.2">
      <c r="A199" s="14" t="s">
        <v>24</v>
      </c>
      <c r="B199" s="15">
        <v>50299030</v>
      </c>
      <c r="C199" s="51"/>
      <c r="D199" s="16"/>
      <c r="F199" s="24"/>
      <c r="G199" s="22"/>
      <c r="H199" s="19"/>
      <c r="I199" s="22"/>
      <c r="J199" s="22"/>
    </row>
    <row r="200" spans="1:10" s="7" customFormat="1" ht="15" customHeight="1" x14ac:dyDescent="0.2">
      <c r="A200" s="14" t="s">
        <v>159</v>
      </c>
      <c r="B200" s="15">
        <v>50299050</v>
      </c>
      <c r="C200" s="51"/>
      <c r="D200" s="16"/>
      <c r="F200" s="24"/>
      <c r="G200" s="22"/>
      <c r="H200" s="19"/>
      <c r="I200" s="22"/>
      <c r="J200" s="22"/>
    </row>
    <row r="201" spans="1:10" s="7" customFormat="1" ht="15" customHeight="1" x14ac:dyDescent="0.2">
      <c r="A201" s="14" t="s">
        <v>160</v>
      </c>
      <c r="B201" s="15">
        <v>50299060</v>
      </c>
      <c r="C201" s="51"/>
      <c r="D201" s="16"/>
      <c r="F201" s="24"/>
      <c r="G201" s="22"/>
      <c r="H201" s="19"/>
      <c r="I201" s="22"/>
      <c r="J201" s="22"/>
    </row>
    <row r="202" spans="1:10" s="7" customFormat="1" ht="15" customHeight="1" x14ac:dyDescent="0.2">
      <c r="A202" s="14" t="s">
        <v>28</v>
      </c>
      <c r="B202" s="15">
        <v>50299080</v>
      </c>
      <c r="C202" s="51">
        <v>333989</v>
      </c>
      <c r="D202" s="16"/>
      <c r="F202" s="24"/>
      <c r="G202" s="22"/>
      <c r="H202" s="19"/>
      <c r="I202" s="22"/>
      <c r="J202" s="22"/>
    </row>
    <row r="203" spans="1:10" s="7" customFormat="1" ht="15" customHeight="1" x14ac:dyDescent="0.2">
      <c r="A203" s="14" t="s">
        <v>168</v>
      </c>
      <c r="B203" s="15">
        <v>50299990</v>
      </c>
      <c r="C203" s="51"/>
      <c r="D203" s="16"/>
      <c r="F203" s="24"/>
      <c r="G203" s="22"/>
      <c r="H203" s="19"/>
      <c r="I203" s="22"/>
      <c r="J203" s="22"/>
    </row>
    <row r="204" spans="1:10" s="7" customFormat="1" ht="15" customHeight="1" x14ac:dyDescent="0.2">
      <c r="A204" s="14" t="s">
        <v>161</v>
      </c>
      <c r="B204" s="15">
        <v>50301990</v>
      </c>
      <c r="C204" s="51">
        <v>2723.83</v>
      </c>
      <c r="D204" s="16"/>
      <c r="F204" s="41"/>
      <c r="G204" s="22"/>
      <c r="H204" s="19"/>
      <c r="I204" s="22"/>
      <c r="J204" s="22"/>
    </row>
    <row r="205" spans="1:10" s="7" customFormat="1" ht="15" hidden="1" customHeight="1" x14ac:dyDescent="0.2">
      <c r="A205" s="14" t="s">
        <v>191</v>
      </c>
      <c r="B205" s="15">
        <v>50501030</v>
      </c>
      <c r="C205" s="51"/>
      <c r="D205" s="16"/>
      <c r="F205" s="41"/>
      <c r="G205" s="22"/>
      <c r="H205" s="19"/>
      <c r="I205" s="22"/>
      <c r="J205" s="22"/>
    </row>
    <row r="206" spans="1:10" s="26" customFormat="1" ht="15" customHeight="1" x14ac:dyDescent="0.2">
      <c r="A206" s="14" t="s">
        <v>162</v>
      </c>
      <c r="B206" s="15">
        <v>50501050</v>
      </c>
      <c r="C206" s="51"/>
      <c r="D206" s="16"/>
      <c r="F206" s="72"/>
      <c r="G206" s="31"/>
      <c r="H206" s="40"/>
      <c r="I206" s="31"/>
      <c r="J206" s="31"/>
    </row>
    <row r="207" spans="1:10" s="26" customFormat="1" ht="15" customHeight="1" x14ac:dyDescent="0.2">
      <c r="A207" s="14" t="s">
        <v>163</v>
      </c>
      <c r="B207" s="15">
        <v>50501060</v>
      </c>
      <c r="C207" s="51"/>
      <c r="D207" s="16"/>
      <c r="F207" s="39"/>
      <c r="G207" s="31"/>
      <c r="H207" s="40"/>
      <c r="I207" s="31"/>
      <c r="J207" s="31"/>
    </row>
    <row r="208" spans="1:10" s="26" customFormat="1" ht="15" customHeight="1" x14ac:dyDescent="0.2">
      <c r="A208" s="14" t="s">
        <v>164</v>
      </c>
      <c r="B208" s="15">
        <v>50501070</v>
      </c>
      <c r="C208" s="51"/>
      <c r="D208" s="16"/>
      <c r="F208" s="39"/>
      <c r="G208" s="31"/>
      <c r="H208" s="40"/>
      <c r="I208" s="31"/>
      <c r="J208" s="31"/>
    </row>
    <row r="209" spans="1:10" s="26" customFormat="1" ht="15" customHeight="1" x14ac:dyDescent="0.2">
      <c r="A209" s="14" t="s">
        <v>165</v>
      </c>
      <c r="B209" s="15">
        <v>50501990</v>
      </c>
      <c r="C209" s="16"/>
      <c r="D209" s="16"/>
      <c r="F209" s="39"/>
      <c r="G209" s="31"/>
      <c r="H209" s="40"/>
      <c r="I209" s="31"/>
      <c r="J209" s="31"/>
    </row>
    <row r="210" spans="1:10" ht="15" customHeight="1" x14ac:dyDescent="0.2">
      <c r="A210" s="8"/>
      <c r="B210" s="9" t="s">
        <v>6</v>
      </c>
      <c r="C210" s="10">
        <f>SUM(C11:C209)</f>
        <v>594824214.53000009</v>
      </c>
      <c r="D210" s="10">
        <f>SUM(D11:D204)</f>
        <v>594824214.52999997</v>
      </c>
      <c r="F210" s="20">
        <f>D210-C210</f>
        <v>0</v>
      </c>
      <c r="G210" s="53" t="e">
        <f>D210-#REF!</f>
        <v>#REF!</v>
      </c>
    </row>
    <row r="211" spans="1:10" ht="15" customHeight="1" x14ac:dyDescent="0.2">
      <c r="A211" s="11"/>
      <c r="B211" s="12"/>
      <c r="C211" s="43"/>
      <c r="D211" s="13"/>
      <c r="F211" s="27"/>
    </row>
    <row r="212" spans="1:10" ht="15" customHeight="1" x14ac:dyDescent="0.2">
      <c r="A212" s="2" t="s">
        <v>64</v>
      </c>
      <c r="B212" s="219" t="s">
        <v>0</v>
      </c>
      <c r="C212" s="219"/>
      <c r="D212" s="219"/>
      <c r="F212" s="49"/>
    </row>
    <row r="213" spans="1:10" ht="15" customHeight="1" x14ac:dyDescent="0.2">
      <c r="A213" s="2"/>
      <c r="B213" s="1"/>
      <c r="C213" s="44"/>
      <c r="D213" s="2"/>
      <c r="F213" s="27"/>
    </row>
    <row r="214" spans="1:10" ht="15" customHeight="1" x14ac:dyDescent="0.2">
      <c r="A214" s="2"/>
      <c r="B214" s="1"/>
      <c r="C214" s="45"/>
      <c r="D214" s="2"/>
      <c r="F214" s="27"/>
    </row>
    <row r="215" spans="1:10" ht="15" customHeight="1" x14ac:dyDescent="0.2">
      <c r="A215" s="84" t="s">
        <v>225</v>
      </c>
      <c r="B215" s="214" t="s">
        <v>200</v>
      </c>
      <c r="C215" s="214"/>
      <c r="D215" s="214"/>
      <c r="F215" s="27"/>
    </row>
    <row r="216" spans="1:10" ht="15" customHeight="1" x14ac:dyDescent="0.2">
      <c r="A216" s="85" t="s">
        <v>229</v>
      </c>
      <c r="B216" s="215" t="s">
        <v>195</v>
      </c>
      <c r="C216" s="215"/>
      <c r="D216" s="215"/>
      <c r="F216" s="27"/>
    </row>
    <row r="217" spans="1:10" ht="14.25" x14ac:dyDescent="0.2">
      <c r="A217" s="2"/>
      <c r="B217" s="1"/>
      <c r="C217" s="45"/>
      <c r="D217" s="2"/>
    </row>
    <row r="218" spans="1:10" ht="14.25" x14ac:dyDescent="0.2">
      <c r="A218" s="2"/>
      <c r="B218" s="2"/>
      <c r="C218" s="46"/>
      <c r="D218" s="4"/>
    </row>
    <row r="219" spans="1:10" ht="14.25" x14ac:dyDescent="0.2">
      <c r="A219" s="2"/>
      <c r="B219" s="2"/>
      <c r="C219" s="46"/>
      <c r="D219" s="4"/>
    </row>
    <row r="220" spans="1:10" x14ac:dyDescent="0.2">
      <c r="B220" s="3"/>
      <c r="C220" s="47"/>
      <c r="D220" s="5"/>
    </row>
    <row r="221" spans="1:10" x14ac:dyDescent="0.2">
      <c r="B221" s="3"/>
      <c r="C221" s="47"/>
      <c r="D221" s="5"/>
    </row>
    <row r="222" spans="1:10" x14ac:dyDescent="0.2">
      <c r="B222" s="3"/>
      <c r="C222" s="47"/>
      <c r="D222" s="5"/>
    </row>
    <row r="223" spans="1:10" x14ac:dyDescent="0.2">
      <c r="B223" s="3"/>
      <c r="C223" s="47"/>
      <c r="D223" s="5"/>
    </row>
    <row r="224" spans="1:10" x14ac:dyDescent="0.2">
      <c r="B224" s="3"/>
      <c r="C224" s="47"/>
      <c r="D224" s="5"/>
    </row>
    <row r="225" spans="2:4" x14ac:dyDescent="0.2">
      <c r="B225" s="3"/>
      <c r="C225" s="47"/>
      <c r="D225" s="5"/>
    </row>
    <row r="226" spans="2:4" x14ac:dyDescent="0.2">
      <c r="B226" s="3"/>
      <c r="C226" s="47"/>
      <c r="D226" s="5"/>
    </row>
    <row r="227" spans="2:4" x14ac:dyDescent="0.2">
      <c r="B227" s="3"/>
      <c r="C227" s="47"/>
      <c r="D227" s="5"/>
    </row>
    <row r="228" spans="2:4" x14ac:dyDescent="0.2">
      <c r="B228" s="3"/>
      <c r="C228" s="47"/>
      <c r="D228" s="5"/>
    </row>
    <row r="229" spans="2:4" x14ac:dyDescent="0.2">
      <c r="B229" s="3"/>
      <c r="C229" s="47"/>
      <c r="D229" s="5"/>
    </row>
    <row r="230" spans="2:4" x14ac:dyDescent="0.2">
      <c r="B230" s="3"/>
      <c r="C230" s="47"/>
      <c r="D230" s="5"/>
    </row>
    <row r="231" spans="2:4" x14ac:dyDescent="0.2">
      <c r="B231" s="3"/>
      <c r="C231" s="47"/>
      <c r="D231" s="5"/>
    </row>
    <row r="232" spans="2:4" x14ac:dyDescent="0.2">
      <c r="B232" s="3"/>
      <c r="C232" s="47"/>
      <c r="D232" s="5"/>
    </row>
    <row r="233" spans="2:4" x14ac:dyDescent="0.2">
      <c r="B233" s="3"/>
      <c r="C233" s="47"/>
      <c r="D233" s="5"/>
    </row>
    <row r="234" spans="2:4" x14ac:dyDescent="0.2">
      <c r="B234" s="3"/>
      <c r="C234" s="47"/>
      <c r="D234" s="5"/>
    </row>
    <row r="235" spans="2:4" x14ac:dyDescent="0.2">
      <c r="B235" s="3"/>
      <c r="C235" s="47"/>
      <c r="D235" s="5"/>
    </row>
    <row r="236" spans="2:4" x14ac:dyDescent="0.2">
      <c r="B236" s="3"/>
      <c r="C236" s="47"/>
      <c r="D236" s="5"/>
    </row>
    <row r="237" spans="2:4" x14ac:dyDescent="0.2">
      <c r="B237" s="3"/>
      <c r="C237" s="47"/>
      <c r="D237" s="5"/>
    </row>
    <row r="238" spans="2:4" x14ac:dyDescent="0.2">
      <c r="B238" s="3"/>
      <c r="C238" s="47"/>
      <c r="D238" s="5"/>
    </row>
    <row r="239" spans="2:4" x14ac:dyDescent="0.2">
      <c r="B239" s="3"/>
      <c r="C239" s="47"/>
      <c r="D239" s="5"/>
    </row>
    <row r="240" spans="2:4" x14ac:dyDescent="0.2">
      <c r="B240" s="3"/>
      <c r="C240" s="47"/>
      <c r="D240" s="5"/>
    </row>
    <row r="241" spans="2:4" x14ac:dyDescent="0.2">
      <c r="B241" s="3"/>
      <c r="C241" s="47"/>
      <c r="D241" s="5"/>
    </row>
    <row r="242" spans="2:4" x14ac:dyDescent="0.2">
      <c r="B242" s="3"/>
      <c r="C242" s="47"/>
      <c r="D242" s="5"/>
    </row>
    <row r="243" spans="2:4" x14ac:dyDescent="0.2">
      <c r="B243" s="3"/>
      <c r="C243" s="47"/>
      <c r="D243" s="5"/>
    </row>
    <row r="244" spans="2:4" x14ac:dyDescent="0.2">
      <c r="B244" s="3"/>
      <c r="C244" s="47"/>
      <c r="D244" s="5"/>
    </row>
    <row r="245" spans="2:4" x14ac:dyDescent="0.2">
      <c r="B245" s="3"/>
      <c r="C245" s="47"/>
      <c r="D245" s="5"/>
    </row>
    <row r="246" spans="2:4" x14ac:dyDescent="0.2">
      <c r="B246" s="3"/>
      <c r="C246" s="47"/>
      <c r="D246" s="5"/>
    </row>
    <row r="247" spans="2:4" x14ac:dyDescent="0.2">
      <c r="B247" s="3"/>
      <c r="C247" s="47"/>
      <c r="D247" s="5"/>
    </row>
    <row r="248" spans="2:4" x14ac:dyDescent="0.2">
      <c r="B248" s="3"/>
      <c r="C248" s="47"/>
      <c r="D248" s="5"/>
    </row>
    <row r="249" spans="2:4" x14ac:dyDescent="0.2">
      <c r="B249" s="3"/>
      <c r="C249" s="47"/>
      <c r="D249" s="5"/>
    </row>
    <row r="250" spans="2:4" x14ac:dyDescent="0.2">
      <c r="B250" s="3"/>
      <c r="C250" s="47"/>
      <c r="D250" s="5"/>
    </row>
    <row r="251" spans="2:4" x14ac:dyDescent="0.2">
      <c r="B251" s="3"/>
      <c r="C251" s="47"/>
      <c r="D251" s="5"/>
    </row>
    <row r="252" spans="2:4" x14ac:dyDescent="0.2">
      <c r="B252" s="3"/>
      <c r="C252" s="47"/>
      <c r="D252" s="5"/>
    </row>
    <row r="253" spans="2:4" x14ac:dyDescent="0.2">
      <c r="B253" s="3"/>
      <c r="C253" s="47"/>
      <c r="D253" s="5"/>
    </row>
    <row r="254" spans="2:4" x14ac:dyDescent="0.2">
      <c r="B254" s="3"/>
      <c r="C254" s="47"/>
      <c r="D254" s="5"/>
    </row>
    <row r="255" spans="2:4" x14ac:dyDescent="0.2">
      <c r="B255" s="3"/>
      <c r="C255" s="47"/>
      <c r="D255" s="5"/>
    </row>
    <row r="256" spans="2:4" x14ac:dyDescent="0.2">
      <c r="B256" s="3"/>
      <c r="C256" s="47"/>
      <c r="D256" s="5"/>
    </row>
    <row r="257" spans="2:4" x14ac:dyDescent="0.2">
      <c r="B257" s="3"/>
      <c r="C257" s="47"/>
      <c r="D257" s="5"/>
    </row>
    <row r="258" spans="2:4" x14ac:dyDescent="0.2">
      <c r="B258" s="3"/>
      <c r="C258" s="47"/>
      <c r="D258" s="5"/>
    </row>
    <row r="259" spans="2:4" x14ac:dyDescent="0.2">
      <c r="B259" s="3"/>
      <c r="C259" s="47"/>
      <c r="D259" s="5"/>
    </row>
    <row r="260" spans="2:4" x14ac:dyDescent="0.2">
      <c r="B260" s="3"/>
      <c r="C260" s="47"/>
      <c r="D260" s="5"/>
    </row>
    <row r="261" spans="2:4" x14ac:dyDescent="0.2">
      <c r="B261" s="3"/>
      <c r="C261" s="47"/>
      <c r="D261" s="5"/>
    </row>
    <row r="262" spans="2:4" x14ac:dyDescent="0.2">
      <c r="B262" s="3"/>
      <c r="C262" s="47"/>
      <c r="D262" s="5"/>
    </row>
    <row r="263" spans="2:4" x14ac:dyDescent="0.2">
      <c r="B263" s="3"/>
      <c r="C263" s="47"/>
      <c r="D263" s="5"/>
    </row>
    <row r="264" spans="2:4" x14ac:dyDescent="0.2">
      <c r="B264" s="3"/>
      <c r="C264" s="47"/>
      <c r="D264" s="5"/>
    </row>
    <row r="265" spans="2:4" x14ac:dyDescent="0.2">
      <c r="B265" s="3"/>
      <c r="C265" s="47"/>
      <c r="D265" s="5"/>
    </row>
    <row r="266" spans="2:4" x14ac:dyDescent="0.2">
      <c r="B266" s="3"/>
      <c r="C266" s="47"/>
      <c r="D266" s="5"/>
    </row>
    <row r="267" spans="2:4" x14ac:dyDescent="0.2">
      <c r="B267" s="3"/>
      <c r="C267" s="47"/>
      <c r="D267" s="5"/>
    </row>
    <row r="268" spans="2:4" x14ac:dyDescent="0.2">
      <c r="B268" s="3"/>
      <c r="C268" s="47"/>
      <c r="D268" s="5"/>
    </row>
    <row r="269" spans="2:4" x14ac:dyDescent="0.2">
      <c r="B269" s="3"/>
      <c r="C269" s="47"/>
      <c r="D269" s="5"/>
    </row>
    <row r="270" spans="2:4" x14ac:dyDescent="0.2">
      <c r="B270" s="3"/>
      <c r="C270" s="47"/>
      <c r="D270" s="5"/>
    </row>
    <row r="271" spans="2:4" x14ac:dyDescent="0.2">
      <c r="B271" s="3"/>
      <c r="C271" s="47"/>
      <c r="D271" s="5"/>
    </row>
    <row r="272" spans="2:4" x14ac:dyDescent="0.2">
      <c r="B272" s="3"/>
      <c r="C272" s="47"/>
      <c r="D272" s="5"/>
    </row>
    <row r="273" spans="2:4" x14ac:dyDescent="0.2">
      <c r="B273" s="3"/>
      <c r="C273" s="47"/>
      <c r="D273" s="5"/>
    </row>
    <row r="274" spans="2:4" x14ac:dyDescent="0.2">
      <c r="B274" s="3"/>
      <c r="C274" s="47"/>
      <c r="D274" s="5"/>
    </row>
    <row r="275" spans="2:4" x14ac:dyDescent="0.2">
      <c r="B275" s="3"/>
      <c r="C275" s="47"/>
      <c r="D275" s="5"/>
    </row>
    <row r="276" spans="2:4" x14ac:dyDescent="0.2">
      <c r="B276" s="3"/>
      <c r="C276" s="47"/>
      <c r="D276" s="5"/>
    </row>
    <row r="277" spans="2:4" x14ac:dyDescent="0.2">
      <c r="B277" s="3"/>
      <c r="C277" s="47"/>
      <c r="D277" s="5"/>
    </row>
    <row r="278" spans="2:4" x14ac:dyDescent="0.2">
      <c r="B278" s="3"/>
      <c r="C278" s="47"/>
      <c r="D278" s="5"/>
    </row>
    <row r="279" spans="2:4" x14ac:dyDescent="0.2">
      <c r="B279" s="3"/>
      <c r="C279" s="47"/>
      <c r="D279" s="5"/>
    </row>
    <row r="280" spans="2:4" x14ac:dyDescent="0.2">
      <c r="B280" s="3"/>
      <c r="C280" s="47"/>
      <c r="D280" s="5"/>
    </row>
    <row r="281" spans="2:4" x14ac:dyDescent="0.2">
      <c r="B281" s="3"/>
      <c r="C281" s="47"/>
      <c r="D281" s="5"/>
    </row>
    <row r="282" spans="2:4" x14ac:dyDescent="0.2">
      <c r="B282" s="3"/>
      <c r="C282" s="47"/>
      <c r="D282" s="5"/>
    </row>
    <row r="283" spans="2:4" x14ac:dyDescent="0.2">
      <c r="B283" s="3"/>
      <c r="C283" s="47"/>
      <c r="D283" s="5"/>
    </row>
    <row r="284" spans="2:4" x14ac:dyDescent="0.2">
      <c r="B284" s="3"/>
      <c r="C284" s="47"/>
      <c r="D284" s="5"/>
    </row>
    <row r="285" spans="2:4" x14ac:dyDescent="0.2">
      <c r="B285" s="3"/>
      <c r="C285" s="47"/>
      <c r="D285" s="5"/>
    </row>
    <row r="286" spans="2:4" x14ac:dyDescent="0.2">
      <c r="B286" s="3"/>
      <c r="C286" s="47"/>
      <c r="D286" s="5"/>
    </row>
    <row r="287" spans="2:4" x14ac:dyDescent="0.2">
      <c r="B287" s="3"/>
      <c r="C287" s="47"/>
      <c r="D287" s="5"/>
    </row>
    <row r="288" spans="2:4" x14ac:dyDescent="0.2">
      <c r="B288" s="3"/>
      <c r="C288" s="47"/>
      <c r="D288" s="5"/>
    </row>
    <row r="289" spans="2:4" x14ac:dyDescent="0.2">
      <c r="B289" s="3"/>
      <c r="C289" s="47"/>
      <c r="D289" s="5"/>
    </row>
    <row r="290" spans="2:4" x14ac:dyDescent="0.2">
      <c r="B290" s="3"/>
      <c r="C290" s="47"/>
      <c r="D290" s="5"/>
    </row>
    <row r="291" spans="2:4" x14ac:dyDescent="0.2">
      <c r="B291" s="3"/>
      <c r="C291" s="47"/>
      <c r="D291" s="5"/>
    </row>
    <row r="292" spans="2:4" x14ac:dyDescent="0.2">
      <c r="B292" s="3"/>
      <c r="C292" s="47"/>
      <c r="D292" s="5"/>
    </row>
    <row r="293" spans="2:4" x14ac:dyDescent="0.2">
      <c r="B293" s="3"/>
      <c r="C293" s="47"/>
      <c r="D293" s="5"/>
    </row>
    <row r="294" spans="2:4" x14ac:dyDescent="0.2">
      <c r="B294" s="3"/>
      <c r="C294" s="47"/>
      <c r="D294" s="5"/>
    </row>
    <row r="295" spans="2:4" x14ac:dyDescent="0.2">
      <c r="B295" s="3"/>
      <c r="C295" s="47"/>
      <c r="D295" s="5"/>
    </row>
    <row r="296" spans="2:4" x14ac:dyDescent="0.2">
      <c r="B296" s="3"/>
      <c r="C296" s="47"/>
      <c r="D296" s="5"/>
    </row>
    <row r="297" spans="2:4" x14ac:dyDescent="0.2">
      <c r="B297" s="3"/>
      <c r="C297" s="47"/>
      <c r="D297" s="5"/>
    </row>
    <row r="298" spans="2:4" x14ac:dyDescent="0.2">
      <c r="B298" s="3"/>
      <c r="C298" s="47"/>
      <c r="D298" s="5"/>
    </row>
    <row r="299" spans="2:4" x14ac:dyDescent="0.2">
      <c r="B299" s="3"/>
      <c r="C299" s="47"/>
      <c r="D299" s="5"/>
    </row>
    <row r="300" spans="2:4" x14ac:dyDescent="0.2">
      <c r="B300" s="3"/>
      <c r="C300" s="47"/>
      <c r="D300" s="5"/>
    </row>
    <row r="301" spans="2:4" x14ac:dyDescent="0.2">
      <c r="B301" s="3"/>
      <c r="C301" s="47"/>
      <c r="D301" s="5"/>
    </row>
    <row r="302" spans="2:4" x14ac:dyDescent="0.2">
      <c r="B302" s="3"/>
      <c r="C302" s="47"/>
      <c r="D302" s="5"/>
    </row>
    <row r="303" spans="2:4" x14ac:dyDescent="0.2">
      <c r="B303" s="3"/>
      <c r="C303" s="47"/>
      <c r="D303" s="5"/>
    </row>
    <row r="304" spans="2:4" x14ac:dyDescent="0.2">
      <c r="B304" s="3"/>
      <c r="C304" s="47"/>
      <c r="D304" s="5"/>
    </row>
    <row r="305" spans="2:4" x14ac:dyDescent="0.2">
      <c r="B305" s="3"/>
      <c r="C305" s="47"/>
      <c r="D305" s="5"/>
    </row>
    <row r="306" spans="2:4" x14ac:dyDescent="0.2">
      <c r="B306" s="3"/>
      <c r="C306" s="47"/>
      <c r="D306" s="5"/>
    </row>
    <row r="307" spans="2:4" x14ac:dyDescent="0.2">
      <c r="B307" s="3"/>
      <c r="C307" s="47"/>
      <c r="D307" s="5"/>
    </row>
    <row r="308" spans="2:4" x14ac:dyDescent="0.2">
      <c r="B308" s="3"/>
      <c r="C308" s="47"/>
      <c r="D308" s="5"/>
    </row>
    <row r="309" spans="2:4" x14ac:dyDescent="0.2">
      <c r="B309" s="3"/>
      <c r="C309" s="47"/>
      <c r="D309" s="5"/>
    </row>
    <row r="310" spans="2:4" x14ac:dyDescent="0.2">
      <c r="B310" s="3"/>
      <c r="C310" s="47"/>
      <c r="D310" s="5"/>
    </row>
    <row r="311" spans="2:4" x14ac:dyDescent="0.2">
      <c r="B311" s="3"/>
      <c r="C311" s="47"/>
      <c r="D311" s="5"/>
    </row>
    <row r="312" spans="2:4" x14ac:dyDescent="0.2">
      <c r="B312" s="3"/>
      <c r="C312" s="47"/>
      <c r="D312" s="5"/>
    </row>
    <row r="313" spans="2:4" x14ac:dyDescent="0.2">
      <c r="B313" s="3"/>
      <c r="C313" s="47"/>
      <c r="D313" s="5"/>
    </row>
    <row r="314" spans="2:4" x14ac:dyDescent="0.2">
      <c r="B314" s="3"/>
      <c r="C314" s="47"/>
      <c r="D314" s="5"/>
    </row>
    <row r="315" spans="2:4" x14ac:dyDescent="0.2">
      <c r="B315" s="3"/>
      <c r="C315" s="47"/>
      <c r="D315" s="5"/>
    </row>
    <row r="316" spans="2:4" x14ac:dyDescent="0.2">
      <c r="B316" s="3"/>
      <c r="C316" s="47"/>
      <c r="D316" s="5"/>
    </row>
    <row r="317" spans="2:4" x14ac:dyDescent="0.2">
      <c r="B317" s="3"/>
      <c r="C317" s="47"/>
      <c r="D317" s="5"/>
    </row>
    <row r="318" spans="2:4" x14ac:dyDescent="0.2">
      <c r="B318" s="3"/>
      <c r="C318" s="47"/>
      <c r="D318" s="5"/>
    </row>
    <row r="319" spans="2:4" x14ac:dyDescent="0.2">
      <c r="B319" s="3"/>
      <c r="C319" s="47"/>
      <c r="D319" s="5"/>
    </row>
    <row r="320" spans="2:4" x14ac:dyDescent="0.2">
      <c r="B320" s="3"/>
      <c r="C320" s="47"/>
      <c r="D320" s="5"/>
    </row>
    <row r="321" spans="2:4" x14ac:dyDescent="0.2">
      <c r="B321" s="3"/>
      <c r="C321" s="47"/>
      <c r="D321" s="5"/>
    </row>
    <row r="322" spans="2:4" x14ac:dyDescent="0.2">
      <c r="B322" s="3"/>
      <c r="C322" s="47"/>
      <c r="D322" s="5"/>
    </row>
    <row r="323" spans="2:4" x14ac:dyDescent="0.2">
      <c r="B323" s="3"/>
      <c r="C323" s="47"/>
      <c r="D323" s="5"/>
    </row>
    <row r="324" spans="2:4" x14ac:dyDescent="0.2">
      <c r="B324" s="3"/>
      <c r="C324" s="47"/>
      <c r="D324" s="5"/>
    </row>
    <row r="325" spans="2:4" x14ac:dyDescent="0.2">
      <c r="B325" s="3"/>
      <c r="C325" s="47"/>
      <c r="D325" s="5"/>
    </row>
    <row r="326" spans="2:4" x14ac:dyDescent="0.2">
      <c r="B326" s="3"/>
      <c r="C326" s="47"/>
      <c r="D326" s="5"/>
    </row>
    <row r="327" spans="2:4" x14ac:dyDescent="0.2">
      <c r="B327" s="3"/>
      <c r="C327" s="47"/>
      <c r="D327" s="5"/>
    </row>
    <row r="328" spans="2:4" x14ac:dyDescent="0.2">
      <c r="B328" s="3"/>
      <c r="C328" s="47"/>
      <c r="D328" s="5"/>
    </row>
    <row r="329" spans="2:4" x14ac:dyDescent="0.2">
      <c r="B329" s="3"/>
      <c r="C329" s="47"/>
      <c r="D329" s="5"/>
    </row>
    <row r="330" spans="2:4" x14ac:dyDescent="0.2">
      <c r="B330" s="3"/>
      <c r="C330" s="47"/>
      <c r="D330" s="5"/>
    </row>
    <row r="331" spans="2:4" x14ac:dyDescent="0.2">
      <c r="B331" s="3"/>
      <c r="C331" s="47"/>
      <c r="D331" s="5"/>
    </row>
    <row r="332" spans="2:4" x14ac:dyDescent="0.2">
      <c r="B332" s="3"/>
      <c r="C332" s="47"/>
      <c r="D332" s="5"/>
    </row>
    <row r="333" spans="2:4" x14ac:dyDescent="0.2">
      <c r="B333" s="3"/>
      <c r="C333" s="47"/>
      <c r="D333" s="5"/>
    </row>
    <row r="334" spans="2:4" x14ac:dyDescent="0.2">
      <c r="B334" s="3"/>
      <c r="C334" s="47"/>
      <c r="D334" s="5"/>
    </row>
    <row r="335" spans="2:4" x14ac:dyDescent="0.2">
      <c r="B335" s="3"/>
      <c r="C335" s="47"/>
      <c r="D335" s="5"/>
    </row>
    <row r="336" spans="2:4" x14ac:dyDescent="0.2">
      <c r="B336" s="3"/>
      <c r="C336" s="47"/>
      <c r="D336" s="5"/>
    </row>
    <row r="337" spans="2:4" x14ac:dyDescent="0.2">
      <c r="B337" s="3"/>
      <c r="C337" s="47"/>
      <c r="D337" s="5"/>
    </row>
    <row r="338" spans="2:4" x14ac:dyDescent="0.2">
      <c r="B338" s="3"/>
      <c r="C338" s="47"/>
      <c r="D338" s="5"/>
    </row>
    <row r="339" spans="2:4" x14ac:dyDescent="0.2">
      <c r="B339" s="3"/>
      <c r="C339" s="47"/>
      <c r="D339" s="5"/>
    </row>
    <row r="340" spans="2:4" x14ac:dyDescent="0.2">
      <c r="B340" s="3"/>
      <c r="C340" s="47"/>
      <c r="D340" s="5"/>
    </row>
    <row r="341" spans="2:4" x14ac:dyDescent="0.2">
      <c r="B341" s="3"/>
      <c r="C341" s="47"/>
      <c r="D341" s="5"/>
    </row>
    <row r="342" spans="2:4" x14ac:dyDescent="0.2">
      <c r="B342" s="3"/>
      <c r="C342" s="47"/>
      <c r="D342" s="5"/>
    </row>
    <row r="343" spans="2:4" x14ac:dyDescent="0.2">
      <c r="B343" s="3"/>
      <c r="C343" s="47"/>
      <c r="D343" s="5"/>
    </row>
    <row r="344" spans="2:4" x14ac:dyDescent="0.2">
      <c r="B344" s="3"/>
      <c r="C344" s="47"/>
      <c r="D344" s="5"/>
    </row>
    <row r="345" spans="2:4" x14ac:dyDescent="0.2">
      <c r="B345" s="3"/>
      <c r="C345" s="47"/>
      <c r="D345" s="5"/>
    </row>
    <row r="346" spans="2:4" x14ac:dyDescent="0.2">
      <c r="B346" s="3"/>
      <c r="C346" s="47"/>
      <c r="D346" s="5"/>
    </row>
    <row r="347" spans="2:4" x14ac:dyDescent="0.2">
      <c r="B347" s="3"/>
      <c r="C347" s="47"/>
      <c r="D347" s="5"/>
    </row>
    <row r="348" spans="2:4" x14ac:dyDescent="0.2">
      <c r="B348" s="3"/>
      <c r="C348" s="47"/>
      <c r="D348" s="5"/>
    </row>
    <row r="349" spans="2:4" x14ac:dyDescent="0.2">
      <c r="B349" s="3"/>
      <c r="C349" s="47"/>
      <c r="D349" s="5"/>
    </row>
    <row r="350" spans="2:4" x14ac:dyDescent="0.2">
      <c r="B350" s="3"/>
      <c r="C350" s="47"/>
      <c r="D350" s="5"/>
    </row>
    <row r="351" spans="2:4" x14ac:dyDescent="0.2">
      <c r="B351" s="3"/>
      <c r="C351" s="47"/>
      <c r="D351" s="5"/>
    </row>
    <row r="352" spans="2:4" x14ac:dyDescent="0.2">
      <c r="B352" s="3"/>
      <c r="C352" s="47"/>
      <c r="D352" s="5"/>
    </row>
    <row r="353" spans="2:4" x14ac:dyDescent="0.2">
      <c r="B353" s="3"/>
      <c r="C353" s="47"/>
      <c r="D353" s="5"/>
    </row>
    <row r="354" spans="2:4" x14ac:dyDescent="0.2">
      <c r="B354" s="3"/>
      <c r="C354" s="47"/>
      <c r="D354" s="5"/>
    </row>
    <row r="355" spans="2:4" x14ac:dyDescent="0.2">
      <c r="B355" s="3"/>
      <c r="C355" s="47"/>
      <c r="D355" s="5"/>
    </row>
    <row r="356" spans="2:4" x14ac:dyDescent="0.2">
      <c r="B356" s="3"/>
      <c r="C356" s="47"/>
      <c r="D356" s="5"/>
    </row>
    <row r="357" spans="2:4" x14ac:dyDescent="0.2">
      <c r="B357" s="3"/>
      <c r="C357" s="47"/>
      <c r="D357" s="5"/>
    </row>
    <row r="358" spans="2:4" x14ac:dyDescent="0.2">
      <c r="B358" s="3"/>
      <c r="C358" s="47"/>
      <c r="D358" s="5"/>
    </row>
    <row r="359" spans="2:4" x14ac:dyDescent="0.2">
      <c r="B359" s="3"/>
      <c r="C359" s="47"/>
      <c r="D359" s="5"/>
    </row>
    <row r="360" spans="2:4" x14ac:dyDescent="0.2">
      <c r="B360" s="3"/>
      <c r="C360" s="47"/>
      <c r="D360" s="5"/>
    </row>
    <row r="361" spans="2:4" x14ac:dyDescent="0.2">
      <c r="B361" s="3"/>
      <c r="C361" s="47"/>
      <c r="D361" s="5"/>
    </row>
    <row r="362" spans="2:4" x14ac:dyDescent="0.2">
      <c r="B362" s="3"/>
      <c r="C362" s="47"/>
      <c r="D362" s="5"/>
    </row>
    <row r="363" spans="2:4" x14ac:dyDescent="0.2">
      <c r="B363" s="3"/>
      <c r="C363" s="47"/>
      <c r="D363" s="5"/>
    </row>
    <row r="364" spans="2:4" x14ac:dyDescent="0.2">
      <c r="B364" s="3"/>
      <c r="C364" s="47"/>
      <c r="D364" s="5"/>
    </row>
    <row r="365" spans="2:4" x14ac:dyDescent="0.2">
      <c r="B365" s="3"/>
      <c r="C365" s="47"/>
      <c r="D365" s="5"/>
    </row>
    <row r="366" spans="2:4" x14ac:dyDescent="0.2">
      <c r="B366" s="3"/>
      <c r="C366" s="47"/>
      <c r="D366" s="5"/>
    </row>
    <row r="367" spans="2:4" x14ac:dyDescent="0.2">
      <c r="B367" s="3"/>
      <c r="C367" s="47"/>
      <c r="D367" s="5"/>
    </row>
    <row r="368" spans="2:4" x14ac:dyDescent="0.2">
      <c r="B368" s="3"/>
      <c r="C368" s="47"/>
      <c r="D368" s="5"/>
    </row>
    <row r="369" spans="2:4" x14ac:dyDescent="0.2">
      <c r="B369" s="3"/>
      <c r="C369" s="47"/>
      <c r="D369" s="5"/>
    </row>
    <row r="370" spans="2:4" x14ac:dyDescent="0.2">
      <c r="B370" s="3"/>
      <c r="C370" s="47"/>
      <c r="D370" s="5"/>
    </row>
    <row r="371" spans="2:4" x14ac:dyDescent="0.2">
      <c r="B371" s="3"/>
      <c r="C371" s="47"/>
      <c r="D371" s="5"/>
    </row>
    <row r="372" spans="2:4" x14ac:dyDescent="0.2">
      <c r="B372" s="3"/>
      <c r="C372" s="47"/>
      <c r="D372" s="5"/>
    </row>
    <row r="373" spans="2:4" x14ac:dyDescent="0.2">
      <c r="B373" s="3"/>
      <c r="C373" s="47"/>
      <c r="D373" s="5"/>
    </row>
    <row r="374" spans="2:4" x14ac:dyDescent="0.2">
      <c r="B374" s="3"/>
      <c r="C374" s="47"/>
      <c r="D374" s="5"/>
    </row>
    <row r="375" spans="2:4" x14ac:dyDescent="0.2">
      <c r="B375" s="3"/>
      <c r="C375" s="47"/>
      <c r="D375" s="5"/>
    </row>
    <row r="376" spans="2:4" x14ac:dyDescent="0.2">
      <c r="B376" s="3"/>
      <c r="C376" s="47"/>
      <c r="D376" s="5"/>
    </row>
    <row r="377" spans="2:4" x14ac:dyDescent="0.2">
      <c r="B377" s="3"/>
      <c r="C377" s="47"/>
      <c r="D377" s="5"/>
    </row>
    <row r="378" spans="2:4" x14ac:dyDescent="0.2">
      <c r="B378" s="3"/>
      <c r="C378" s="47"/>
      <c r="D378" s="5"/>
    </row>
    <row r="379" spans="2:4" x14ac:dyDescent="0.2">
      <c r="B379" s="3"/>
      <c r="C379" s="47"/>
      <c r="D379" s="5"/>
    </row>
    <row r="380" spans="2:4" x14ac:dyDescent="0.2">
      <c r="B380" s="3"/>
      <c r="C380" s="47"/>
      <c r="D380" s="5"/>
    </row>
    <row r="381" spans="2:4" x14ac:dyDescent="0.2">
      <c r="B381" s="3"/>
      <c r="C381" s="47"/>
      <c r="D381" s="5"/>
    </row>
    <row r="382" spans="2:4" x14ac:dyDescent="0.2">
      <c r="B382" s="3"/>
      <c r="C382" s="47"/>
      <c r="D382" s="5"/>
    </row>
    <row r="383" spans="2:4" x14ac:dyDescent="0.2">
      <c r="B383" s="3"/>
      <c r="C383" s="47"/>
      <c r="D383" s="5"/>
    </row>
    <row r="384" spans="2:4" x14ac:dyDescent="0.2">
      <c r="B384" s="3"/>
      <c r="C384" s="47"/>
      <c r="D384" s="5"/>
    </row>
    <row r="385" spans="2:4" x14ac:dyDescent="0.2">
      <c r="B385" s="3"/>
      <c r="C385" s="47"/>
      <c r="D385" s="5"/>
    </row>
    <row r="386" spans="2:4" x14ac:dyDescent="0.2">
      <c r="B386" s="3"/>
      <c r="C386" s="47"/>
      <c r="D386" s="5"/>
    </row>
    <row r="387" spans="2:4" x14ac:dyDescent="0.2">
      <c r="B387" s="3"/>
      <c r="C387" s="47"/>
      <c r="D387" s="5"/>
    </row>
    <row r="388" spans="2:4" x14ac:dyDescent="0.2">
      <c r="B388" s="3"/>
      <c r="C388" s="47"/>
      <c r="D388" s="5"/>
    </row>
    <row r="389" spans="2:4" x14ac:dyDescent="0.2">
      <c r="B389" s="3"/>
      <c r="C389" s="47"/>
      <c r="D389" s="5"/>
    </row>
    <row r="390" spans="2:4" x14ac:dyDescent="0.2">
      <c r="B390" s="3"/>
      <c r="C390" s="47"/>
      <c r="D390" s="5"/>
    </row>
    <row r="391" spans="2:4" x14ac:dyDescent="0.2">
      <c r="B391" s="3"/>
      <c r="C391" s="47"/>
      <c r="D391" s="5"/>
    </row>
    <row r="392" spans="2:4" x14ac:dyDescent="0.2">
      <c r="B392" s="3"/>
      <c r="C392" s="47"/>
      <c r="D392" s="5"/>
    </row>
    <row r="393" spans="2:4" x14ac:dyDescent="0.2">
      <c r="B393" s="3"/>
      <c r="C393" s="47"/>
      <c r="D393" s="5"/>
    </row>
    <row r="394" spans="2:4" x14ac:dyDescent="0.2">
      <c r="B394" s="3"/>
      <c r="C394" s="47"/>
      <c r="D394" s="5"/>
    </row>
    <row r="395" spans="2:4" x14ac:dyDescent="0.2">
      <c r="B395" s="3"/>
      <c r="C395" s="47"/>
      <c r="D395" s="5"/>
    </row>
    <row r="396" spans="2:4" x14ac:dyDescent="0.2">
      <c r="B396" s="3"/>
      <c r="C396" s="47"/>
      <c r="D396" s="5"/>
    </row>
    <row r="397" spans="2:4" x14ac:dyDescent="0.2">
      <c r="B397" s="3"/>
      <c r="C397" s="47"/>
      <c r="D397" s="5"/>
    </row>
    <row r="398" spans="2:4" x14ac:dyDescent="0.2">
      <c r="B398" s="3"/>
      <c r="C398" s="47"/>
      <c r="D398" s="5"/>
    </row>
    <row r="399" spans="2:4" x14ac:dyDescent="0.2">
      <c r="B399" s="3"/>
      <c r="C399" s="47"/>
      <c r="D399" s="5"/>
    </row>
    <row r="400" spans="2:4" x14ac:dyDescent="0.2">
      <c r="B400" s="3"/>
      <c r="C400" s="47"/>
      <c r="D400" s="5"/>
    </row>
    <row r="401" spans="2:4" x14ac:dyDescent="0.2">
      <c r="B401" s="3"/>
      <c r="C401" s="47"/>
      <c r="D401" s="5"/>
    </row>
    <row r="402" spans="2:4" x14ac:dyDescent="0.2">
      <c r="B402" s="3"/>
      <c r="C402" s="47"/>
      <c r="D402" s="5"/>
    </row>
    <row r="403" spans="2:4" x14ac:dyDescent="0.2">
      <c r="B403" s="3"/>
      <c r="C403" s="47"/>
      <c r="D403" s="5"/>
    </row>
    <row r="404" spans="2:4" x14ac:dyDescent="0.2">
      <c r="B404" s="3"/>
      <c r="C404" s="47"/>
      <c r="D404" s="5"/>
    </row>
    <row r="405" spans="2:4" x14ac:dyDescent="0.2">
      <c r="B405" s="3"/>
      <c r="C405" s="47"/>
      <c r="D405" s="5"/>
    </row>
    <row r="406" spans="2:4" x14ac:dyDescent="0.2">
      <c r="B406" s="3"/>
      <c r="C406" s="47"/>
      <c r="D406" s="5"/>
    </row>
    <row r="407" spans="2:4" x14ac:dyDescent="0.2">
      <c r="B407" s="3"/>
      <c r="C407" s="47"/>
      <c r="D407" s="5"/>
    </row>
    <row r="408" spans="2:4" x14ac:dyDescent="0.2">
      <c r="B408" s="3"/>
      <c r="C408" s="47"/>
      <c r="D408" s="5"/>
    </row>
    <row r="409" spans="2:4" x14ac:dyDescent="0.2">
      <c r="B409" s="3"/>
      <c r="C409" s="47"/>
      <c r="D409" s="5"/>
    </row>
    <row r="410" spans="2:4" x14ac:dyDescent="0.2">
      <c r="B410" s="3"/>
      <c r="C410" s="47"/>
      <c r="D410" s="5"/>
    </row>
    <row r="411" spans="2:4" x14ac:dyDescent="0.2">
      <c r="B411" s="3"/>
      <c r="C411" s="47"/>
      <c r="D411" s="5"/>
    </row>
    <row r="412" spans="2:4" x14ac:dyDescent="0.2">
      <c r="B412" s="3"/>
      <c r="C412" s="47"/>
      <c r="D412" s="5"/>
    </row>
    <row r="413" spans="2:4" x14ac:dyDescent="0.2">
      <c r="B413" s="3"/>
      <c r="C413" s="47"/>
      <c r="D413" s="5"/>
    </row>
    <row r="414" spans="2:4" x14ac:dyDescent="0.2">
      <c r="B414" s="3"/>
      <c r="C414" s="47"/>
      <c r="D414" s="5"/>
    </row>
    <row r="415" spans="2:4" x14ac:dyDescent="0.2">
      <c r="B415" s="3"/>
      <c r="C415" s="47"/>
      <c r="D415" s="5"/>
    </row>
    <row r="416" spans="2:4" x14ac:dyDescent="0.2">
      <c r="B416" s="3"/>
      <c r="C416" s="47"/>
      <c r="D416" s="5"/>
    </row>
    <row r="417" spans="2:4" x14ac:dyDescent="0.2">
      <c r="B417" s="3"/>
      <c r="C417" s="47"/>
      <c r="D417" s="5"/>
    </row>
  </sheetData>
  <mergeCells count="44">
    <mergeCell ref="A1:D1"/>
    <mergeCell ref="A2:D2"/>
    <mergeCell ref="A3:D3"/>
    <mergeCell ref="A5:D5"/>
    <mergeCell ref="A6:D6"/>
    <mergeCell ref="A7:D7"/>
    <mergeCell ref="A8:A10"/>
    <mergeCell ref="B8:B10"/>
    <mergeCell ref="C8:C10"/>
    <mergeCell ref="D8:D10"/>
    <mergeCell ref="F11:F13"/>
    <mergeCell ref="G11:G13"/>
    <mergeCell ref="I11:I13"/>
    <mergeCell ref="J11:J13"/>
    <mergeCell ref="F15:F25"/>
    <mergeCell ref="G15:G25"/>
    <mergeCell ref="F26:F31"/>
    <mergeCell ref="G26:G31"/>
    <mergeCell ref="I26:I31"/>
    <mergeCell ref="J26:J31"/>
    <mergeCell ref="F32:F34"/>
    <mergeCell ref="G32:G34"/>
    <mergeCell ref="I32:I33"/>
    <mergeCell ref="J32:J33"/>
    <mergeCell ref="F36:F80"/>
    <mergeCell ref="G36:G80"/>
    <mergeCell ref="I36:I80"/>
    <mergeCell ref="J36:J80"/>
    <mergeCell ref="I81:I82"/>
    <mergeCell ref="J81:J82"/>
    <mergeCell ref="F83:G84"/>
    <mergeCell ref="H83:H84"/>
    <mergeCell ref="F85:G91"/>
    <mergeCell ref="H85:H91"/>
    <mergeCell ref="I85:I91"/>
    <mergeCell ref="J85:J91"/>
    <mergeCell ref="B215:D215"/>
    <mergeCell ref="B216:D216"/>
    <mergeCell ref="F92:G92"/>
    <mergeCell ref="F93:G93"/>
    <mergeCell ref="F94:G94"/>
    <mergeCell ref="F95:G95"/>
    <mergeCell ref="F96:G97"/>
    <mergeCell ref="B212:D212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view="pageLayout" topLeftCell="B11" zoomScale="85" zoomScaleNormal="82" zoomScalePageLayoutView="85" workbookViewId="0">
      <selection activeCell="E11" sqref="E11"/>
    </sheetView>
  </sheetViews>
  <sheetFormatPr defaultRowHeight="15" x14ac:dyDescent="0.2"/>
  <cols>
    <col min="1" max="1" width="54.85546875" style="115" customWidth="1"/>
    <col min="2" max="2" width="11.7109375" style="115" customWidth="1"/>
    <col min="3" max="3" width="17.85546875" style="115" customWidth="1"/>
    <col min="4" max="4" width="17.5703125" style="115" customWidth="1"/>
    <col min="5" max="5" width="17.85546875" style="115" customWidth="1"/>
    <col min="6" max="6" width="17" style="115" customWidth="1"/>
    <col min="7" max="7" width="9.140625" style="115"/>
    <col min="8" max="8" width="11.28515625" style="115" customWidth="1"/>
    <col min="9" max="9" width="6.28515625" style="115" customWidth="1"/>
    <col min="10" max="10" width="11" style="115" customWidth="1"/>
    <col min="11" max="11" width="11.5703125" style="115" customWidth="1"/>
    <col min="12" max="12" width="9.140625" style="115"/>
    <col min="13" max="13" width="10.42578125" style="115" customWidth="1"/>
    <col min="14" max="14" width="10.5703125" style="115" customWidth="1"/>
    <col min="15" max="15" width="9.140625" style="115"/>
    <col min="16" max="16" width="6.28515625" style="115" customWidth="1"/>
    <col min="17" max="17" width="11" style="115" customWidth="1"/>
    <col min="18" max="16384" width="9.140625" style="115"/>
  </cols>
  <sheetData>
    <row r="1" spans="1:17" x14ac:dyDescent="0.2">
      <c r="A1" s="245" t="s">
        <v>2</v>
      </c>
      <c r="B1" s="245"/>
      <c r="C1" s="245"/>
      <c r="D1" s="245"/>
      <c r="E1" s="114"/>
    </row>
    <row r="2" spans="1:17" ht="15.75" x14ac:dyDescent="0.2">
      <c r="A2" s="246" t="s">
        <v>3</v>
      </c>
      <c r="B2" s="246"/>
      <c r="C2" s="246"/>
      <c r="D2" s="246"/>
      <c r="E2" s="116"/>
    </row>
    <row r="3" spans="1:17" x14ac:dyDescent="0.2">
      <c r="A3" s="245" t="s">
        <v>1</v>
      </c>
      <c r="B3" s="245"/>
      <c r="C3" s="245"/>
      <c r="D3" s="245"/>
      <c r="E3" s="114"/>
    </row>
    <row r="4" spans="1:17" x14ac:dyDescent="0.2">
      <c r="A4" s="117"/>
      <c r="B4" s="114"/>
      <c r="C4" s="118"/>
      <c r="D4" s="117"/>
      <c r="E4" s="117"/>
    </row>
    <row r="5" spans="1:17" ht="15.75" x14ac:dyDescent="0.2">
      <c r="A5" s="246" t="s">
        <v>7</v>
      </c>
      <c r="B5" s="246"/>
      <c r="C5" s="246"/>
      <c r="D5" s="246"/>
      <c r="E5" s="116"/>
    </row>
    <row r="6" spans="1:17" x14ac:dyDescent="0.2">
      <c r="A6" s="245" t="s">
        <v>245</v>
      </c>
      <c r="B6" s="245"/>
      <c r="C6" s="245"/>
      <c r="D6" s="245"/>
      <c r="E6" s="114"/>
    </row>
    <row r="7" spans="1:17" ht="16.5" thickBot="1" x14ac:dyDescent="0.25">
      <c r="A7" s="247"/>
      <c r="B7" s="247"/>
      <c r="C7" s="247"/>
      <c r="D7" s="247"/>
      <c r="E7" s="119"/>
    </row>
    <row r="8" spans="1:17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G8" s="122" t="s">
        <v>235</v>
      </c>
      <c r="H8" s="122" t="s">
        <v>236</v>
      </c>
      <c r="I8" s="122" t="s">
        <v>237</v>
      </c>
      <c r="J8" s="122" t="s">
        <v>238</v>
      </c>
      <c r="K8" s="122" t="s">
        <v>239</v>
      </c>
      <c r="L8" s="122" t="s">
        <v>240</v>
      </c>
      <c r="M8" s="122" t="s">
        <v>241</v>
      </c>
      <c r="N8" s="122" t="s">
        <v>242</v>
      </c>
      <c r="O8" s="122" t="s">
        <v>243</v>
      </c>
      <c r="P8" s="122"/>
    </row>
    <row r="9" spans="1:17" ht="11.25" customHeight="1" x14ac:dyDescent="0.2">
      <c r="A9" s="239"/>
      <c r="B9" s="239"/>
      <c r="C9" s="239"/>
      <c r="D9" s="239"/>
      <c r="E9" s="120"/>
    </row>
    <row r="10" spans="1:17" ht="12.75" customHeight="1" thickBot="1" x14ac:dyDescent="0.25">
      <c r="A10" s="240"/>
      <c r="B10" s="240"/>
      <c r="C10" s="240"/>
      <c r="D10" s="240"/>
      <c r="E10" s="120"/>
    </row>
    <row r="11" spans="1:17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G11" s="152"/>
      <c r="J11" s="129"/>
      <c r="K11" s="129"/>
      <c r="L11" s="129"/>
      <c r="M11" s="129"/>
      <c r="N11" s="129"/>
      <c r="O11" s="243"/>
      <c r="P11" s="244"/>
      <c r="Q11" s="160"/>
    </row>
    <row r="12" spans="1:17" ht="15.75" x14ac:dyDescent="0.25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34">
        <f>C210-D210</f>
        <v>0</v>
      </c>
      <c r="G12" s="152"/>
      <c r="Q12" s="162"/>
    </row>
    <row r="13" spans="1:17" ht="15.75" x14ac:dyDescent="0.25">
      <c r="A13" s="130" t="s">
        <v>226</v>
      </c>
      <c r="B13" s="131">
        <v>10102020</v>
      </c>
      <c r="C13" s="132"/>
      <c r="D13" s="132"/>
      <c r="E13" s="126">
        <f t="shared" si="0"/>
        <v>0</v>
      </c>
      <c r="G13" s="129"/>
      <c r="H13" s="133"/>
      <c r="Q13" s="162"/>
    </row>
    <row r="14" spans="1:17" ht="15.75" x14ac:dyDescent="0.25">
      <c r="A14" s="130" t="s">
        <v>68</v>
      </c>
      <c r="B14" s="131">
        <v>10205990</v>
      </c>
      <c r="C14" s="132"/>
      <c r="D14" s="132"/>
      <c r="E14" s="126"/>
      <c r="G14" s="152"/>
      <c r="Q14" s="162"/>
    </row>
    <row r="15" spans="1:17" ht="15.75" x14ac:dyDescent="0.25">
      <c r="A15" s="130" t="s">
        <v>11</v>
      </c>
      <c r="B15" s="131">
        <v>10301020</v>
      </c>
      <c r="C15" s="132"/>
      <c r="D15" s="132"/>
      <c r="E15" s="126">
        <f t="shared" si="0"/>
        <v>0</v>
      </c>
      <c r="Q15" s="162"/>
    </row>
    <row r="16" spans="1:17" ht="15.75" x14ac:dyDescent="0.25">
      <c r="A16" s="130" t="s">
        <v>133</v>
      </c>
      <c r="B16" s="131">
        <v>10303010</v>
      </c>
      <c r="C16" s="132"/>
      <c r="D16" s="132"/>
      <c r="E16" s="126">
        <f t="shared" si="0"/>
        <v>0</v>
      </c>
      <c r="G16" s="129"/>
      <c r="H16" s="129"/>
      <c r="I16" s="129"/>
      <c r="J16" s="129"/>
      <c r="K16" s="129"/>
      <c r="L16" s="129"/>
      <c r="M16" s="129"/>
      <c r="N16" s="129"/>
      <c r="O16" s="243"/>
      <c r="P16" s="244"/>
      <c r="Q16" s="158"/>
    </row>
    <row r="17" spans="1:11" x14ac:dyDescent="0.2">
      <c r="A17" s="130" t="s">
        <v>50</v>
      </c>
      <c r="B17" s="131">
        <v>10303020</v>
      </c>
      <c r="C17" s="132"/>
      <c r="D17" s="132"/>
      <c r="E17" s="126">
        <f t="shared" si="0"/>
        <v>0</v>
      </c>
    </row>
    <row r="18" spans="1:11" x14ac:dyDescent="0.2">
      <c r="A18" s="130" t="s">
        <v>51</v>
      </c>
      <c r="B18" s="131">
        <v>10303030</v>
      </c>
      <c r="C18" s="132"/>
      <c r="D18" s="132"/>
      <c r="E18" s="126">
        <f t="shared" si="0"/>
        <v>0</v>
      </c>
    </row>
    <row r="19" spans="1:11" x14ac:dyDescent="0.2">
      <c r="A19" s="130" t="s">
        <v>12</v>
      </c>
      <c r="B19" s="131">
        <v>10304050</v>
      </c>
      <c r="C19" s="132"/>
      <c r="D19" s="132"/>
      <c r="E19" s="126">
        <f t="shared" si="0"/>
        <v>0</v>
      </c>
    </row>
    <row r="20" spans="1:11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</row>
    <row r="21" spans="1:11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</row>
    <row r="22" spans="1:11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11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1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11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  <c r="K25" s="115" t="s">
        <v>244</v>
      </c>
    </row>
    <row r="26" spans="1:11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1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1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1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1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1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1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96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>D97-C97</f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>D98-C98</f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ref="E99:E134" si="3">D99-C99</f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3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3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3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3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3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3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3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3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3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3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3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3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3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3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3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3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3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3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3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3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3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3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3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3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3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3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3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3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3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3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3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3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3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3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3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 t="shared" ref="E135:E161" si="4"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si="4"/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4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4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4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4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4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4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4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4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4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4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4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4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4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4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4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4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4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4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4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4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4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4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4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4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4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ref="E162:E210" si="5">C162-D162</f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5"/>
        <v>0</v>
      </c>
    </row>
    <row r="164" spans="1:5" x14ac:dyDescent="0.2">
      <c r="A164" s="130" t="s">
        <v>146</v>
      </c>
      <c r="B164" s="131">
        <v>50203080</v>
      </c>
      <c r="C164" s="132" t="s">
        <v>262</v>
      </c>
      <c r="D164" s="132"/>
      <c r="E164" s="126" t="e">
        <f t="shared" si="5"/>
        <v>#VALUE!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5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5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5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5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5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5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5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5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5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5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5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5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5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5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5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5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5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5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5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5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5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5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5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5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5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5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5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5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5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5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5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5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5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5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5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si="5"/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5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5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5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5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5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5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5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5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5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26">
        <f t="shared" si="5"/>
        <v>0</v>
      </c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110"/>
    </row>
    <row r="216" spans="1:5" ht="15.75" x14ac:dyDescent="0.2">
      <c r="A216" s="112" t="s">
        <v>246</v>
      </c>
      <c r="B216" s="237" t="s">
        <v>195</v>
      </c>
      <c r="C216" s="237"/>
      <c r="D216" s="237"/>
      <c r="E216" s="112"/>
    </row>
  </sheetData>
  <mergeCells count="15">
    <mergeCell ref="O11:P11"/>
    <mergeCell ref="O16:P16"/>
    <mergeCell ref="A1:D1"/>
    <mergeCell ref="A2:D2"/>
    <mergeCell ref="A3:D3"/>
    <mergeCell ref="A5:D5"/>
    <mergeCell ref="A6:D6"/>
    <mergeCell ref="A7:D7"/>
    <mergeCell ref="B216:D216"/>
    <mergeCell ref="A8:A10"/>
    <mergeCell ref="B8:B10"/>
    <mergeCell ref="C8:C10"/>
    <mergeCell ref="D8:D10"/>
    <mergeCell ref="B212:D212"/>
    <mergeCell ref="B215:D215"/>
  </mergeCells>
  <pageMargins left="0.7" right="0.7" top="0.75" bottom="0.75" header="0.3" footer="0.3"/>
  <pageSetup paperSize="9" scale="87" orientation="portrait" horizontalDpi="360" verticalDpi="360" r:id="rId1"/>
  <colBreaks count="1" manualBreakCount="1">
    <brk id="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6"/>
  <sheetViews>
    <sheetView topLeftCell="A130" zoomScale="91" zoomScaleNormal="91" workbookViewId="0">
      <selection activeCell="E11" sqref="E11"/>
    </sheetView>
  </sheetViews>
  <sheetFormatPr defaultRowHeight="15" x14ac:dyDescent="0.2"/>
  <cols>
    <col min="1" max="1" width="64.85546875" style="115" customWidth="1"/>
    <col min="2" max="2" width="13.42578125" style="115" customWidth="1"/>
    <col min="3" max="3" width="16.5703125" style="115" customWidth="1"/>
    <col min="4" max="4" width="16.28515625" style="115" customWidth="1"/>
    <col min="5" max="5" width="18.5703125" style="115" customWidth="1"/>
    <col min="6" max="6" width="12" style="115" customWidth="1"/>
    <col min="7" max="7" width="11" style="115" bestFit="1" customWidth="1"/>
    <col min="8" max="8" width="10.7109375" style="115" customWidth="1"/>
    <col min="9" max="9" width="9.140625" style="115"/>
    <col min="10" max="10" width="11.28515625" style="115" customWidth="1"/>
    <col min="11" max="11" width="9.140625" style="115"/>
    <col min="12" max="13" width="10.7109375" style="115" customWidth="1"/>
    <col min="14" max="15" width="9.140625" style="115"/>
    <col min="16" max="16" width="13.85546875" style="115" customWidth="1"/>
    <col min="17" max="16384" width="9.140625" style="115"/>
  </cols>
  <sheetData>
    <row r="1" spans="1:16" x14ac:dyDescent="0.2">
      <c r="A1" s="245" t="s">
        <v>2</v>
      </c>
      <c r="B1" s="245"/>
      <c r="C1" s="245"/>
      <c r="D1" s="245"/>
      <c r="E1" s="114"/>
    </row>
    <row r="2" spans="1:16" ht="15.75" x14ac:dyDescent="0.2">
      <c r="A2" s="246" t="s">
        <v>3</v>
      </c>
      <c r="B2" s="246"/>
      <c r="C2" s="246"/>
      <c r="D2" s="246"/>
      <c r="E2" s="116"/>
    </row>
    <row r="3" spans="1:16" x14ac:dyDescent="0.2">
      <c r="A3" s="245" t="s">
        <v>1</v>
      </c>
      <c r="B3" s="245"/>
      <c r="C3" s="245"/>
      <c r="D3" s="245"/>
      <c r="E3" s="114"/>
    </row>
    <row r="4" spans="1:16" x14ac:dyDescent="0.2">
      <c r="A4" s="117"/>
      <c r="B4" s="114"/>
      <c r="C4" s="118"/>
      <c r="D4" s="117"/>
      <c r="E4" s="117"/>
    </row>
    <row r="5" spans="1:16" ht="15.75" x14ac:dyDescent="0.2">
      <c r="A5" s="246" t="s">
        <v>7</v>
      </c>
      <c r="B5" s="246"/>
      <c r="C5" s="246"/>
      <c r="D5" s="246"/>
      <c r="E5" s="116"/>
    </row>
    <row r="6" spans="1:16" x14ac:dyDescent="0.2">
      <c r="A6" s="245" t="s">
        <v>232</v>
      </c>
      <c r="B6" s="245"/>
      <c r="C6" s="245"/>
      <c r="D6" s="245"/>
      <c r="E6" s="114"/>
    </row>
    <row r="7" spans="1:16" ht="16.5" thickBot="1" x14ac:dyDescent="0.25">
      <c r="A7" s="247" t="s">
        <v>260</v>
      </c>
      <c r="B7" s="247"/>
      <c r="C7" s="247"/>
      <c r="D7" s="247"/>
      <c r="E7" s="119"/>
    </row>
    <row r="8" spans="1:16" ht="13.5" customHeight="1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2" t="s">
        <v>235</v>
      </c>
      <c r="G8" s="122" t="s">
        <v>236</v>
      </c>
      <c r="H8" s="122" t="s">
        <v>237</v>
      </c>
      <c r="I8" s="122" t="s">
        <v>238</v>
      </c>
      <c r="J8" s="122" t="s">
        <v>239</v>
      </c>
      <c r="K8" s="122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6" ht="15.75" x14ac:dyDescent="0.2">
      <c r="A9" s="239"/>
      <c r="B9" s="239"/>
      <c r="C9" s="239"/>
      <c r="D9" s="239"/>
      <c r="E9" s="120"/>
    </row>
    <row r="10" spans="1:16" ht="18" customHeight="1" thickBot="1" x14ac:dyDescent="0.45">
      <c r="A10" s="240"/>
      <c r="B10" s="240"/>
      <c r="C10" s="240"/>
      <c r="D10" s="240"/>
      <c r="E10" s="120"/>
      <c r="P10" s="122"/>
    </row>
    <row r="11" spans="1:16" ht="20.25" thickTop="1" x14ac:dyDescent="0.4">
      <c r="A11" s="123" t="s">
        <v>123</v>
      </c>
      <c r="B11" s="124">
        <v>10101010</v>
      </c>
      <c r="C11" s="125"/>
      <c r="D11" s="125"/>
      <c r="E11" s="126">
        <f>C11-D11</f>
        <v>0</v>
      </c>
      <c r="F11" s="152"/>
      <c r="G11" s="152"/>
      <c r="H11" s="135"/>
      <c r="I11" s="129"/>
      <c r="J11" s="129"/>
      <c r="K11" s="129"/>
      <c r="L11" s="129"/>
      <c r="M11" s="129"/>
      <c r="N11" s="243"/>
      <c r="O11" s="244"/>
      <c r="P11" s="161"/>
    </row>
    <row r="12" spans="1:16" ht="19.5" x14ac:dyDescent="0.4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27"/>
      <c r="G12" s="154"/>
      <c r="P12" s="122"/>
    </row>
    <row r="13" spans="1:16" ht="19.5" x14ac:dyDescent="0.4">
      <c r="A13" s="130" t="s">
        <v>226</v>
      </c>
      <c r="B13" s="131">
        <v>10102020</v>
      </c>
      <c r="C13" s="132"/>
      <c r="D13" s="132"/>
      <c r="E13" s="126">
        <f t="shared" si="0"/>
        <v>0</v>
      </c>
      <c r="F13" s="157"/>
      <c r="G13" s="133"/>
      <c r="P13" s="122"/>
    </row>
    <row r="14" spans="1:16" ht="19.5" x14ac:dyDescent="0.4">
      <c r="A14" s="130" t="s">
        <v>68</v>
      </c>
      <c r="B14" s="131">
        <v>10205990</v>
      </c>
      <c r="C14" s="132"/>
      <c r="D14" s="132"/>
      <c r="E14" s="126">
        <f t="shared" si="0"/>
        <v>0</v>
      </c>
      <c r="F14" s="152"/>
      <c r="G14" s="154"/>
      <c r="P14" s="122"/>
    </row>
    <row r="15" spans="1:16" ht="19.5" x14ac:dyDescent="0.4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52"/>
      <c r="G15" s="154"/>
      <c r="P15" s="122"/>
    </row>
    <row r="16" spans="1:16" ht="19.5" x14ac:dyDescent="0.4">
      <c r="A16" s="130" t="s">
        <v>133</v>
      </c>
      <c r="B16" s="131">
        <v>10303010</v>
      </c>
      <c r="C16" s="132"/>
      <c r="D16" s="132"/>
      <c r="E16" s="126">
        <f t="shared" si="0"/>
        <v>0</v>
      </c>
      <c r="F16" s="157"/>
      <c r="G16" s="133"/>
      <c r="P16" s="122"/>
    </row>
    <row r="17" spans="1:16" ht="19.5" x14ac:dyDescent="0.4">
      <c r="A17" s="130" t="s">
        <v>50</v>
      </c>
      <c r="B17" s="131">
        <v>10303020</v>
      </c>
      <c r="C17" s="132"/>
      <c r="D17" s="132"/>
      <c r="E17" s="126">
        <f t="shared" si="0"/>
        <v>0</v>
      </c>
      <c r="F17" s="152"/>
      <c r="G17" s="154"/>
      <c r="P17" s="122"/>
    </row>
    <row r="18" spans="1:16" ht="19.5" x14ac:dyDescent="0.4">
      <c r="A18" s="130" t="s">
        <v>51</v>
      </c>
      <c r="B18" s="131">
        <v>10303030</v>
      </c>
      <c r="C18" s="132"/>
      <c r="D18" s="132"/>
      <c r="E18" s="126">
        <f t="shared" si="0"/>
        <v>0</v>
      </c>
      <c r="P18" s="122"/>
    </row>
    <row r="19" spans="1:16" ht="19.5" x14ac:dyDescent="0.4">
      <c r="A19" s="130" t="s">
        <v>12</v>
      </c>
      <c r="B19" s="131">
        <v>10304050</v>
      </c>
      <c r="C19" s="132"/>
      <c r="D19" s="132"/>
      <c r="E19" s="126">
        <f t="shared" si="0"/>
        <v>0</v>
      </c>
      <c r="F19" s="129"/>
      <c r="G19" s="129"/>
      <c r="H19" s="135"/>
      <c r="I19" s="129"/>
      <c r="J19" s="129"/>
      <c r="K19" s="129"/>
      <c r="L19" s="129"/>
      <c r="M19" s="129"/>
      <c r="N19" s="243"/>
      <c r="O19" s="244"/>
      <c r="P19" s="159"/>
    </row>
    <row r="20" spans="1:16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</row>
    <row r="21" spans="1:16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</row>
    <row r="22" spans="1:16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16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6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16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16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6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6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6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6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6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6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4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2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2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ref="E136:E199" si="3">C136-D136</f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3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ref="E200:E209" si="4">C200-D200</f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110"/>
    </row>
    <row r="216" spans="1:5" ht="15.75" x14ac:dyDescent="0.2">
      <c r="A216" s="112" t="s">
        <v>246</v>
      </c>
      <c r="B216" s="237" t="s">
        <v>195</v>
      </c>
      <c r="C216" s="237"/>
      <c r="D216" s="237"/>
      <c r="E216" s="112"/>
    </row>
  </sheetData>
  <mergeCells count="15">
    <mergeCell ref="N11:O11"/>
    <mergeCell ref="N19:O19"/>
    <mergeCell ref="A1:D1"/>
    <mergeCell ref="A2:D2"/>
    <mergeCell ref="A3:D3"/>
    <mergeCell ref="A5:D5"/>
    <mergeCell ref="A6:D6"/>
    <mergeCell ref="A7:D7"/>
    <mergeCell ref="B216:D216"/>
    <mergeCell ref="A8:A10"/>
    <mergeCell ref="B8:B10"/>
    <mergeCell ref="C8:C10"/>
    <mergeCell ref="D8:D10"/>
    <mergeCell ref="B212:D212"/>
    <mergeCell ref="B215:D215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84" zoomScaleNormal="84" workbookViewId="0">
      <selection activeCell="E11" sqref="E11"/>
    </sheetView>
  </sheetViews>
  <sheetFormatPr defaultRowHeight="15" x14ac:dyDescent="0.2"/>
  <cols>
    <col min="1" max="1" width="55" style="115" customWidth="1"/>
    <col min="2" max="2" width="15.42578125" style="115" customWidth="1"/>
    <col min="3" max="3" width="15.5703125" style="115" customWidth="1"/>
    <col min="4" max="4" width="16.42578125" style="115" customWidth="1"/>
    <col min="5" max="5" width="15.140625" style="115" customWidth="1"/>
    <col min="6" max="6" width="11.7109375" style="115" customWidth="1"/>
    <col min="7" max="7" width="5.42578125" style="115" customWidth="1"/>
    <col min="8" max="8" width="13.7109375" style="115" customWidth="1"/>
    <col min="9" max="9" width="10.7109375" style="115" customWidth="1"/>
    <col min="10" max="10" width="11.28515625" style="115" customWidth="1"/>
    <col min="11" max="11" width="9.140625" style="115" customWidth="1"/>
    <col min="12" max="12" width="11.140625" style="115" customWidth="1"/>
    <col min="13" max="13" width="10.85546875" style="115" customWidth="1"/>
    <col min="14" max="15" width="9.140625" style="115"/>
    <col min="16" max="16" width="10.28515625" style="115" bestFit="1" customWidth="1"/>
    <col min="17" max="17" width="14" style="115" bestFit="1" customWidth="1"/>
    <col min="18" max="16384" width="9.140625" style="115"/>
  </cols>
  <sheetData>
    <row r="1" spans="1:17" x14ac:dyDescent="0.2">
      <c r="A1" s="245" t="s">
        <v>2</v>
      </c>
      <c r="B1" s="245"/>
      <c r="C1" s="245"/>
      <c r="D1" s="245"/>
      <c r="E1" s="114"/>
    </row>
    <row r="2" spans="1:17" ht="15.75" x14ac:dyDescent="0.2">
      <c r="A2" s="246" t="s">
        <v>3</v>
      </c>
      <c r="B2" s="246"/>
      <c r="C2" s="246"/>
      <c r="D2" s="246"/>
      <c r="E2" s="116"/>
    </row>
    <row r="3" spans="1:17" x14ac:dyDescent="0.2">
      <c r="A3" s="245" t="s">
        <v>1</v>
      </c>
      <c r="B3" s="245"/>
      <c r="C3" s="245"/>
      <c r="D3" s="245"/>
      <c r="E3" s="114"/>
    </row>
    <row r="4" spans="1:17" x14ac:dyDescent="0.2">
      <c r="A4" s="117"/>
      <c r="B4" s="114"/>
      <c r="C4" s="118"/>
      <c r="D4" s="117"/>
      <c r="E4" s="117"/>
    </row>
    <row r="5" spans="1:17" ht="15.75" x14ac:dyDescent="0.2">
      <c r="A5" s="246" t="s">
        <v>7</v>
      </c>
      <c r="B5" s="246"/>
      <c r="C5" s="246"/>
      <c r="D5" s="246"/>
      <c r="E5" s="116"/>
    </row>
    <row r="6" spans="1:17" x14ac:dyDescent="0.2">
      <c r="A6" s="245" t="s">
        <v>233</v>
      </c>
      <c r="B6" s="245"/>
      <c r="C6" s="245"/>
      <c r="D6" s="245"/>
      <c r="E6" s="114"/>
    </row>
    <row r="7" spans="1:17" ht="16.5" thickBot="1" x14ac:dyDescent="0.25">
      <c r="A7" s="247" t="s">
        <v>260</v>
      </c>
      <c r="B7" s="247"/>
      <c r="C7" s="247"/>
      <c r="D7" s="247"/>
      <c r="E7" s="119"/>
    </row>
    <row r="8" spans="1:17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1" t="s">
        <v>235</v>
      </c>
      <c r="G8" s="121" t="s">
        <v>236</v>
      </c>
      <c r="H8" s="121" t="s">
        <v>237</v>
      </c>
      <c r="I8" s="122" t="s">
        <v>238</v>
      </c>
      <c r="J8" s="122" t="s">
        <v>239</v>
      </c>
      <c r="K8" s="121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7" ht="15.75" x14ac:dyDescent="0.2">
      <c r="A9" s="239"/>
      <c r="B9" s="239"/>
      <c r="C9" s="239"/>
      <c r="D9" s="239"/>
      <c r="E9" s="120"/>
    </row>
    <row r="10" spans="1:17" ht="16.5" thickBot="1" x14ac:dyDescent="0.25">
      <c r="A10" s="240"/>
      <c r="B10" s="240"/>
      <c r="C10" s="240"/>
      <c r="D10" s="240"/>
      <c r="E10" s="120"/>
    </row>
    <row r="11" spans="1:17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F11" s="127"/>
      <c r="I11" s="129"/>
      <c r="J11" s="129"/>
      <c r="K11" s="129"/>
      <c r="L11" s="129"/>
      <c r="M11" s="129"/>
      <c r="N11" s="243"/>
      <c r="O11" s="244"/>
      <c r="P11" s="129"/>
      <c r="Q11" s="158"/>
    </row>
    <row r="12" spans="1:17" ht="19.5" x14ac:dyDescent="0.4">
      <c r="A12" s="130" t="s">
        <v>67</v>
      </c>
      <c r="B12" s="131">
        <v>10101020</v>
      </c>
      <c r="D12" s="132"/>
      <c r="E12" s="126"/>
      <c r="F12" s="152"/>
      <c r="I12" s="129"/>
      <c r="J12" s="129"/>
      <c r="K12" s="129"/>
      <c r="L12" s="129"/>
      <c r="M12" s="129"/>
      <c r="N12" s="243"/>
      <c r="O12" s="244"/>
      <c r="P12" s="129"/>
      <c r="Q12" s="159"/>
    </row>
    <row r="13" spans="1:17" ht="19.5" x14ac:dyDescent="0.4">
      <c r="A13" s="130" t="s">
        <v>226</v>
      </c>
      <c r="B13" s="131">
        <v>10102020</v>
      </c>
      <c r="C13" s="132"/>
      <c r="D13" s="132"/>
      <c r="E13" s="126">
        <f>C13-D13</f>
        <v>0</v>
      </c>
      <c r="F13" s="152"/>
      <c r="P13" s="160"/>
      <c r="Q13" s="122"/>
    </row>
    <row r="14" spans="1:17" ht="19.5" x14ac:dyDescent="0.4">
      <c r="A14" s="130" t="s">
        <v>68</v>
      </c>
      <c r="B14" s="131">
        <v>10205990</v>
      </c>
      <c r="C14" s="132"/>
      <c r="D14" s="132"/>
      <c r="E14" s="126">
        <f t="shared" ref="E14:E75" si="0">C14-D14</f>
        <v>0</v>
      </c>
      <c r="F14" s="152"/>
      <c r="H14" s="133"/>
      <c r="Q14" s="122"/>
    </row>
    <row r="15" spans="1:17" ht="19.5" x14ac:dyDescent="0.4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57"/>
      <c r="Q15" s="122"/>
    </row>
    <row r="16" spans="1:17" ht="19.5" x14ac:dyDescent="0.4">
      <c r="A16" s="130" t="s">
        <v>133</v>
      </c>
      <c r="B16" s="131">
        <v>10303010</v>
      </c>
      <c r="C16" s="132"/>
      <c r="D16" s="132"/>
      <c r="E16" s="126">
        <f t="shared" si="0"/>
        <v>0</v>
      </c>
      <c r="F16" s="152"/>
      <c r="Q16" s="122"/>
    </row>
    <row r="17" spans="1:17" ht="19.5" x14ac:dyDescent="0.4">
      <c r="A17" s="130" t="s">
        <v>50</v>
      </c>
      <c r="B17" s="131">
        <v>10303020</v>
      </c>
      <c r="C17" s="132"/>
      <c r="D17" s="132"/>
      <c r="E17" s="126">
        <f t="shared" si="0"/>
        <v>0</v>
      </c>
      <c r="F17" s="152"/>
      <c r="Q17" s="122"/>
    </row>
    <row r="18" spans="1:17" ht="19.5" x14ac:dyDescent="0.4">
      <c r="A18" s="130" t="s">
        <v>51</v>
      </c>
      <c r="B18" s="131">
        <v>10303030</v>
      </c>
      <c r="C18" s="132"/>
      <c r="D18" s="132"/>
      <c r="E18" s="126">
        <f t="shared" si="0"/>
        <v>0</v>
      </c>
      <c r="F18" s="152"/>
      <c r="Q18" s="122"/>
    </row>
    <row r="19" spans="1:17" ht="19.5" x14ac:dyDescent="0.4">
      <c r="A19" s="130" t="s">
        <v>12</v>
      </c>
      <c r="B19" s="131">
        <v>10304050</v>
      </c>
      <c r="C19" s="132"/>
      <c r="D19" s="132"/>
      <c r="E19" s="126">
        <f t="shared" si="0"/>
        <v>0</v>
      </c>
      <c r="F19" s="152"/>
      <c r="Q19" s="122"/>
    </row>
    <row r="20" spans="1:17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  <c r="H20" s="129"/>
      <c r="I20" s="129"/>
      <c r="J20" s="129"/>
      <c r="K20" s="129"/>
      <c r="L20" s="129"/>
      <c r="M20" s="129"/>
      <c r="N20" s="243"/>
      <c r="O20" s="244"/>
      <c r="Q20" s="248"/>
    </row>
    <row r="21" spans="1:17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  <c r="F21" s="134"/>
      <c r="H21" s="129"/>
      <c r="I21" s="129"/>
      <c r="J21" s="129"/>
      <c r="K21" s="129"/>
      <c r="L21" s="129"/>
      <c r="M21" s="129"/>
      <c r="N21" s="243"/>
      <c r="O21" s="244"/>
      <c r="Q21" s="248"/>
    </row>
    <row r="22" spans="1:17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17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7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17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17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7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7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7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7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7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7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3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>C134-D134</f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 t="shared" ref="E135:E198" si="3"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si="3"/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ref="E199:E209" si="4">C199-D199</f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si="4"/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110"/>
    </row>
    <row r="216" spans="1:5" ht="15.75" x14ac:dyDescent="0.2">
      <c r="A216" s="112" t="s">
        <v>246</v>
      </c>
      <c r="B216" s="237" t="s">
        <v>195</v>
      </c>
      <c r="C216" s="237"/>
      <c r="D216" s="237"/>
      <c r="E216" s="112"/>
    </row>
  </sheetData>
  <mergeCells count="18">
    <mergeCell ref="Q20:Q21"/>
    <mergeCell ref="N11:O11"/>
    <mergeCell ref="N12:O12"/>
    <mergeCell ref="N20:O20"/>
    <mergeCell ref="N21:O21"/>
    <mergeCell ref="B216:D216"/>
    <mergeCell ref="A8:A10"/>
    <mergeCell ref="B8:B10"/>
    <mergeCell ref="C8:C10"/>
    <mergeCell ref="D8:D10"/>
    <mergeCell ref="B212:D212"/>
    <mergeCell ref="B215:D215"/>
    <mergeCell ref="A1:D1"/>
    <mergeCell ref="A2:D2"/>
    <mergeCell ref="A3:D3"/>
    <mergeCell ref="A5:D5"/>
    <mergeCell ref="A6:D6"/>
    <mergeCell ref="A7:D7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91" zoomScaleNormal="91" workbookViewId="0">
      <selection activeCell="E11" sqref="E11"/>
    </sheetView>
  </sheetViews>
  <sheetFormatPr defaultRowHeight="12.75" x14ac:dyDescent="0.2"/>
  <cols>
    <col min="1" max="1" width="56.28515625" customWidth="1"/>
    <col min="2" max="2" width="11.7109375" customWidth="1"/>
    <col min="3" max="3" width="15.140625" customWidth="1"/>
    <col min="4" max="4" width="15" customWidth="1"/>
    <col min="5" max="5" width="16.7109375" customWidth="1"/>
    <col min="6" max="6" width="14" customWidth="1"/>
    <col min="7" max="7" width="11.140625" customWidth="1"/>
    <col min="8" max="8" width="11.7109375" customWidth="1"/>
    <col min="9" max="9" width="10.42578125" customWidth="1"/>
    <col min="10" max="10" width="11.42578125" customWidth="1"/>
    <col min="12" max="12" width="10.5703125" customWidth="1"/>
    <col min="13" max="13" width="10" customWidth="1"/>
  </cols>
  <sheetData>
    <row r="1" spans="1:17" ht="14.25" x14ac:dyDescent="0.2">
      <c r="A1" s="235" t="s">
        <v>2</v>
      </c>
      <c r="B1" s="235"/>
      <c r="C1" s="235"/>
      <c r="D1" s="235"/>
      <c r="E1" s="1"/>
    </row>
    <row r="2" spans="1:17" ht="15" x14ac:dyDescent="0.2">
      <c r="A2" s="236" t="s">
        <v>3</v>
      </c>
      <c r="B2" s="236"/>
      <c r="C2" s="236"/>
      <c r="D2" s="236"/>
      <c r="E2" s="94"/>
    </row>
    <row r="3" spans="1:17" ht="14.25" x14ac:dyDescent="0.2">
      <c r="A3" s="235" t="s">
        <v>1</v>
      </c>
      <c r="B3" s="235"/>
      <c r="C3" s="235"/>
      <c r="D3" s="235"/>
      <c r="E3" s="1"/>
    </row>
    <row r="4" spans="1:17" ht="14.25" x14ac:dyDescent="0.2">
      <c r="A4" s="2"/>
      <c r="B4" s="1"/>
      <c r="C4" s="42"/>
      <c r="D4" s="2"/>
      <c r="E4" s="2"/>
    </row>
    <row r="5" spans="1:17" ht="15" x14ac:dyDescent="0.2">
      <c r="A5" s="236" t="s">
        <v>7</v>
      </c>
      <c r="B5" s="236"/>
      <c r="C5" s="236"/>
      <c r="D5" s="236"/>
      <c r="E5" s="94"/>
    </row>
    <row r="6" spans="1:17" ht="14.25" x14ac:dyDescent="0.2">
      <c r="A6" s="235" t="s">
        <v>250</v>
      </c>
      <c r="B6" s="235"/>
      <c r="C6" s="235"/>
      <c r="D6" s="235"/>
      <c r="E6" s="1"/>
    </row>
    <row r="7" spans="1:17" ht="15.75" thickBot="1" x14ac:dyDescent="0.25">
      <c r="A7" s="254" t="s">
        <v>260</v>
      </c>
      <c r="B7" s="254"/>
      <c r="C7" s="254"/>
      <c r="D7" s="254"/>
      <c r="E7" s="95"/>
    </row>
    <row r="8" spans="1:17" ht="15.75" thickTop="1" x14ac:dyDescent="0.3">
      <c r="A8" s="229" t="s">
        <v>10</v>
      </c>
      <c r="B8" s="229" t="s">
        <v>9</v>
      </c>
      <c r="C8" s="229" t="s">
        <v>4</v>
      </c>
      <c r="D8" s="229" t="s">
        <v>5</v>
      </c>
      <c r="E8" s="96"/>
      <c r="F8" s="103" t="s">
        <v>235</v>
      </c>
      <c r="G8" s="103" t="s">
        <v>236</v>
      </c>
      <c r="H8" s="103" t="s">
        <v>237</v>
      </c>
      <c r="I8" s="102" t="s">
        <v>238</v>
      </c>
      <c r="J8" s="102" t="s">
        <v>239</v>
      </c>
      <c r="K8" s="103" t="s">
        <v>240</v>
      </c>
      <c r="L8" s="102" t="s">
        <v>241</v>
      </c>
      <c r="M8" s="102" t="s">
        <v>242</v>
      </c>
      <c r="N8" s="102" t="s">
        <v>243</v>
      </c>
      <c r="O8" s="102"/>
    </row>
    <row r="9" spans="1:17" ht="15" x14ac:dyDescent="0.2">
      <c r="A9" s="230"/>
      <c r="B9" s="230"/>
      <c r="C9" s="230"/>
      <c r="D9" s="230"/>
      <c r="E9" s="96"/>
    </row>
    <row r="10" spans="1:17" ht="15.75" thickBot="1" x14ac:dyDescent="0.25">
      <c r="A10" s="231"/>
      <c r="B10" s="231"/>
      <c r="C10" s="231"/>
      <c r="D10" s="231"/>
      <c r="E10" s="96"/>
    </row>
    <row r="11" spans="1:17" ht="15" thickTop="1" x14ac:dyDescent="0.2">
      <c r="A11" s="34" t="s">
        <v>123</v>
      </c>
      <c r="B11" s="35">
        <v>10101010</v>
      </c>
      <c r="C11" s="50"/>
      <c r="D11" s="50"/>
      <c r="E11" s="97">
        <f>C11-D11</f>
        <v>0</v>
      </c>
      <c r="F11" s="105"/>
      <c r="G11" s="106"/>
      <c r="H11" s="109"/>
      <c r="I11" s="101"/>
      <c r="J11" s="101"/>
      <c r="K11" s="101"/>
      <c r="L11" s="101"/>
      <c r="M11" s="101"/>
      <c r="N11" s="249"/>
      <c r="O11" s="250"/>
      <c r="P11" s="251"/>
      <c r="Q11" s="252"/>
    </row>
    <row r="12" spans="1:17" ht="14.25" x14ac:dyDescent="0.2">
      <c r="A12" s="56" t="s">
        <v>67</v>
      </c>
      <c r="B12" s="57">
        <v>10101020</v>
      </c>
      <c r="C12" s="51"/>
      <c r="D12" s="51"/>
      <c r="E12" s="97">
        <f t="shared" ref="E12:E75" si="0">C12-D12</f>
        <v>0</v>
      </c>
      <c r="F12" s="107"/>
      <c r="G12" s="107"/>
      <c r="H12" s="106"/>
    </row>
    <row r="13" spans="1:17" ht="14.25" x14ac:dyDescent="0.2">
      <c r="A13" s="56" t="s">
        <v>226</v>
      </c>
      <c r="B13" s="57">
        <v>10102020</v>
      </c>
      <c r="C13" s="51"/>
      <c r="D13" s="51"/>
      <c r="E13" s="97">
        <f t="shared" si="0"/>
        <v>0</v>
      </c>
      <c r="F13" s="107"/>
      <c r="G13" s="109"/>
      <c r="H13" s="108"/>
    </row>
    <row r="14" spans="1:17" ht="14.25" x14ac:dyDescent="0.2">
      <c r="A14" s="56" t="s">
        <v>68</v>
      </c>
      <c r="B14" s="57">
        <v>10205990</v>
      </c>
      <c r="C14" s="51"/>
      <c r="D14" s="51"/>
      <c r="E14" s="97">
        <f t="shared" si="0"/>
        <v>0</v>
      </c>
      <c r="F14" s="104"/>
      <c r="G14" s="106"/>
      <c r="H14" s="108"/>
    </row>
    <row r="15" spans="1:17" ht="14.25" x14ac:dyDescent="0.2">
      <c r="A15" s="56" t="s">
        <v>11</v>
      </c>
      <c r="B15" s="57">
        <v>10301020</v>
      </c>
      <c r="C15" s="51"/>
      <c r="D15" s="51"/>
      <c r="E15" s="97">
        <f t="shared" si="0"/>
        <v>0</v>
      </c>
      <c r="F15" s="101"/>
      <c r="G15" s="109"/>
      <c r="H15" s="109"/>
    </row>
    <row r="16" spans="1:17" ht="14.25" x14ac:dyDescent="0.2">
      <c r="A16" s="56" t="s">
        <v>133</v>
      </c>
      <c r="B16" s="57">
        <v>10303010</v>
      </c>
      <c r="C16" s="51"/>
      <c r="D16" s="51"/>
      <c r="E16" s="97">
        <f t="shared" si="0"/>
        <v>0</v>
      </c>
      <c r="F16" s="101"/>
    </row>
    <row r="17" spans="1:17" ht="14.25" x14ac:dyDescent="0.2">
      <c r="A17" s="56" t="s">
        <v>50</v>
      </c>
      <c r="B17" s="57">
        <v>10303020</v>
      </c>
      <c r="C17" s="51"/>
      <c r="D17" s="51"/>
      <c r="E17" s="97">
        <f t="shared" si="0"/>
        <v>0</v>
      </c>
      <c r="F17" s="101"/>
    </row>
    <row r="18" spans="1:17" ht="14.25" x14ac:dyDescent="0.2">
      <c r="A18" s="56" t="s">
        <v>51</v>
      </c>
      <c r="B18" s="57">
        <v>10303030</v>
      </c>
      <c r="C18" s="51"/>
      <c r="D18" s="51"/>
      <c r="E18" s="97">
        <f t="shared" si="0"/>
        <v>0</v>
      </c>
      <c r="F18" s="90"/>
      <c r="G18" s="101"/>
      <c r="H18" s="101"/>
      <c r="I18" s="101"/>
      <c r="J18" s="101"/>
      <c r="K18" s="101"/>
      <c r="L18" s="101"/>
      <c r="M18" s="101"/>
      <c r="N18" s="249"/>
      <c r="O18" s="250"/>
      <c r="P18" s="253"/>
      <c r="Q18" s="250"/>
    </row>
    <row r="19" spans="1:17" ht="14.25" x14ac:dyDescent="0.2">
      <c r="A19" s="56" t="s">
        <v>12</v>
      </c>
      <c r="B19" s="57">
        <v>10304050</v>
      </c>
      <c r="C19" s="51"/>
      <c r="D19" s="51"/>
      <c r="E19" s="97">
        <f t="shared" si="0"/>
        <v>0</v>
      </c>
    </row>
    <row r="20" spans="1:17" ht="14.25" x14ac:dyDescent="0.2">
      <c r="A20" s="56" t="s">
        <v>125</v>
      </c>
      <c r="B20" s="57">
        <v>10305010</v>
      </c>
      <c r="C20" s="51"/>
      <c r="D20" s="51"/>
      <c r="E20" s="97">
        <f t="shared" si="0"/>
        <v>0</v>
      </c>
    </row>
    <row r="21" spans="1:17" ht="14.25" x14ac:dyDescent="0.2">
      <c r="A21" s="56" t="s">
        <v>69</v>
      </c>
      <c r="B21" s="57">
        <v>10305020</v>
      </c>
      <c r="C21" s="51"/>
      <c r="D21" s="51"/>
      <c r="E21" s="97">
        <f t="shared" si="0"/>
        <v>0</v>
      </c>
    </row>
    <row r="22" spans="1:17" ht="14.25" x14ac:dyDescent="0.2">
      <c r="A22" s="56" t="s">
        <v>70</v>
      </c>
      <c r="B22" s="57">
        <v>10305040</v>
      </c>
      <c r="C22" s="51"/>
      <c r="D22" s="51"/>
      <c r="E22" s="97">
        <f t="shared" si="0"/>
        <v>0</v>
      </c>
    </row>
    <row r="23" spans="1:17" ht="14.25" x14ac:dyDescent="0.2">
      <c r="A23" s="56" t="s">
        <v>124</v>
      </c>
      <c r="B23" s="57">
        <v>10306010</v>
      </c>
      <c r="C23" s="51"/>
      <c r="D23" s="51"/>
      <c r="E23" s="97">
        <f t="shared" si="0"/>
        <v>0</v>
      </c>
    </row>
    <row r="24" spans="1:17" ht="14.25" x14ac:dyDescent="0.2">
      <c r="A24" s="56" t="s">
        <v>134</v>
      </c>
      <c r="B24" s="57">
        <v>10306020</v>
      </c>
      <c r="C24" s="51"/>
      <c r="D24" s="51"/>
      <c r="E24" s="97">
        <f t="shared" si="0"/>
        <v>0</v>
      </c>
    </row>
    <row r="25" spans="1:17" ht="14.25" x14ac:dyDescent="0.2">
      <c r="A25" s="56" t="s">
        <v>13</v>
      </c>
      <c r="B25" s="57">
        <v>10306990</v>
      </c>
      <c r="C25" s="51"/>
      <c r="D25" s="51"/>
      <c r="E25" s="97">
        <f t="shared" si="0"/>
        <v>0</v>
      </c>
    </row>
    <row r="26" spans="1:17" ht="14.25" x14ac:dyDescent="0.2">
      <c r="A26" s="56" t="s">
        <v>135</v>
      </c>
      <c r="B26" s="57">
        <v>10402090</v>
      </c>
      <c r="C26" s="51"/>
      <c r="D26" s="51"/>
      <c r="E26" s="97">
        <f t="shared" si="0"/>
        <v>0</v>
      </c>
    </row>
    <row r="27" spans="1:17" ht="14.25" x14ac:dyDescent="0.2">
      <c r="A27" s="56" t="s">
        <v>65</v>
      </c>
      <c r="B27" s="57">
        <v>10404010</v>
      </c>
      <c r="C27" s="51"/>
      <c r="D27" s="51"/>
      <c r="E27" s="97">
        <f t="shared" si="0"/>
        <v>0</v>
      </c>
    </row>
    <row r="28" spans="1:17" ht="14.25" x14ac:dyDescent="0.2">
      <c r="A28" s="56" t="s">
        <v>219</v>
      </c>
      <c r="B28" s="57">
        <v>10404060</v>
      </c>
      <c r="C28" s="51"/>
      <c r="D28" s="51"/>
      <c r="E28" s="97">
        <f t="shared" si="0"/>
        <v>0</v>
      </c>
    </row>
    <row r="29" spans="1:17" ht="14.25" x14ac:dyDescent="0.2">
      <c r="A29" s="56" t="s">
        <v>196</v>
      </c>
      <c r="B29" s="57">
        <v>10404070</v>
      </c>
      <c r="C29" s="51"/>
      <c r="D29" s="51"/>
      <c r="E29" s="97">
        <f t="shared" si="0"/>
        <v>0</v>
      </c>
    </row>
    <row r="30" spans="1:17" ht="14.25" x14ac:dyDescent="0.2">
      <c r="A30" s="56" t="s">
        <v>188</v>
      </c>
      <c r="B30" s="57">
        <v>10404090</v>
      </c>
      <c r="C30" s="51"/>
      <c r="D30" s="51"/>
      <c r="E30" s="97">
        <f t="shared" si="0"/>
        <v>0</v>
      </c>
    </row>
    <row r="31" spans="1:17" ht="14.25" x14ac:dyDescent="0.2">
      <c r="A31" s="56" t="s">
        <v>71</v>
      </c>
      <c r="B31" s="57">
        <v>10404990</v>
      </c>
      <c r="C31" s="51"/>
      <c r="D31" s="51"/>
      <c r="E31" s="97">
        <f t="shared" si="0"/>
        <v>0</v>
      </c>
    </row>
    <row r="32" spans="1:17" ht="14.25" x14ac:dyDescent="0.2">
      <c r="A32" s="56" t="s">
        <v>228</v>
      </c>
      <c r="B32" s="57">
        <v>10501010</v>
      </c>
      <c r="C32" s="51"/>
      <c r="D32" s="51"/>
      <c r="E32" s="97">
        <f t="shared" si="0"/>
        <v>0</v>
      </c>
    </row>
    <row r="33" spans="1:5" ht="14.25" x14ac:dyDescent="0.2">
      <c r="A33" s="56" t="s">
        <v>49</v>
      </c>
      <c r="B33" s="57">
        <v>10501050</v>
      </c>
      <c r="C33" s="51"/>
      <c r="D33" s="51"/>
      <c r="E33" s="97">
        <f t="shared" si="0"/>
        <v>0</v>
      </c>
    </row>
    <row r="34" spans="1:5" ht="14.25" x14ac:dyDescent="0.2">
      <c r="A34" s="56" t="s">
        <v>218</v>
      </c>
      <c r="B34" s="57">
        <v>10501990</v>
      </c>
      <c r="C34" s="51"/>
      <c r="D34" s="51"/>
      <c r="E34" s="97">
        <f t="shared" si="0"/>
        <v>0</v>
      </c>
    </row>
    <row r="35" spans="1:5" ht="14.25" x14ac:dyDescent="0.2">
      <c r="A35" s="56" t="s">
        <v>136</v>
      </c>
      <c r="B35" s="57">
        <v>10601030</v>
      </c>
      <c r="C35" s="51"/>
      <c r="D35" s="51"/>
      <c r="E35" s="97">
        <f t="shared" si="0"/>
        <v>0</v>
      </c>
    </row>
    <row r="36" spans="1:5" ht="14.25" x14ac:dyDescent="0.2">
      <c r="A36" s="56" t="s">
        <v>14</v>
      </c>
      <c r="B36" s="57">
        <v>10701010</v>
      </c>
      <c r="C36" s="51"/>
      <c r="D36" s="51"/>
      <c r="E36" s="97">
        <f t="shared" si="0"/>
        <v>0</v>
      </c>
    </row>
    <row r="37" spans="1:5" ht="14.25" x14ac:dyDescent="0.2">
      <c r="A37" s="56" t="s">
        <v>72</v>
      </c>
      <c r="B37" s="57">
        <v>10702010</v>
      </c>
      <c r="C37" s="51"/>
      <c r="D37" s="51"/>
      <c r="E37" s="97">
        <f t="shared" si="0"/>
        <v>0</v>
      </c>
    </row>
    <row r="38" spans="1:5" ht="14.25" x14ac:dyDescent="0.2">
      <c r="A38" s="56" t="s">
        <v>204</v>
      </c>
      <c r="B38" s="57">
        <v>10703010</v>
      </c>
      <c r="C38" s="51"/>
      <c r="D38" s="51"/>
      <c r="E38" s="97">
        <f t="shared" si="0"/>
        <v>0</v>
      </c>
    </row>
    <row r="39" spans="1:5" ht="14.25" x14ac:dyDescent="0.2">
      <c r="A39" s="56" t="s">
        <v>231</v>
      </c>
      <c r="B39" s="57">
        <v>10703020</v>
      </c>
      <c r="C39" s="51"/>
      <c r="D39" s="51"/>
      <c r="E39" s="97">
        <f t="shared" si="0"/>
        <v>0</v>
      </c>
    </row>
    <row r="40" spans="1:5" ht="14.25" x14ac:dyDescent="0.2">
      <c r="A40" s="56" t="s">
        <v>214</v>
      </c>
      <c r="B40" s="57">
        <v>10703040</v>
      </c>
      <c r="C40" s="51"/>
      <c r="D40" s="51"/>
      <c r="E40" s="97">
        <f t="shared" si="0"/>
        <v>0</v>
      </c>
    </row>
    <row r="41" spans="1:5" ht="14.25" x14ac:dyDescent="0.2">
      <c r="A41" s="56" t="s">
        <v>73</v>
      </c>
      <c r="B41" s="57">
        <v>10703050</v>
      </c>
      <c r="C41" s="51"/>
      <c r="D41" s="51"/>
      <c r="E41" s="97">
        <f t="shared" si="0"/>
        <v>0</v>
      </c>
    </row>
    <row r="42" spans="1:5" ht="14.25" x14ac:dyDescent="0.2">
      <c r="A42" s="56" t="s">
        <v>82</v>
      </c>
      <c r="B42" s="57">
        <v>10703051</v>
      </c>
      <c r="C42" s="51"/>
      <c r="D42" s="51"/>
      <c r="E42" s="97">
        <f t="shared" si="0"/>
        <v>0</v>
      </c>
    </row>
    <row r="43" spans="1:5" ht="14.25" x14ac:dyDescent="0.2">
      <c r="A43" s="56" t="s">
        <v>74</v>
      </c>
      <c r="B43" s="57">
        <v>10704010</v>
      </c>
      <c r="C43" s="51"/>
      <c r="D43" s="51"/>
      <c r="E43" s="97">
        <f t="shared" si="0"/>
        <v>0</v>
      </c>
    </row>
    <row r="44" spans="1:5" ht="14.25" x14ac:dyDescent="0.2">
      <c r="A44" s="56" t="s">
        <v>15</v>
      </c>
      <c r="B44" s="57">
        <v>10704020</v>
      </c>
      <c r="C44" s="51"/>
      <c r="D44" s="51"/>
      <c r="E44" s="97">
        <f t="shared" si="0"/>
        <v>0</v>
      </c>
    </row>
    <row r="45" spans="1:5" ht="14.25" x14ac:dyDescent="0.2">
      <c r="A45" s="56" t="s">
        <v>75</v>
      </c>
      <c r="B45" s="57">
        <v>10704040</v>
      </c>
      <c r="C45" s="51"/>
      <c r="D45" s="51"/>
      <c r="E45" s="97">
        <f t="shared" si="0"/>
        <v>0</v>
      </c>
    </row>
    <row r="46" spans="1:5" ht="14.25" x14ac:dyDescent="0.2">
      <c r="A46" s="56" t="s">
        <v>193</v>
      </c>
      <c r="B46" s="57">
        <v>10704050</v>
      </c>
      <c r="C46" s="51"/>
      <c r="D46" s="51"/>
      <c r="E46" s="97">
        <f t="shared" si="0"/>
        <v>0</v>
      </c>
    </row>
    <row r="47" spans="1:5" ht="14.25" x14ac:dyDescent="0.2">
      <c r="A47" s="56" t="s">
        <v>209</v>
      </c>
      <c r="B47" s="57">
        <v>10704990</v>
      </c>
      <c r="C47" s="51"/>
      <c r="D47" s="51"/>
      <c r="E47" s="97">
        <f t="shared" si="0"/>
        <v>0</v>
      </c>
    </row>
    <row r="48" spans="1:5" ht="14.25" x14ac:dyDescent="0.2">
      <c r="A48" s="56" t="s">
        <v>17</v>
      </c>
      <c r="B48" s="57">
        <v>10705010</v>
      </c>
      <c r="C48" s="51"/>
      <c r="D48" s="51"/>
      <c r="E48" s="97">
        <f t="shared" si="0"/>
        <v>0</v>
      </c>
    </row>
    <row r="49" spans="1:5" ht="14.25" x14ac:dyDescent="0.2">
      <c r="A49" s="56" t="s">
        <v>83</v>
      </c>
      <c r="B49" s="57">
        <v>10705011</v>
      </c>
      <c r="C49" s="51"/>
      <c r="D49" s="51"/>
      <c r="E49" s="97">
        <f t="shared" si="0"/>
        <v>0</v>
      </c>
    </row>
    <row r="50" spans="1:5" ht="14.25" x14ac:dyDescent="0.2">
      <c r="A50" s="56" t="s">
        <v>16</v>
      </c>
      <c r="B50" s="57">
        <v>10705020</v>
      </c>
      <c r="C50" s="51"/>
      <c r="D50" s="51"/>
      <c r="E50" s="97">
        <f t="shared" si="0"/>
        <v>0</v>
      </c>
    </row>
    <row r="51" spans="1:5" ht="14.25" x14ac:dyDescent="0.2">
      <c r="A51" s="56" t="s">
        <v>84</v>
      </c>
      <c r="B51" s="57">
        <v>10705021</v>
      </c>
      <c r="C51" s="51"/>
      <c r="D51" s="51"/>
      <c r="E51" s="97">
        <f t="shared" si="0"/>
        <v>0</v>
      </c>
    </row>
    <row r="52" spans="1:5" ht="14.25" x14ac:dyDescent="0.2">
      <c r="A52" s="56" t="s">
        <v>76</v>
      </c>
      <c r="B52" s="57">
        <v>10705030</v>
      </c>
      <c r="C52" s="51"/>
      <c r="D52" s="51"/>
      <c r="E52" s="97">
        <f t="shared" si="0"/>
        <v>0</v>
      </c>
    </row>
    <row r="53" spans="1:5" ht="14.25" x14ac:dyDescent="0.2">
      <c r="A53" s="67" t="s">
        <v>85</v>
      </c>
      <c r="B53" s="57">
        <v>10705031</v>
      </c>
      <c r="C53" s="51"/>
      <c r="D53" s="51"/>
      <c r="E53" s="97">
        <f t="shared" si="0"/>
        <v>0</v>
      </c>
    </row>
    <row r="54" spans="1:5" ht="14.25" x14ac:dyDescent="0.2">
      <c r="A54" s="56" t="s">
        <v>77</v>
      </c>
      <c r="B54" s="57">
        <v>10705040</v>
      </c>
      <c r="C54" s="51"/>
      <c r="D54" s="51"/>
      <c r="E54" s="97">
        <f t="shared" si="0"/>
        <v>0</v>
      </c>
    </row>
    <row r="55" spans="1:5" ht="14.25" x14ac:dyDescent="0.2">
      <c r="A55" s="68" t="s">
        <v>86</v>
      </c>
      <c r="B55" s="57">
        <v>10705041</v>
      </c>
      <c r="C55" s="51"/>
      <c r="D55" s="51"/>
      <c r="E55" s="97">
        <f t="shared" si="0"/>
        <v>0</v>
      </c>
    </row>
    <row r="56" spans="1:5" ht="14.25" x14ac:dyDescent="0.2">
      <c r="A56" s="56" t="s">
        <v>18</v>
      </c>
      <c r="B56" s="57">
        <v>10705070</v>
      </c>
      <c r="C56" s="51"/>
      <c r="D56" s="51"/>
      <c r="E56" s="97">
        <f t="shared" si="0"/>
        <v>0</v>
      </c>
    </row>
    <row r="57" spans="1:5" ht="14.25" x14ac:dyDescent="0.2">
      <c r="A57" s="56" t="s">
        <v>87</v>
      </c>
      <c r="B57" s="57">
        <v>10705071</v>
      </c>
      <c r="C57" s="51"/>
      <c r="D57" s="51"/>
      <c r="E57" s="97">
        <f t="shared" si="0"/>
        <v>0</v>
      </c>
    </row>
    <row r="58" spans="1:5" ht="14.25" x14ac:dyDescent="0.2">
      <c r="A58" s="56" t="s">
        <v>52</v>
      </c>
      <c r="B58" s="57">
        <v>10705080</v>
      </c>
      <c r="C58" s="51"/>
      <c r="D58" s="51"/>
      <c r="E58" s="97">
        <f t="shared" si="0"/>
        <v>0</v>
      </c>
    </row>
    <row r="59" spans="1:5" ht="14.25" x14ac:dyDescent="0.2">
      <c r="A59" s="68" t="s">
        <v>88</v>
      </c>
      <c r="B59" s="57">
        <v>10705081</v>
      </c>
      <c r="C59" s="51"/>
      <c r="D59" s="51"/>
      <c r="E59" s="97">
        <f t="shared" si="0"/>
        <v>0</v>
      </c>
    </row>
    <row r="60" spans="1:5" ht="14.25" x14ac:dyDescent="0.2">
      <c r="A60" s="68" t="s">
        <v>137</v>
      </c>
      <c r="B60" s="57">
        <v>10705090</v>
      </c>
      <c r="C60" s="51"/>
      <c r="D60" s="51"/>
      <c r="E60" s="97">
        <f t="shared" si="0"/>
        <v>0</v>
      </c>
    </row>
    <row r="61" spans="1:5" ht="14.25" x14ac:dyDescent="0.2">
      <c r="A61" s="69" t="s">
        <v>138</v>
      </c>
      <c r="B61" s="57">
        <v>10705091</v>
      </c>
      <c r="C61" s="51"/>
      <c r="D61" s="51"/>
      <c r="E61" s="97">
        <f t="shared" si="0"/>
        <v>0</v>
      </c>
    </row>
    <row r="62" spans="1:5" ht="14.25" x14ac:dyDescent="0.2">
      <c r="A62" s="56" t="s">
        <v>208</v>
      </c>
      <c r="B62" s="57">
        <v>10705100</v>
      </c>
      <c r="C62" s="51"/>
      <c r="D62" s="51"/>
      <c r="E62" s="97">
        <f t="shared" si="0"/>
        <v>0</v>
      </c>
    </row>
    <row r="63" spans="1:5" ht="14.25" x14ac:dyDescent="0.2">
      <c r="A63" s="69" t="s">
        <v>221</v>
      </c>
      <c r="B63" s="57">
        <v>10705101</v>
      </c>
      <c r="C63" s="51"/>
      <c r="D63" s="51"/>
      <c r="E63" s="97">
        <f t="shared" si="0"/>
        <v>0</v>
      </c>
    </row>
    <row r="64" spans="1:5" ht="14.25" x14ac:dyDescent="0.2">
      <c r="A64" s="56" t="s">
        <v>197</v>
      </c>
      <c r="B64" s="57">
        <v>10705110</v>
      </c>
      <c r="C64" s="51"/>
      <c r="D64" s="51"/>
      <c r="E64" s="97">
        <f t="shared" si="0"/>
        <v>0</v>
      </c>
    </row>
    <row r="65" spans="1:5" ht="14.25" x14ac:dyDescent="0.2">
      <c r="A65" s="68" t="s">
        <v>210</v>
      </c>
      <c r="B65" s="57">
        <v>10705111</v>
      </c>
      <c r="C65" s="51"/>
      <c r="D65" s="51"/>
      <c r="E65" s="97">
        <f t="shared" si="0"/>
        <v>0</v>
      </c>
    </row>
    <row r="66" spans="1:5" ht="14.25" x14ac:dyDescent="0.2">
      <c r="A66" s="56" t="s">
        <v>22</v>
      </c>
      <c r="B66" s="57">
        <v>10705130</v>
      </c>
      <c r="C66" s="51"/>
      <c r="D66" s="51"/>
      <c r="E66" s="97">
        <f t="shared" si="0"/>
        <v>0</v>
      </c>
    </row>
    <row r="67" spans="1:5" ht="14.25" x14ac:dyDescent="0.2">
      <c r="A67" s="56" t="s">
        <v>61</v>
      </c>
      <c r="B67" s="57">
        <v>10705140</v>
      </c>
      <c r="C67" s="51"/>
      <c r="D67" s="51"/>
      <c r="E67" s="97">
        <f t="shared" si="0"/>
        <v>0</v>
      </c>
    </row>
    <row r="68" spans="1:5" ht="14.25" x14ac:dyDescent="0.2">
      <c r="A68" s="56" t="s">
        <v>78</v>
      </c>
      <c r="B68" s="57">
        <v>10705990</v>
      </c>
      <c r="C68" s="51"/>
      <c r="D68" s="51"/>
      <c r="E68" s="97">
        <f t="shared" si="0"/>
        <v>0</v>
      </c>
    </row>
    <row r="69" spans="1:5" ht="14.25" x14ac:dyDescent="0.2">
      <c r="A69" s="68" t="s">
        <v>89</v>
      </c>
      <c r="B69" s="57">
        <v>10705991</v>
      </c>
      <c r="C69" s="51"/>
      <c r="D69" s="51"/>
      <c r="E69" s="97">
        <f t="shared" si="0"/>
        <v>0</v>
      </c>
    </row>
    <row r="70" spans="1:5" ht="14.25" x14ac:dyDescent="0.2">
      <c r="A70" s="56" t="s">
        <v>19</v>
      </c>
      <c r="B70" s="57">
        <v>10706010</v>
      </c>
      <c r="C70" s="51"/>
      <c r="D70" s="51"/>
      <c r="E70" s="97">
        <f t="shared" si="0"/>
        <v>0</v>
      </c>
    </row>
    <row r="71" spans="1:5" ht="14.25" x14ac:dyDescent="0.2">
      <c r="A71" s="56" t="s">
        <v>90</v>
      </c>
      <c r="B71" s="57">
        <v>10706011</v>
      </c>
      <c r="C71" s="51"/>
      <c r="D71" s="51"/>
      <c r="E71" s="97">
        <f t="shared" si="0"/>
        <v>0</v>
      </c>
    </row>
    <row r="72" spans="1:5" ht="14.25" x14ac:dyDescent="0.2">
      <c r="A72" s="56" t="s">
        <v>62</v>
      </c>
      <c r="B72" s="57">
        <v>10707010</v>
      </c>
      <c r="C72" s="51"/>
      <c r="D72" s="51"/>
      <c r="E72" s="97">
        <f t="shared" si="0"/>
        <v>0</v>
      </c>
    </row>
    <row r="73" spans="1:5" ht="14.25" x14ac:dyDescent="0.2">
      <c r="A73" s="56" t="s">
        <v>91</v>
      </c>
      <c r="B73" s="57">
        <v>10707011</v>
      </c>
      <c r="C73" s="51"/>
      <c r="D73" s="51"/>
      <c r="E73" s="97">
        <f t="shared" si="0"/>
        <v>0</v>
      </c>
    </row>
    <row r="74" spans="1:5" ht="14.25" x14ac:dyDescent="0.2">
      <c r="A74" s="56" t="s">
        <v>79</v>
      </c>
      <c r="B74" s="57">
        <v>10707020</v>
      </c>
      <c r="C74" s="51"/>
      <c r="D74" s="51"/>
      <c r="E74" s="97">
        <f t="shared" si="0"/>
        <v>0</v>
      </c>
    </row>
    <row r="75" spans="1:5" ht="14.25" x14ac:dyDescent="0.2">
      <c r="A75" s="56" t="s">
        <v>223</v>
      </c>
      <c r="B75" s="57">
        <v>10710010</v>
      </c>
      <c r="C75" s="51"/>
      <c r="D75" s="51"/>
      <c r="E75" s="97">
        <f t="shared" si="0"/>
        <v>0</v>
      </c>
    </row>
    <row r="76" spans="1:5" ht="14.25" x14ac:dyDescent="0.2">
      <c r="A76" s="56" t="s">
        <v>80</v>
      </c>
      <c r="B76" s="57">
        <v>10710020</v>
      </c>
      <c r="C76" s="51"/>
      <c r="D76" s="51"/>
      <c r="E76" s="97">
        <f t="shared" ref="E76:E82" si="1">C76-D76</f>
        <v>0</v>
      </c>
    </row>
    <row r="77" spans="1:5" ht="14.25" x14ac:dyDescent="0.2">
      <c r="A77" s="56" t="s">
        <v>81</v>
      </c>
      <c r="B77" s="57">
        <v>10710030</v>
      </c>
      <c r="C77" s="51"/>
      <c r="D77" s="51"/>
      <c r="E77" s="97">
        <f t="shared" si="1"/>
        <v>0</v>
      </c>
    </row>
    <row r="78" spans="1:5" ht="14.25" x14ac:dyDescent="0.2">
      <c r="A78" s="68" t="s">
        <v>207</v>
      </c>
      <c r="B78" s="57">
        <v>10707021</v>
      </c>
      <c r="C78" s="51"/>
      <c r="D78" s="51"/>
      <c r="E78" s="97">
        <f t="shared" si="1"/>
        <v>0</v>
      </c>
    </row>
    <row r="79" spans="1:5" ht="14.25" x14ac:dyDescent="0.2">
      <c r="A79" s="56" t="s">
        <v>53</v>
      </c>
      <c r="B79" s="57">
        <v>10799990</v>
      </c>
      <c r="C79" s="51"/>
      <c r="D79" s="51"/>
      <c r="E79" s="97">
        <f t="shared" si="1"/>
        <v>0</v>
      </c>
    </row>
    <row r="80" spans="1:5" ht="14.25" x14ac:dyDescent="0.2">
      <c r="A80" s="68" t="s">
        <v>92</v>
      </c>
      <c r="B80" s="57">
        <v>10799991</v>
      </c>
      <c r="C80" s="51"/>
      <c r="D80" s="51"/>
      <c r="E80" s="97">
        <f t="shared" si="1"/>
        <v>0</v>
      </c>
    </row>
    <row r="81" spans="1:5" ht="14.25" x14ac:dyDescent="0.2">
      <c r="A81" s="56" t="s">
        <v>169</v>
      </c>
      <c r="B81" s="57">
        <v>10901020</v>
      </c>
      <c r="C81" s="51"/>
      <c r="D81" s="51"/>
      <c r="E81" s="97">
        <f t="shared" si="1"/>
        <v>0</v>
      </c>
    </row>
    <row r="82" spans="1:5" ht="14.25" x14ac:dyDescent="0.2">
      <c r="A82" s="56" t="s">
        <v>166</v>
      </c>
      <c r="B82" s="57">
        <v>10901990</v>
      </c>
      <c r="C82" s="51"/>
      <c r="D82" s="51"/>
      <c r="E82" s="97">
        <f t="shared" si="1"/>
        <v>0</v>
      </c>
    </row>
    <row r="83" spans="1:5" ht="14.25" x14ac:dyDescent="0.2">
      <c r="A83" s="56" t="s">
        <v>29</v>
      </c>
      <c r="B83" s="57">
        <v>20101020</v>
      </c>
      <c r="C83" s="51"/>
      <c r="D83" s="51"/>
      <c r="E83" s="97">
        <f>D83-C83</f>
        <v>0</v>
      </c>
    </row>
    <row r="84" spans="1:5" ht="14.25" x14ac:dyDescent="0.2">
      <c r="A84" s="56" t="s">
        <v>34</v>
      </c>
      <c r="B84" s="57">
        <v>20102040</v>
      </c>
      <c r="C84" s="51"/>
      <c r="D84" s="51"/>
      <c r="E84" s="97">
        <f t="shared" ref="E84:E134" si="2">D84-C84</f>
        <v>0</v>
      </c>
    </row>
    <row r="85" spans="1:5" ht="14.25" x14ac:dyDescent="0.2">
      <c r="A85" s="56" t="s">
        <v>30</v>
      </c>
      <c r="B85" s="57">
        <v>20201010</v>
      </c>
      <c r="C85" s="51"/>
      <c r="D85" s="51"/>
      <c r="E85" s="97">
        <f t="shared" si="2"/>
        <v>0</v>
      </c>
    </row>
    <row r="86" spans="1:5" ht="14.25" x14ac:dyDescent="0.2">
      <c r="A86" s="56" t="s">
        <v>31</v>
      </c>
      <c r="B86" s="57">
        <v>20201020</v>
      </c>
      <c r="C86" s="51"/>
      <c r="D86" s="51"/>
      <c r="E86" s="97">
        <f t="shared" si="2"/>
        <v>0</v>
      </c>
    </row>
    <row r="87" spans="1:5" ht="14.25" x14ac:dyDescent="0.2">
      <c r="A87" s="56" t="s">
        <v>54</v>
      </c>
      <c r="B87" s="57">
        <v>20201030</v>
      </c>
      <c r="C87" s="51"/>
      <c r="D87" s="51"/>
      <c r="E87" s="97">
        <f t="shared" si="2"/>
        <v>0</v>
      </c>
    </row>
    <row r="88" spans="1:5" ht="14.25" x14ac:dyDescent="0.2">
      <c r="A88" s="56" t="s">
        <v>55</v>
      </c>
      <c r="B88" s="57">
        <v>20201040</v>
      </c>
      <c r="C88" s="51"/>
      <c r="D88" s="51"/>
      <c r="E88" s="97">
        <f t="shared" si="2"/>
        <v>0</v>
      </c>
    </row>
    <row r="89" spans="1:5" ht="14.25" x14ac:dyDescent="0.2">
      <c r="A89" s="56" t="s">
        <v>93</v>
      </c>
      <c r="B89" s="57">
        <v>20201050</v>
      </c>
      <c r="C89" s="51"/>
      <c r="D89" s="51"/>
      <c r="E89" s="97">
        <f t="shared" si="2"/>
        <v>0</v>
      </c>
    </row>
    <row r="90" spans="1:5" ht="14.25" x14ac:dyDescent="0.2">
      <c r="A90" s="56" t="s">
        <v>94</v>
      </c>
      <c r="B90" s="57">
        <v>20201060</v>
      </c>
      <c r="C90" s="51"/>
      <c r="D90" s="51"/>
      <c r="E90" s="97">
        <f t="shared" si="2"/>
        <v>0</v>
      </c>
    </row>
    <row r="91" spans="1:5" ht="14.25" x14ac:dyDescent="0.2">
      <c r="A91" s="56" t="s">
        <v>56</v>
      </c>
      <c r="B91" s="57">
        <v>20201070</v>
      </c>
      <c r="C91" s="51"/>
      <c r="D91" s="51"/>
      <c r="E91" s="97">
        <f t="shared" si="2"/>
        <v>0</v>
      </c>
    </row>
    <row r="92" spans="1:5" ht="14.25" x14ac:dyDescent="0.2">
      <c r="A92" s="56" t="s">
        <v>32</v>
      </c>
      <c r="B92" s="57">
        <v>20301010</v>
      </c>
      <c r="C92" s="51"/>
      <c r="D92" s="51"/>
      <c r="E92" s="97">
        <f t="shared" si="2"/>
        <v>0</v>
      </c>
    </row>
    <row r="93" spans="1:5" ht="14.25" x14ac:dyDescent="0.2">
      <c r="A93" s="56" t="s">
        <v>95</v>
      </c>
      <c r="B93" s="57">
        <v>20401040</v>
      </c>
      <c r="C93" s="52"/>
      <c r="D93" s="51"/>
      <c r="E93" s="97">
        <f t="shared" si="2"/>
        <v>0</v>
      </c>
    </row>
    <row r="94" spans="1:5" ht="14.25" x14ac:dyDescent="0.2">
      <c r="A94" s="56" t="s">
        <v>96</v>
      </c>
      <c r="B94" s="57">
        <v>20501010</v>
      </c>
      <c r="C94" s="52"/>
      <c r="D94" s="51"/>
      <c r="E94" s="97">
        <f t="shared" si="2"/>
        <v>0</v>
      </c>
    </row>
    <row r="95" spans="1:5" ht="14.25" x14ac:dyDescent="0.2">
      <c r="A95" s="56" t="s">
        <v>33</v>
      </c>
      <c r="B95" s="57">
        <v>29999990</v>
      </c>
      <c r="C95" s="52"/>
      <c r="D95" s="51"/>
      <c r="E95" s="97">
        <f t="shared" si="2"/>
        <v>0</v>
      </c>
    </row>
    <row r="96" spans="1:5" ht="14.25" x14ac:dyDescent="0.2">
      <c r="A96" s="56" t="s">
        <v>35</v>
      </c>
      <c r="B96" s="57">
        <v>30101010</v>
      </c>
      <c r="C96" s="52"/>
      <c r="D96" s="51"/>
      <c r="E96" s="97">
        <f t="shared" si="2"/>
        <v>0</v>
      </c>
    </row>
    <row r="97" spans="1:5" ht="14.25" x14ac:dyDescent="0.2">
      <c r="A97" s="56" t="s">
        <v>97</v>
      </c>
      <c r="B97" s="57">
        <v>30101020</v>
      </c>
      <c r="C97" s="52"/>
      <c r="D97" s="51"/>
      <c r="E97" s="97">
        <f t="shared" si="2"/>
        <v>0</v>
      </c>
    </row>
    <row r="98" spans="1:5" ht="14.25" x14ac:dyDescent="0.2">
      <c r="A98" s="56" t="s">
        <v>128</v>
      </c>
      <c r="B98" s="57">
        <v>40101020</v>
      </c>
      <c r="C98" s="52"/>
      <c r="D98" s="51"/>
      <c r="E98" s="97">
        <f t="shared" si="2"/>
        <v>0</v>
      </c>
    </row>
    <row r="99" spans="1:5" ht="14.25" x14ac:dyDescent="0.2">
      <c r="A99" s="56" t="s">
        <v>37</v>
      </c>
      <c r="B99" s="57">
        <v>40101050</v>
      </c>
      <c r="C99" s="52"/>
      <c r="D99" s="51"/>
      <c r="E99" s="97">
        <f t="shared" si="2"/>
        <v>0</v>
      </c>
    </row>
    <row r="100" spans="1:5" ht="14.25" x14ac:dyDescent="0.2">
      <c r="A100" s="56" t="s">
        <v>98</v>
      </c>
      <c r="B100" s="57">
        <v>40102040</v>
      </c>
      <c r="C100" s="52"/>
      <c r="D100" s="51"/>
      <c r="E100" s="97">
        <f t="shared" si="2"/>
        <v>0</v>
      </c>
    </row>
    <row r="101" spans="1:5" ht="14.25" x14ac:dyDescent="0.2">
      <c r="A101" s="56" t="s">
        <v>99</v>
      </c>
      <c r="B101" s="57">
        <v>40102041</v>
      </c>
      <c r="C101" s="52"/>
      <c r="D101" s="51"/>
      <c r="E101" s="97">
        <f t="shared" si="2"/>
        <v>0</v>
      </c>
    </row>
    <row r="102" spans="1:5" ht="14.25" x14ac:dyDescent="0.2">
      <c r="A102" s="56" t="s">
        <v>130</v>
      </c>
      <c r="B102" s="57">
        <v>40102080</v>
      </c>
      <c r="C102" s="52"/>
      <c r="D102" s="51"/>
      <c r="E102" s="97">
        <f t="shared" si="2"/>
        <v>0</v>
      </c>
    </row>
    <row r="103" spans="1:5" ht="14.25" x14ac:dyDescent="0.2">
      <c r="A103" s="56" t="s">
        <v>36</v>
      </c>
      <c r="B103" s="57">
        <v>40103030</v>
      </c>
      <c r="C103" s="52"/>
      <c r="D103" s="51"/>
      <c r="E103" s="97">
        <f t="shared" si="2"/>
        <v>0</v>
      </c>
    </row>
    <row r="104" spans="1:5" ht="14.25" x14ac:dyDescent="0.2">
      <c r="A104" s="56" t="s">
        <v>132</v>
      </c>
      <c r="B104" s="57">
        <v>40103040</v>
      </c>
      <c r="C104" s="52"/>
      <c r="D104" s="51"/>
      <c r="E104" s="97">
        <f t="shared" si="2"/>
        <v>0</v>
      </c>
    </row>
    <row r="105" spans="1:5" ht="14.25" x14ac:dyDescent="0.2">
      <c r="A105" s="56" t="s">
        <v>38</v>
      </c>
      <c r="B105" s="57">
        <v>40103050</v>
      </c>
      <c r="C105" s="52"/>
      <c r="D105" s="51"/>
      <c r="E105" s="97">
        <f t="shared" si="2"/>
        <v>0</v>
      </c>
    </row>
    <row r="106" spans="1:5" ht="14.25" x14ac:dyDescent="0.2">
      <c r="A106" s="56" t="s">
        <v>139</v>
      </c>
      <c r="B106" s="57">
        <v>40103060</v>
      </c>
      <c r="C106" s="52"/>
      <c r="D106" s="51"/>
      <c r="E106" s="97">
        <f t="shared" si="2"/>
        <v>0</v>
      </c>
    </row>
    <row r="107" spans="1:5" ht="14.25" x14ac:dyDescent="0.2">
      <c r="A107" s="56" t="s">
        <v>126</v>
      </c>
      <c r="B107" s="57">
        <v>40103070</v>
      </c>
      <c r="C107" s="52"/>
      <c r="D107" s="51"/>
      <c r="E107" s="97">
        <f t="shared" si="2"/>
        <v>0</v>
      </c>
    </row>
    <row r="108" spans="1:5" ht="14.25" x14ac:dyDescent="0.2">
      <c r="A108" s="56" t="s">
        <v>100</v>
      </c>
      <c r="B108" s="57">
        <v>40104990</v>
      </c>
      <c r="C108" s="52"/>
      <c r="D108" s="51"/>
      <c r="E108" s="97">
        <f t="shared" si="2"/>
        <v>0</v>
      </c>
    </row>
    <row r="109" spans="1:5" ht="14.25" x14ac:dyDescent="0.2">
      <c r="A109" s="56" t="s">
        <v>101</v>
      </c>
      <c r="B109" s="57">
        <v>40105020</v>
      </c>
      <c r="C109" s="52"/>
      <c r="D109" s="51"/>
      <c r="E109" s="97">
        <f t="shared" si="2"/>
        <v>0</v>
      </c>
    </row>
    <row r="110" spans="1:5" ht="14.25" x14ac:dyDescent="0.2">
      <c r="A110" s="56" t="s">
        <v>102</v>
      </c>
      <c r="B110" s="57">
        <v>40106010</v>
      </c>
      <c r="C110" s="52"/>
      <c r="D110" s="51"/>
      <c r="E110" s="97">
        <f t="shared" si="2"/>
        <v>0</v>
      </c>
    </row>
    <row r="111" spans="1:5" ht="14.25" x14ac:dyDescent="0.2">
      <c r="A111" s="56" t="s">
        <v>192</v>
      </c>
      <c r="B111" s="57">
        <v>40106030</v>
      </c>
      <c r="C111" s="52"/>
      <c r="D111" s="51"/>
      <c r="E111" s="97">
        <f t="shared" si="2"/>
        <v>0</v>
      </c>
    </row>
    <row r="112" spans="1:5" ht="14.25" x14ac:dyDescent="0.2">
      <c r="A112" s="56" t="s">
        <v>39</v>
      </c>
      <c r="B112" s="57">
        <v>40201010</v>
      </c>
      <c r="C112" s="52"/>
      <c r="D112" s="51"/>
      <c r="E112" s="97">
        <f t="shared" si="2"/>
        <v>0</v>
      </c>
    </row>
    <row r="113" spans="1:5" ht="14.25" x14ac:dyDescent="0.2">
      <c r="A113" s="56" t="s">
        <v>40</v>
      </c>
      <c r="B113" s="57">
        <v>40201020</v>
      </c>
      <c r="C113" s="52"/>
      <c r="D113" s="51"/>
      <c r="E113" s="97">
        <f t="shared" si="2"/>
        <v>0</v>
      </c>
    </row>
    <row r="114" spans="1:5" ht="14.25" x14ac:dyDescent="0.2">
      <c r="A114" s="56" t="s">
        <v>205</v>
      </c>
      <c r="B114" s="57">
        <v>40201030</v>
      </c>
      <c r="C114" s="52"/>
      <c r="D114" s="51"/>
      <c r="E114" s="97">
        <f t="shared" si="2"/>
        <v>0</v>
      </c>
    </row>
    <row r="115" spans="1:5" ht="14.25" x14ac:dyDescent="0.2">
      <c r="A115" s="56" t="s">
        <v>41</v>
      </c>
      <c r="B115" s="57">
        <v>40201040</v>
      </c>
      <c r="C115" s="52"/>
      <c r="D115" s="51"/>
      <c r="E115" s="97">
        <f t="shared" si="2"/>
        <v>0</v>
      </c>
    </row>
    <row r="116" spans="1:5" ht="14.25" x14ac:dyDescent="0.2">
      <c r="A116" s="56" t="s">
        <v>43</v>
      </c>
      <c r="B116" s="57">
        <v>40201100</v>
      </c>
      <c r="C116" s="52"/>
      <c r="D116" s="51"/>
      <c r="E116" s="97">
        <f t="shared" si="2"/>
        <v>0</v>
      </c>
    </row>
    <row r="117" spans="1:5" ht="14.25" x14ac:dyDescent="0.2">
      <c r="A117" s="56" t="s">
        <v>103</v>
      </c>
      <c r="B117" s="57">
        <v>40201140</v>
      </c>
      <c r="C117" s="52"/>
      <c r="D117" s="51"/>
      <c r="E117" s="97">
        <f t="shared" si="2"/>
        <v>0</v>
      </c>
    </row>
    <row r="118" spans="1:5" ht="14.25" x14ac:dyDescent="0.2">
      <c r="A118" s="56" t="s">
        <v>104</v>
      </c>
      <c r="B118" s="57">
        <v>40201160</v>
      </c>
      <c r="C118" s="52"/>
      <c r="D118" s="51"/>
      <c r="E118" s="97">
        <f t="shared" si="2"/>
        <v>0</v>
      </c>
    </row>
    <row r="119" spans="1:5" ht="14.25" x14ac:dyDescent="0.2">
      <c r="A119" s="56" t="s">
        <v>127</v>
      </c>
      <c r="B119" s="57">
        <v>40201980</v>
      </c>
      <c r="C119" s="52"/>
      <c r="D119" s="51"/>
      <c r="E119" s="97">
        <f t="shared" si="2"/>
        <v>0</v>
      </c>
    </row>
    <row r="120" spans="1:5" ht="14.25" x14ac:dyDescent="0.2">
      <c r="A120" s="56" t="s">
        <v>44</v>
      </c>
      <c r="B120" s="57">
        <v>40201990</v>
      </c>
      <c r="C120" s="52"/>
      <c r="D120" s="51"/>
      <c r="E120" s="97">
        <f t="shared" si="2"/>
        <v>0</v>
      </c>
    </row>
    <row r="121" spans="1:5" ht="14.25" x14ac:dyDescent="0.2">
      <c r="A121" s="56" t="s">
        <v>45</v>
      </c>
      <c r="B121" s="57">
        <v>40202050</v>
      </c>
      <c r="C121" s="52"/>
      <c r="D121" s="51"/>
      <c r="E121" s="97">
        <f t="shared" si="2"/>
        <v>0</v>
      </c>
    </row>
    <row r="122" spans="1:5" ht="14.25" x14ac:dyDescent="0.2">
      <c r="A122" s="56" t="s">
        <v>105</v>
      </c>
      <c r="B122" s="57">
        <v>40202140</v>
      </c>
      <c r="C122" s="52"/>
      <c r="D122" s="51"/>
      <c r="E122" s="97">
        <f t="shared" si="2"/>
        <v>0</v>
      </c>
    </row>
    <row r="123" spans="1:5" ht="14.25" x14ac:dyDescent="0.2">
      <c r="A123" s="56" t="s">
        <v>106</v>
      </c>
      <c r="B123" s="57">
        <v>40202150</v>
      </c>
      <c r="C123" s="52"/>
      <c r="D123" s="51"/>
      <c r="E123" s="97">
        <f t="shared" si="2"/>
        <v>0</v>
      </c>
    </row>
    <row r="124" spans="1:5" ht="14.25" x14ac:dyDescent="0.2">
      <c r="A124" s="56" t="s">
        <v>107</v>
      </c>
      <c r="B124" s="57">
        <v>40202160</v>
      </c>
      <c r="C124" s="52"/>
      <c r="D124" s="51"/>
      <c r="E124" s="97">
        <f t="shared" si="2"/>
        <v>0</v>
      </c>
    </row>
    <row r="125" spans="1:5" ht="14.25" x14ac:dyDescent="0.2">
      <c r="A125" s="56" t="s">
        <v>42</v>
      </c>
      <c r="B125" s="57">
        <v>40202190</v>
      </c>
      <c r="C125" s="52"/>
      <c r="D125" s="51"/>
      <c r="E125" s="97">
        <f t="shared" si="2"/>
        <v>0</v>
      </c>
    </row>
    <row r="126" spans="1:5" ht="14.25" x14ac:dyDescent="0.2">
      <c r="A126" s="56" t="s">
        <v>131</v>
      </c>
      <c r="B126" s="57">
        <v>40202220</v>
      </c>
      <c r="C126" s="52"/>
      <c r="D126" s="51"/>
      <c r="E126" s="97">
        <f t="shared" si="2"/>
        <v>0</v>
      </c>
    </row>
    <row r="127" spans="1:5" ht="14.25" x14ac:dyDescent="0.2">
      <c r="A127" s="56" t="s">
        <v>222</v>
      </c>
      <c r="B127" s="57">
        <v>40202980</v>
      </c>
      <c r="C127" s="52"/>
      <c r="D127" s="51"/>
      <c r="E127" s="97">
        <f t="shared" si="2"/>
        <v>0</v>
      </c>
    </row>
    <row r="128" spans="1:5" ht="14.25" x14ac:dyDescent="0.2">
      <c r="A128" s="56" t="s">
        <v>129</v>
      </c>
      <c r="B128" s="57">
        <v>40202990</v>
      </c>
      <c r="C128" s="52"/>
      <c r="D128" s="51"/>
      <c r="E128" s="97">
        <f t="shared" si="2"/>
        <v>0</v>
      </c>
    </row>
    <row r="129" spans="1:5" ht="14.25" x14ac:dyDescent="0.2">
      <c r="A129" s="56" t="s">
        <v>212</v>
      </c>
      <c r="B129" s="57">
        <v>40301010</v>
      </c>
      <c r="C129" s="52"/>
      <c r="D129" s="51"/>
      <c r="E129" s="97">
        <f t="shared" si="2"/>
        <v>0</v>
      </c>
    </row>
    <row r="130" spans="1:5" ht="14.25" x14ac:dyDescent="0.2">
      <c r="A130" s="56" t="s">
        <v>217</v>
      </c>
      <c r="B130" s="57">
        <v>40302010</v>
      </c>
      <c r="C130" s="52"/>
      <c r="D130" s="51"/>
      <c r="E130" s="97">
        <f t="shared" si="2"/>
        <v>0</v>
      </c>
    </row>
    <row r="131" spans="1:5" ht="14.25" x14ac:dyDescent="0.2">
      <c r="A131" s="56" t="s">
        <v>108</v>
      </c>
      <c r="B131" s="57">
        <v>40401020</v>
      </c>
      <c r="C131" s="52"/>
      <c r="D131" s="51"/>
      <c r="E131" s="97">
        <f t="shared" si="2"/>
        <v>0</v>
      </c>
    </row>
    <row r="132" spans="1:5" ht="14.25" x14ac:dyDescent="0.2">
      <c r="A132" s="56" t="s">
        <v>187</v>
      </c>
      <c r="B132" s="57">
        <v>40402010</v>
      </c>
      <c r="C132" s="52"/>
      <c r="D132" s="51"/>
      <c r="E132" s="97">
        <f t="shared" si="2"/>
        <v>0</v>
      </c>
    </row>
    <row r="133" spans="1:5" ht="14.25" x14ac:dyDescent="0.2">
      <c r="A133" s="56" t="s">
        <v>227</v>
      </c>
      <c r="B133" s="57">
        <v>40402020</v>
      </c>
      <c r="C133" s="52"/>
      <c r="D133" s="51"/>
      <c r="E133" s="97">
        <f t="shared" si="2"/>
        <v>0</v>
      </c>
    </row>
    <row r="134" spans="1:5" ht="14.25" x14ac:dyDescent="0.2">
      <c r="A134" s="56" t="s">
        <v>213</v>
      </c>
      <c r="B134" s="57">
        <v>40601010</v>
      </c>
      <c r="C134" s="52"/>
      <c r="D134" s="51"/>
      <c r="E134" s="97">
        <f t="shared" si="2"/>
        <v>0</v>
      </c>
    </row>
    <row r="135" spans="1:5" ht="14.25" x14ac:dyDescent="0.2">
      <c r="A135" s="56" t="s">
        <v>109</v>
      </c>
      <c r="B135" s="57">
        <v>50101010</v>
      </c>
      <c r="C135" s="51"/>
      <c r="D135" s="51"/>
      <c r="E135" s="97">
        <f>C135-D135</f>
        <v>0</v>
      </c>
    </row>
    <row r="136" spans="1:5" ht="14.25" x14ac:dyDescent="0.2">
      <c r="A136" s="56" t="s">
        <v>110</v>
      </c>
      <c r="B136" s="57">
        <v>50101020</v>
      </c>
      <c r="C136" s="51"/>
      <c r="D136" s="51"/>
      <c r="E136" s="97">
        <f t="shared" ref="E136:E199" si="3">C136-D136</f>
        <v>0</v>
      </c>
    </row>
    <row r="137" spans="1:5" ht="14.25" x14ac:dyDescent="0.2">
      <c r="A137" s="56" t="s">
        <v>57</v>
      </c>
      <c r="B137" s="57">
        <v>50102010</v>
      </c>
      <c r="C137" s="51"/>
      <c r="D137" s="51"/>
      <c r="E137" s="97">
        <f t="shared" si="3"/>
        <v>0</v>
      </c>
    </row>
    <row r="138" spans="1:5" ht="14.25" x14ac:dyDescent="0.2">
      <c r="A138" s="56" t="s">
        <v>111</v>
      </c>
      <c r="B138" s="57">
        <v>50102020</v>
      </c>
      <c r="C138" s="51"/>
      <c r="D138" s="51"/>
      <c r="E138" s="97">
        <f t="shared" si="3"/>
        <v>0</v>
      </c>
    </row>
    <row r="139" spans="1:5" ht="14.25" x14ac:dyDescent="0.2">
      <c r="A139" s="56" t="s">
        <v>112</v>
      </c>
      <c r="B139" s="57">
        <v>50102030</v>
      </c>
      <c r="C139" s="51"/>
      <c r="D139" s="51"/>
      <c r="E139" s="97">
        <f t="shared" si="3"/>
        <v>0</v>
      </c>
    </row>
    <row r="140" spans="1:5" ht="14.25" x14ac:dyDescent="0.2">
      <c r="A140" s="56" t="s">
        <v>58</v>
      </c>
      <c r="B140" s="57">
        <v>50102040</v>
      </c>
      <c r="C140" s="51"/>
      <c r="D140" s="51"/>
      <c r="E140" s="97">
        <f t="shared" si="3"/>
        <v>0</v>
      </c>
    </row>
    <row r="141" spans="1:5" ht="14.25" x14ac:dyDescent="0.2">
      <c r="A141" s="56" t="s">
        <v>113</v>
      </c>
      <c r="B141" s="57">
        <v>50102050</v>
      </c>
      <c r="C141" s="51"/>
      <c r="D141" s="51"/>
      <c r="E141" s="97">
        <f t="shared" si="3"/>
        <v>0</v>
      </c>
    </row>
    <row r="142" spans="1:5" ht="14.25" x14ac:dyDescent="0.2">
      <c r="A142" s="56" t="s">
        <v>114</v>
      </c>
      <c r="B142" s="57">
        <v>50102060</v>
      </c>
      <c r="C142" s="51"/>
      <c r="D142" s="51"/>
      <c r="E142" s="97">
        <f t="shared" si="3"/>
        <v>0</v>
      </c>
    </row>
    <row r="143" spans="1:5" ht="14.25" x14ac:dyDescent="0.2">
      <c r="A143" s="56" t="s">
        <v>20</v>
      </c>
      <c r="B143" s="57">
        <v>50102100</v>
      </c>
      <c r="C143" s="51"/>
      <c r="D143" s="51"/>
      <c r="E143" s="97">
        <f t="shared" si="3"/>
        <v>0</v>
      </c>
    </row>
    <row r="144" spans="1:5" ht="14.25" x14ac:dyDescent="0.2">
      <c r="A144" s="56" t="s">
        <v>21</v>
      </c>
      <c r="B144" s="57">
        <v>50102110</v>
      </c>
      <c r="C144" s="51"/>
      <c r="D144" s="51"/>
      <c r="E144" s="97">
        <f t="shared" si="3"/>
        <v>0</v>
      </c>
    </row>
    <row r="145" spans="1:5" ht="14.25" x14ac:dyDescent="0.2">
      <c r="A145" s="56" t="s">
        <v>140</v>
      </c>
      <c r="B145" s="57">
        <v>50102130</v>
      </c>
      <c r="C145" s="51"/>
      <c r="D145" s="51"/>
      <c r="E145" s="97">
        <f t="shared" si="3"/>
        <v>0</v>
      </c>
    </row>
    <row r="146" spans="1:5" ht="14.25" x14ac:dyDescent="0.2">
      <c r="A146" s="56" t="s">
        <v>141</v>
      </c>
      <c r="B146" s="57">
        <v>50102140</v>
      </c>
      <c r="C146" s="51"/>
      <c r="D146" s="51"/>
      <c r="E146" s="97">
        <f t="shared" si="3"/>
        <v>0</v>
      </c>
    </row>
    <row r="147" spans="1:5" ht="14.25" x14ac:dyDescent="0.2">
      <c r="A147" s="56" t="s">
        <v>142</v>
      </c>
      <c r="B147" s="57">
        <v>50102150</v>
      </c>
      <c r="C147" s="51"/>
      <c r="D147" s="51"/>
      <c r="E147" s="97">
        <f t="shared" si="3"/>
        <v>0</v>
      </c>
    </row>
    <row r="148" spans="1:5" ht="14.25" x14ac:dyDescent="0.2">
      <c r="A148" s="56" t="s">
        <v>143</v>
      </c>
      <c r="B148" s="57">
        <v>50102990</v>
      </c>
      <c r="C148" s="51"/>
      <c r="D148" s="51"/>
      <c r="E148" s="97">
        <f t="shared" si="3"/>
        <v>0</v>
      </c>
    </row>
    <row r="149" spans="1:5" ht="14.25" x14ac:dyDescent="0.2">
      <c r="A149" s="56" t="s">
        <v>115</v>
      </c>
      <c r="B149" s="57">
        <v>50103010</v>
      </c>
      <c r="C149" s="51"/>
      <c r="D149" s="51"/>
      <c r="E149" s="97">
        <f t="shared" si="3"/>
        <v>0</v>
      </c>
    </row>
    <row r="150" spans="1:5" ht="14.25" x14ac:dyDescent="0.2">
      <c r="A150" s="56" t="s">
        <v>59</v>
      </c>
      <c r="B150" s="57">
        <v>50103020</v>
      </c>
      <c r="C150" s="51"/>
      <c r="D150" s="51"/>
      <c r="E150" s="97">
        <f t="shared" si="3"/>
        <v>0</v>
      </c>
    </row>
    <row r="151" spans="1:5" ht="14.25" x14ac:dyDescent="0.2">
      <c r="A151" s="56" t="s">
        <v>60</v>
      </c>
      <c r="B151" s="57">
        <v>50103030</v>
      </c>
      <c r="C151" s="51"/>
      <c r="D151" s="51"/>
      <c r="E151" s="97">
        <f t="shared" si="3"/>
        <v>0</v>
      </c>
    </row>
    <row r="152" spans="1:5" ht="14.25" x14ac:dyDescent="0.2">
      <c r="A152" s="56" t="s">
        <v>116</v>
      </c>
      <c r="B152" s="57">
        <v>50103040</v>
      </c>
      <c r="C152" s="51"/>
      <c r="D152" s="51"/>
      <c r="E152" s="97">
        <f t="shared" si="3"/>
        <v>0</v>
      </c>
    </row>
    <row r="153" spans="1:5" ht="14.25" x14ac:dyDescent="0.2">
      <c r="A153" s="56" t="s">
        <v>46</v>
      </c>
      <c r="B153" s="57">
        <v>50104030</v>
      </c>
      <c r="C153" s="51"/>
      <c r="D153" s="51"/>
      <c r="E153" s="97">
        <f t="shared" si="3"/>
        <v>0</v>
      </c>
    </row>
    <row r="154" spans="1:5" ht="14.25" x14ac:dyDescent="0.2">
      <c r="A154" s="56" t="s">
        <v>203</v>
      </c>
      <c r="B154" s="57">
        <v>50104990</v>
      </c>
      <c r="C154" s="51"/>
      <c r="D154" s="51"/>
      <c r="E154" s="97">
        <f t="shared" si="3"/>
        <v>0</v>
      </c>
    </row>
    <row r="155" spans="1:5" ht="14.25" x14ac:dyDescent="0.2">
      <c r="A155" s="56" t="s">
        <v>117</v>
      </c>
      <c r="B155" s="57">
        <v>50201010</v>
      </c>
      <c r="C155" s="51"/>
      <c r="D155" s="51"/>
      <c r="E155" s="97">
        <f t="shared" si="3"/>
        <v>0</v>
      </c>
    </row>
    <row r="156" spans="1:5" ht="14.25" x14ac:dyDescent="0.2">
      <c r="A156" s="56" t="s">
        <v>47</v>
      </c>
      <c r="B156" s="57">
        <v>50202010</v>
      </c>
      <c r="C156" s="51"/>
      <c r="D156" s="51"/>
      <c r="E156" s="97">
        <f t="shared" si="3"/>
        <v>0</v>
      </c>
    </row>
    <row r="157" spans="1:5" ht="14.25" x14ac:dyDescent="0.2">
      <c r="A157" s="56" t="s">
        <v>23</v>
      </c>
      <c r="B157" s="57">
        <v>50203010</v>
      </c>
      <c r="C157" s="51"/>
      <c r="D157" s="51"/>
      <c r="E157" s="97">
        <f t="shared" si="3"/>
        <v>0</v>
      </c>
    </row>
    <row r="158" spans="1:5" ht="14.25" x14ac:dyDescent="0.2">
      <c r="A158" s="56" t="s">
        <v>48</v>
      </c>
      <c r="B158" s="57">
        <v>50203020</v>
      </c>
      <c r="C158" s="51"/>
      <c r="D158" s="51"/>
      <c r="E158" s="97">
        <f t="shared" si="3"/>
        <v>0</v>
      </c>
    </row>
    <row r="159" spans="1:5" ht="14.25" x14ac:dyDescent="0.2">
      <c r="A159" s="56" t="s">
        <v>206</v>
      </c>
      <c r="B159" s="57">
        <v>50203030</v>
      </c>
      <c r="C159" s="51"/>
      <c r="D159" s="51"/>
      <c r="E159" s="97">
        <f t="shared" si="3"/>
        <v>0</v>
      </c>
    </row>
    <row r="160" spans="1:5" ht="14.25" x14ac:dyDescent="0.2">
      <c r="A160" s="56" t="s">
        <v>198</v>
      </c>
      <c r="B160" s="57">
        <v>50203040</v>
      </c>
      <c r="C160" s="51"/>
      <c r="D160" s="51"/>
      <c r="E160" s="97">
        <f t="shared" si="3"/>
        <v>0</v>
      </c>
    </row>
    <row r="161" spans="1:5" ht="14.25" x14ac:dyDescent="0.2">
      <c r="A161" s="56" t="s">
        <v>201</v>
      </c>
      <c r="B161" s="57">
        <v>50203050</v>
      </c>
      <c r="C161" s="51"/>
      <c r="D161" s="51"/>
      <c r="E161" s="97">
        <f t="shared" si="3"/>
        <v>0</v>
      </c>
    </row>
    <row r="162" spans="1:5" ht="14.25" x14ac:dyDescent="0.2">
      <c r="A162" s="56" t="s">
        <v>144</v>
      </c>
      <c r="B162" s="57">
        <v>50203060</v>
      </c>
      <c r="C162" s="51"/>
      <c r="D162" s="51"/>
      <c r="E162" s="97">
        <f t="shared" si="3"/>
        <v>0</v>
      </c>
    </row>
    <row r="163" spans="1:5" ht="14.25" x14ac:dyDescent="0.2">
      <c r="A163" s="56" t="s">
        <v>145</v>
      </c>
      <c r="B163" s="57">
        <v>50203070</v>
      </c>
      <c r="C163" s="51"/>
      <c r="D163" s="51"/>
      <c r="E163" s="97">
        <f t="shared" si="3"/>
        <v>0</v>
      </c>
    </row>
    <row r="164" spans="1:5" ht="14.25" x14ac:dyDescent="0.2">
      <c r="A164" s="56" t="s">
        <v>146</v>
      </c>
      <c r="B164" s="57">
        <v>50203080</v>
      </c>
      <c r="C164" s="51"/>
      <c r="D164" s="51"/>
      <c r="E164" s="97">
        <f t="shared" si="3"/>
        <v>0</v>
      </c>
    </row>
    <row r="165" spans="1:5" ht="14.25" x14ac:dyDescent="0.2">
      <c r="A165" s="56" t="s">
        <v>118</v>
      </c>
      <c r="B165" s="57">
        <v>50203090</v>
      </c>
      <c r="C165" s="51"/>
      <c r="D165" s="51"/>
      <c r="E165" s="97">
        <f t="shared" si="3"/>
        <v>0</v>
      </c>
    </row>
    <row r="166" spans="1:5" ht="14.25" x14ac:dyDescent="0.2">
      <c r="A166" s="56" t="s">
        <v>147</v>
      </c>
      <c r="B166" s="57">
        <v>50203100</v>
      </c>
      <c r="C166" s="51"/>
      <c r="D166" s="51"/>
      <c r="E166" s="97">
        <f t="shared" si="3"/>
        <v>0</v>
      </c>
    </row>
    <row r="167" spans="1:5" ht="14.25" x14ac:dyDescent="0.2">
      <c r="A167" s="56" t="s">
        <v>119</v>
      </c>
      <c r="B167" s="57">
        <v>50203990</v>
      </c>
      <c r="C167" s="51"/>
      <c r="D167" s="51"/>
      <c r="E167" s="97">
        <f t="shared" si="3"/>
        <v>0</v>
      </c>
    </row>
    <row r="168" spans="1:5" ht="14.25" x14ac:dyDescent="0.2">
      <c r="A168" s="56" t="s">
        <v>25</v>
      </c>
      <c r="B168" s="57">
        <v>50204010</v>
      </c>
      <c r="C168" s="51"/>
      <c r="D168" s="51"/>
      <c r="E168" s="97">
        <f t="shared" si="3"/>
        <v>0</v>
      </c>
    </row>
    <row r="169" spans="1:5" ht="14.25" x14ac:dyDescent="0.2">
      <c r="A169" s="14" t="s">
        <v>26</v>
      </c>
      <c r="B169" s="15">
        <v>50204020</v>
      </c>
      <c r="C169" s="51"/>
      <c r="D169" s="51"/>
      <c r="E169" s="97">
        <f t="shared" si="3"/>
        <v>0</v>
      </c>
    </row>
    <row r="170" spans="1:5" ht="14.25" x14ac:dyDescent="0.2">
      <c r="A170" s="14" t="s">
        <v>167</v>
      </c>
      <c r="B170" s="15">
        <v>50205010</v>
      </c>
      <c r="C170" s="51"/>
      <c r="D170" s="51"/>
      <c r="E170" s="97">
        <f t="shared" si="3"/>
        <v>0</v>
      </c>
    </row>
    <row r="171" spans="1:5" ht="14.25" x14ac:dyDescent="0.2">
      <c r="A171" s="14" t="s">
        <v>151</v>
      </c>
      <c r="B171" s="15">
        <v>50205020</v>
      </c>
      <c r="C171" s="51"/>
      <c r="D171" s="51"/>
      <c r="E171" s="97">
        <f t="shared" si="3"/>
        <v>0</v>
      </c>
    </row>
    <row r="172" spans="1:5" ht="14.25" x14ac:dyDescent="0.2">
      <c r="A172" s="14" t="s">
        <v>148</v>
      </c>
      <c r="B172" s="15">
        <v>50205030</v>
      </c>
      <c r="C172" s="51"/>
      <c r="D172" s="51"/>
      <c r="E172" s="97">
        <f t="shared" si="3"/>
        <v>0</v>
      </c>
    </row>
    <row r="173" spans="1:5" ht="14.25" x14ac:dyDescent="0.2">
      <c r="A173" s="14" t="s">
        <v>194</v>
      </c>
      <c r="B173" s="15">
        <v>50206010</v>
      </c>
      <c r="C173" s="51"/>
      <c r="D173" s="51"/>
      <c r="E173" s="97">
        <f t="shared" si="3"/>
        <v>0</v>
      </c>
    </row>
    <row r="174" spans="1:5" ht="14.25" x14ac:dyDescent="0.2">
      <c r="A174" s="14" t="s">
        <v>199</v>
      </c>
      <c r="B174" s="15">
        <v>50206020</v>
      </c>
      <c r="C174" s="51"/>
      <c r="D174" s="51"/>
      <c r="E174" s="97">
        <f t="shared" si="3"/>
        <v>0</v>
      </c>
    </row>
    <row r="175" spans="1:5" ht="14.25" x14ac:dyDescent="0.2">
      <c r="A175" s="14" t="s">
        <v>215</v>
      </c>
      <c r="B175" s="15">
        <v>50207010</v>
      </c>
      <c r="C175" s="51"/>
      <c r="D175" s="51"/>
      <c r="E175" s="97">
        <f t="shared" si="3"/>
        <v>0</v>
      </c>
    </row>
    <row r="176" spans="1:5" ht="14.25" x14ac:dyDescent="0.2">
      <c r="A176" s="14" t="s">
        <v>185</v>
      </c>
      <c r="B176" s="15">
        <v>50207020</v>
      </c>
      <c r="C176" s="51"/>
      <c r="D176" s="51"/>
      <c r="E176" s="97">
        <f t="shared" si="3"/>
        <v>0</v>
      </c>
    </row>
    <row r="177" spans="1:5" ht="14.25" x14ac:dyDescent="0.2">
      <c r="A177" s="14" t="s">
        <v>149</v>
      </c>
      <c r="B177" s="15">
        <v>50210030</v>
      </c>
      <c r="C177" s="51"/>
      <c r="D177" s="51"/>
      <c r="E177" s="97">
        <f t="shared" si="3"/>
        <v>0</v>
      </c>
    </row>
    <row r="178" spans="1:5" ht="14.25" x14ac:dyDescent="0.2">
      <c r="A178" s="14" t="s">
        <v>150</v>
      </c>
      <c r="B178" s="15">
        <v>50211010</v>
      </c>
      <c r="C178" s="51"/>
      <c r="D178" s="51"/>
      <c r="E178" s="97">
        <f t="shared" si="3"/>
        <v>0</v>
      </c>
    </row>
    <row r="179" spans="1:5" ht="14.25" x14ac:dyDescent="0.2">
      <c r="A179" s="14" t="s">
        <v>66</v>
      </c>
      <c r="B179" s="15">
        <v>50211020</v>
      </c>
      <c r="C179" s="51"/>
      <c r="D179" s="51"/>
      <c r="E179" s="97">
        <f t="shared" si="3"/>
        <v>0</v>
      </c>
    </row>
    <row r="180" spans="1:5" ht="14.25" x14ac:dyDescent="0.2">
      <c r="A180" s="14" t="s">
        <v>27</v>
      </c>
      <c r="B180" s="15">
        <v>50211030</v>
      </c>
      <c r="C180" s="51"/>
      <c r="D180" s="51"/>
      <c r="E180" s="97">
        <f t="shared" si="3"/>
        <v>0</v>
      </c>
    </row>
    <row r="181" spans="1:5" ht="14.25" x14ac:dyDescent="0.2">
      <c r="A181" s="14" t="s">
        <v>63</v>
      </c>
      <c r="B181" s="15">
        <v>50211990</v>
      </c>
      <c r="C181" s="51"/>
      <c r="D181" s="51"/>
      <c r="E181" s="97">
        <f t="shared" si="3"/>
        <v>0</v>
      </c>
    </row>
    <row r="182" spans="1:5" ht="14.25" x14ac:dyDescent="0.2">
      <c r="A182" s="14" t="s">
        <v>216</v>
      </c>
      <c r="B182" s="15">
        <v>50212030</v>
      </c>
      <c r="C182" s="51"/>
      <c r="D182" s="51"/>
      <c r="E182" s="97">
        <f t="shared" si="3"/>
        <v>0</v>
      </c>
    </row>
    <row r="183" spans="1:5" ht="14.25" x14ac:dyDescent="0.2">
      <c r="A183" s="14" t="s">
        <v>202</v>
      </c>
      <c r="B183" s="15">
        <v>50212990</v>
      </c>
      <c r="C183" s="51"/>
      <c r="D183" s="51"/>
      <c r="E183" s="97">
        <f t="shared" si="3"/>
        <v>0</v>
      </c>
    </row>
    <row r="184" spans="1:5" ht="14.25" x14ac:dyDescent="0.2">
      <c r="A184" s="14" t="s">
        <v>224</v>
      </c>
      <c r="B184" s="15">
        <v>50213020</v>
      </c>
      <c r="C184" s="51"/>
      <c r="D184" s="51"/>
      <c r="E184" s="97">
        <f t="shared" si="3"/>
        <v>0</v>
      </c>
    </row>
    <row r="185" spans="1:5" ht="14.25" x14ac:dyDescent="0.2">
      <c r="A185" s="14" t="s">
        <v>186</v>
      </c>
      <c r="B185" s="15">
        <v>50213030</v>
      </c>
      <c r="C185" s="51"/>
      <c r="D185" s="16"/>
      <c r="E185" s="97">
        <f t="shared" si="3"/>
        <v>0</v>
      </c>
    </row>
    <row r="186" spans="1:5" ht="14.25" x14ac:dyDescent="0.2">
      <c r="A186" s="14" t="s">
        <v>120</v>
      </c>
      <c r="B186" s="15">
        <v>50213040</v>
      </c>
      <c r="C186" s="51"/>
      <c r="D186" s="16"/>
      <c r="E186" s="97">
        <f t="shared" si="3"/>
        <v>0</v>
      </c>
    </row>
    <row r="187" spans="1:5" ht="14.25" x14ac:dyDescent="0.2">
      <c r="A187" s="14" t="s">
        <v>121</v>
      </c>
      <c r="B187" s="15">
        <v>50213050</v>
      </c>
      <c r="C187" s="51"/>
      <c r="D187" s="16"/>
      <c r="E187" s="97">
        <f t="shared" si="3"/>
        <v>0</v>
      </c>
    </row>
    <row r="188" spans="1:5" ht="14.25" x14ac:dyDescent="0.2">
      <c r="A188" s="14" t="s">
        <v>122</v>
      </c>
      <c r="B188" s="15">
        <v>50213060</v>
      </c>
      <c r="C188" s="51"/>
      <c r="D188" s="16"/>
      <c r="E188" s="97">
        <f t="shared" si="3"/>
        <v>0</v>
      </c>
    </row>
    <row r="189" spans="1:5" ht="14.25" x14ac:dyDescent="0.2">
      <c r="A189" s="14" t="s">
        <v>152</v>
      </c>
      <c r="B189" s="15">
        <v>50213070</v>
      </c>
      <c r="C189" s="51"/>
      <c r="D189" s="16"/>
      <c r="E189" s="97">
        <f t="shared" si="3"/>
        <v>0</v>
      </c>
    </row>
    <row r="190" spans="1:5" ht="14.25" x14ac:dyDescent="0.2">
      <c r="A190" s="14" t="s">
        <v>170</v>
      </c>
      <c r="B190" s="15">
        <v>50213990</v>
      </c>
      <c r="C190" s="51"/>
      <c r="D190" s="16"/>
      <c r="E190" s="97">
        <f t="shared" si="3"/>
        <v>0</v>
      </c>
    </row>
    <row r="191" spans="1:5" ht="14.25" x14ac:dyDescent="0.2">
      <c r="A191" s="14" t="s">
        <v>153</v>
      </c>
      <c r="B191" s="15">
        <v>50214030</v>
      </c>
      <c r="C191" s="51"/>
      <c r="D191" s="16"/>
      <c r="E191" s="97">
        <f t="shared" si="3"/>
        <v>0</v>
      </c>
    </row>
    <row r="192" spans="1:5" ht="14.25" x14ac:dyDescent="0.2">
      <c r="A192" s="14" t="s">
        <v>220</v>
      </c>
      <c r="B192" s="15">
        <v>50214060</v>
      </c>
      <c r="C192" s="51"/>
      <c r="D192" s="16"/>
      <c r="E192" s="97">
        <f t="shared" si="3"/>
        <v>0</v>
      </c>
    </row>
    <row r="193" spans="1:5" ht="14.25" x14ac:dyDescent="0.2">
      <c r="A193" s="14" t="s">
        <v>211</v>
      </c>
      <c r="B193" s="15">
        <v>50215020</v>
      </c>
      <c r="C193" s="51"/>
      <c r="D193" s="16"/>
      <c r="E193" s="97">
        <f t="shared" si="3"/>
        <v>0</v>
      </c>
    </row>
    <row r="194" spans="1:5" ht="14.25" x14ac:dyDescent="0.2">
      <c r="A194" s="14" t="s">
        <v>154</v>
      </c>
      <c r="B194" s="15">
        <v>50216010</v>
      </c>
      <c r="C194" s="51"/>
      <c r="D194" s="16"/>
      <c r="E194" s="97">
        <f t="shared" si="3"/>
        <v>0</v>
      </c>
    </row>
    <row r="195" spans="1:5" ht="14.25" x14ac:dyDescent="0.2">
      <c r="A195" s="14" t="s">
        <v>155</v>
      </c>
      <c r="B195" s="15">
        <v>50216020</v>
      </c>
      <c r="C195" s="51"/>
      <c r="D195" s="16"/>
      <c r="E195" s="97">
        <f t="shared" si="3"/>
        <v>0</v>
      </c>
    </row>
    <row r="196" spans="1:5" ht="14.25" x14ac:dyDescent="0.2">
      <c r="A196" s="14" t="s">
        <v>156</v>
      </c>
      <c r="B196" s="15">
        <v>50216030</v>
      </c>
      <c r="C196" s="51"/>
      <c r="D196" s="16"/>
      <c r="E196" s="97">
        <f t="shared" si="3"/>
        <v>0</v>
      </c>
    </row>
    <row r="197" spans="1:5" ht="14.25" x14ac:dyDescent="0.2">
      <c r="A197" s="14" t="s">
        <v>157</v>
      </c>
      <c r="B197" s="15">
        <v>50299010</v>
      </c>
      <c r="C197" s="51"/>
      <c r="D197" s="16"/>
      <c r="E197" s="97">
        <f t="shared" si="3"/>
        <v>0</v>
      </c>
    </row>
    <row r="198" spans="1:5" ht="14.25" x14ac:dyDescent="0.2">
      <c r="A198" s="14" t="s">
        <v>158</v>
      </c>
      <c r="B198" s="15">
        <v>50299020</v>
      </c>
      <c r="C198" s="51"/>
      <c r="D198" s="16"/>
      <c r="E198" s="97">
        <f t="shared" si="3"/>
        <v>0</v>
      </c>
    </row>
    <row r="199" spans="1:5" ht="14.25" x14ac:dyDescent="0.2">
      <c r="A199" s="14" t="s">
        <v>24</v>
      </c>
      <c r="B199" s="15">
        <v>50299030</v>
      </c>
      <c r="C199" s="51"/>
      <c r="D199" s="16"/>
      <c r="E199" s="97">
        <f t="shared" si="3"/>
        <v>0</v>
      </c>
    </row>
    <row r="200" spans="1:5" ht="14.25" x14ac:dyDescent="0.2">
      <c r="A200" s="14" t="s">
        <v>159</v>
      </c>
      <c r="B200" s="15">
        <v>50299050</v>
      </c>
      <c r="C200" s="51"/>
      <c r="D200" s="16"/>
      <c r="E200" s="97">
        <f t="shared" ref="E200:E209" si="4">C200-D200</f>
        <v>0</v>
      </c>
    </row>
    <row r="201" spans="1:5" ht="14.25" x14ac:dyDescent="0.2">
      <c r="A201" s="14" t="s">
        <v>160</v>
      </c>
      <c r="B201" s="15">
        <v>50299060</v>
      </c>
      <c r="C201" s="51"/>
      <c r="D201" s="16"/>
      <c r="E201" s="97">
        <f t="shared" si="4"/>
        <v>0</v>
      </c>
    </row>
    <row r="202" spans="1:5" ht="14.25" x14ac:dyDescent="0.2">
      <c r="A202" s="14" t="s">
        <v>28</v>
      </c>
      <c r="B202" s="15">
        <v>50299080</v>
      </c>
      <c r="C202" s="51"/>
      <c r="D202" s="16"/>
      <c r="E202" s="97">
        <f t="shared" si="4"/>
        <v>0</v>
      </c>
    </row>
    <row r="203" spans="1:5" ht="14.25" x14ac:dyDescent="0.2">
      <c r="A203" s="14" t="s">
        <v>168</v>
      </c>
      <c r="B203" s="15">
        <v>50299990</v>
      </c>
      <c r="C203" s="51"/>
      <c r="D203" s="16"/>
      <c r="E203" s="97">
        <f t="shared" si="4"/>
        <v>0</v>
      </c>
    </row>
    <row r="204" spans="1:5" ht="14.25" x14ac:dyDescent="0.2">
      <c r="A204" s="14" t="s">
        <v>161</v>
      </c>
      <c r="B204" s="15">
        <v>50301990</v>
      </c>
      <c r="C204" s="51"/>
      <c r="D204" s="16"/>
      <c r="E204" s="97">
        <f t="shared" si="4"/>
        <v>0</v>
      </c>
    </row>
    <row r="205" spans="1:5" ht="14.25" x14ac:dyDescent="0.2">
      <c r="A205" s="14" t="s">
        <v>191</v>
      </c>
      <c r="B205" s="15">
        <v>50501030</v>
      </c>
      <c r="C205" s="51"/>
      <c r="D205" s="16"/>
      <c r="E205" s="97">
        <f t="shared" si="4"/>
        <v>0</v>
      </c>
    </row>
    <row r="206" spans="1:5" ht="14.25" x14ac:dyDescent="0.2">
      <c r="A206" s="14" t="s">
        <v>162</v>
      </c>
      <c r="B206" s="15">
        <v>50501050</v>
      </c>
      <c r="C206" s="51"/>
      <c r="D206" s="16"/>
      <c r="E206" s="97">
        <f t="shared" si="4"/>
        <v>0</v>
      </c>
    </row>
    <row r="207" spans="1:5" ht="14.25" x14ac:dyDescent="0.2">
      <c r="A207" s="14" t="s">
        <v>163</v>
      </c>
      <c r="B207" s="15">
        <v>50501060</v>
      </c>
      <c r="C207" s="51"/>
      <c r="D207" s="16"/>
      <c r="E207" s="97">
        <f t="shared" si="4"/>
        <v>0</v>
      </c>
    </row>
    <row r="208" spans="1:5" ht="14.25" x14ac:dyDescent="0.2">
      <c r="A208" s="14" t="s">
        <v>164</v>
      </c>
      <c r="B208" s="15">
        <v>50501070</v>
      </c>
      <c r="C208" s="51"/>
      <c r="D208" s="16"/>
      <c r="E208" s="97">
        <f t="shared" si="4"/>
        <v>0</v>
      </c>
    </row>
    <row r="209" spans="1:5" ht="14.25" x14ac:dyDescent="0.2">
      <c r="A209" s="14" t="s">
        <v>165</v>
      </c>
      <c r="B209" s="15">
        <v>50501990</v>
      </c>
      <c r="C209" s="16"/>
      <c r="D209" s="16"/>
      <c r="E209" s="97">
        <f t="shared" si="4"/>
        <v>0</v>
      </c>
    </row>
    <row r="210" spans="1:5" ht="15" x14ac:dyDescent="0.2">
      <c r="A210" s="8"/>
      <c r="B210" s="9" t="s">
        <v>6</v>
      </c>
      <c r="C210" s="10">
        <f>SUM(C11:C209)</f>
        <v>0</v>
      </c>
      <c r="D210" s="10">
        <f>SUM(D11:D209)</f>
        <v>0</v>
      </c>
      <c r="E210" s="98">
        <f>C210-D210</f>
        <v>0</v>
      </c>
    </row>
    <row r="211" spans="1:5" ht="14.25" x14ac:dyDescent="0.2">
      <c r="A211" s="11"/>
      <c r="B211" s="12"/>
      <c r="C211" s="43"/>
      <c r="D211" s="13"/>
      <c r="E211" s="99"/>
    </row>
    <row r="212" spans="1:5" ht="14.25" x14ac:dyDescent="0.2">
      <c r="A212" s="2" t="s">
        <v>64</v>
      </c>
      <c r="B212" s="219" t="s">
        <v>0</v>
      </c>
      <c r="C212" s="219"/>
      <c r="D212" s="219"/>
      <c r="E212" s="93"/>
    </row>
    <row r="213" spans="1:5" ht="14.25" x14ac:dyDescent="0.2">
      <c r="A213" s="2"/>
      <c r="B213" s="1"/>
      <c r="C213" s="44"/>
      <c r="D213" s="2"/>
      <c r="E213" s="2"/>
    </row>
    <row r="214" spans="1:5" ht="14.25" x14ac:dyDescent="0.2">
      <c r="A214" s="2"/>
      <c r="B214" s="1"/>
      <c r="C214" s="45"/>
      <c r="D214" s="2"/>
      <c r="E214" s="2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91"/>
    </row>
    <row r="216" spans="1:5" ht="15.75" x14ac:dyDescent="0.2">
      <c r="A216" s="112" t="s">
        <v>246</v>
      </c>
      <c r="B216" s="237" t="s">
        <v>195</v>
      </c>
      <c r="C216" s="237"/>
      <c r="D216" s="237"/>
      <c r="E216" s="92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18:O18"/>
    <mergeCell ref="P18:Q18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6"/>
  <sheetViews>
    <sheetView zoomScale="80" zoomScaleNormal="80" workbookViewId="0">
      <selection activeCell="E11" sqref="E11"/>
    </sheetView>
  </sheetViews>
  <sheetFormatPr defaultRowHeight="15" x14ac:dyDescent="0.2"/>
  <cols>
    <col min="1" max="1" width="54" style="115" customWidth="1"/>
    <col min="2" max="2" width="11.5703125" style="115" customWidth="1"/>
    <col min="3" max="3" width="16.42578125" style="115" customWidth="1"/>
    <col min="4" max="4" width="17.140625" style="115" customWidth="1"/>
    <col min="5" max="5" width="19.28515625" style="115" customWidth="1"/>
    <col min="6" max="6" width="12.7109375" style="115" customWidth="1"/>
    <col min="7" max="7" width="10" style="115" customWidth="1"/>
    <col min="8" max="8" width="11.42578125" style="115" customWidth="1"/>
    <col min="9" max="9" width="11.28515625" style="115" customWidth="1"/>
    <col min="10" max="10" width="12" style="115" customWidth="1"/>
    <col min="11" max="11" width="11.140625" style="115" customWidth="1"/>
    <col min="12" max="12" width="10.28515625" style="115" customWidth="1"/>
    <col min="13" max="14" width="10.42578125" style="115" customWidth="1"/>
    <col min="15" max="15" width="9.140625" style="115"/>
    <col min="16" max="16" width="11.42578125" style="115" customWidth="1"/>
    <col min="17" max="16384" width="9.140625" style="115"/>
  </cols>
  <sheetData>
    <row r="1" spans="1:18" ht="13.5" customHeight="1" x14ac:dyDescent="0.2">
      <c r="A1" s="245" t="s">
        <v>2</v>
      </c>
      <c r="B1" s="245"/>
      <c r="C1" s="245"/>
      <c r="D1" s="245"/>
      <c r="E1" s="114"/>
    </row>
    <row r="2" spans="1:18" ht="15.75" x14ac:dyDescent="0.2">
      <c r="A2" s="246" t="s">
        <v>3</v>
      </c>
      <c r="B2" s="246"/>
      <c r="C2" s="246"/>
      <c r="D2" s="246"/>
      <c r="E2" s="116"/>
    </row>
    <row r="3" spans="1:18" x14ac:dyDescent="0.2">
      <c r="A3" s="245" t="s">
        <v>1</v>
      </c>
      <c r="B3" s="245"/>
      <c r="C3" s="245"/>
      <c r="D3" s="245"/>
      <c r="E3" s="114"/>
    </row>
    <row r="4" spans="1:18" x14ac:dyDescent="0.2">
      <c r="A4" s="117"/>
      <c r="B4" s="114"/>
      <c r="C4" s="118"/>
      <c r="D4" s="117"/>
      <c r="E4" s="117"/>
    </row>
    <row r="5" spans="1:18" ht="15.75" x14ac:dyDescent="0.2">
      <c r="A5" s="246" t="s">
        <v>7</v>
      </c>
      <c r="B5" s="246"/>
      <c r="C5" s="246"/>
      <c r="D5" s="246"/>
      <c r="E5" s="116"/>
    </row>
    <row r="6" spans="1:18" x14ac:dyDescent="0.2">
      <c r="A6" s="245" t="s">
        <v>251</v>
      </c>
      <c r="B6" s="245"/>
      <c r="C6" s="245"/>
      <c r="D6" s="245"/>
      <c r="E6" s="114"/>
    </row>
    <row r="7" spans="1:18" ht="16.5" thickBot="1" x14ac:dyDescent="0.25">
      <c r="A7" s="247" t="s">
        <v>261</v>
      </c>
      <c r="B7" s="247"/>
      <c r="C7" s="247"/>
      <c r="D7" s="247"/>
      <c r="E7" s="119"/>
    </row>
    <row r="8" spans="1:18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1" t="s">
        <v>235</v>
      </c>
      <c r="G8" s="121" t="s">
        <v>236</v>
      </c>
      <c r="H8" s="121" t="s">
        <v>237</v>
      </c>
      <c r="I8" s="122" t="s">
        <v>238</v>
      </c>
      <c r="J8" s="122" t="s">
        <v>239</v>
      </c>
      <c r="K8" s="121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8" ht="15.75" x14ac:dyDescent="0.2">
      <c r="A9" s="239"/>
      <c r="B9" s="239"/>
      <c r="C9" s="239"/>
      <c r="D9" s="239"/>
      <c r="E9" s="120"/>
    </row>
    <row r="10" spans="1:18" ht="16.5" thickBot="1" x14ac:dyDescent="0.25">
      <c r="A10" s="240"/>
      <c r="B10" s="240"/>
      <c r="C10" s="240"/>
      <c r="D10" s="240"/>
      <c r="E10" s="120"/>
    </row>
    <row r="11" spans="1:18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F11" s="152"/>
      <c r="G11" s="152"/>
      <c r="H11" s="133"/>
      <c r="I11" s="129"/>
      <c r="J11" s="129"/>
      <c r="K11" s="129"/>
      <c r="L11" s="129"/>
      <c r="M11" s="129"/>
      <c r="N11" s="243"/>
      <c r="O11" s="257"/>
      <c r="P11" s="153"/>
      <c r="Q11" s="255"/>
      <c r="R11" s="256"/>
    </row>
    <row r="12" spans="1:18" x14ac:dyDescent="0.2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27"/>
      <c r="G12" s="154"/>
      <c r="H12" s="154"/>
      <c r="I12" s="129"/>
      <c r="J12" s="129"/>
      <c r="K12" s="129"/>
      <c r="L12" s="129"/>
      <c r="M12" s="129"/>
      <c r="N12" s="244"/>
      <c r="O12" s="244"/>
      <c r="P12" s="155"/>
      <c r="Q12" s="156"/>
    </row>
    <row r="13" spans="1:18" x14ac:dyDescent="0.2">
      <c r="A13" s="130" t="s">
        <v>226</v>
      </c>
      <c r="B13" s="131">
        <v>10102020</v>
      </c>
      <c r="C13" s="132"/>
      <c r="D13" s="132"/>
      <c r="E13" s="126">
        <f t="shared" si="0"/>
        <v>0</v>
      </c>
      <c r="F13" s="152"/>
      <c r="G13" s="154"/>
      <c r="H13" s="154"/>
    </row>
    <row r="14" spans="1:18" x14ac:dyDescent="0.2">
      <c r="A14" s="130" t="s">
        <v>68</v>
      </c>
      <c r="B14" s="131">
        <v>10205990</v>
      </c>
      <c r="C14" s="132"/>
      <c r="D14" s="132"/>
      <c r="E14" s="126">
        <f t="shared" si="0"/>
        <v>0</v>
      </c>
      <c r="F14" s="133"/>
      <c r="G14" s="154"/>
      <c r="H14" s="154"/>
    </row>
    <row r="15" spans="1:18" x14ac:dyDescent="0.2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52"/>
      <c r="G15" s="154"/>
      <c r="H15" s="154"/>
    </row>
    <row r="16" spans="1:18" x14ac:dyDescent="0.2">
      <c r="A16" s="130" t="s">
        <v>133</v>
      </c>
      <c r="B16" s="131">
        <v>10303010</v>
      </c>
      <c r="C16" s="132"/>
      <c r="D16" s="132"/>
      <c r="E16" s="126">
        <f t="shared" si="0"/>
        <v>0</v>
      </c>
      <c r="F16" s="157"/>
      <c r="G16" s="154"/>
      <c r="H16" s="154"/>
    </row>
    <row r="17" spans="1:17" x14ac:dyDescent="0.2">
      <c r="A17" s="130" t="s">
        <v>50</v>
      </c>
      <c r="B17" s="131">
        <v>10303020</v>
      </c>
      <c r="C17" s="132"/>
      <c r="D17" s="132"/>
      <c r="E17" s="126">
        <f t="shared" si="0"/>
        <v>0</v>
      </c>
      <c r="F17" s="152"/>
      <c r="G17" s="154"/>
      <c r="H17" s="154"/>
    </row>
    <row r="18" spans="1:17" x14ac:dyDescent="0.2">
      <c r="A18" s="130" t="s">
        <v>51</v>
      </c>
      <c r="B18" s="131">
        <v>10303030</v>
      </c>
      <c r="C18" s="132"/>
      <c r="D18" s="132"/>
      <c r="E18" s="126">
        <f t="shared" si="0"/>
        <v>0</v>
      </c>
      <c r="F18" s="152"/>
      <c r="G18" s="154"/>
      <c r="H18" s="154"/>
    </row>
    <row r="19" spans="1:17" x14ac:dyDescent="0.2">
      <c r="A19" s="130" t="s">
        <v>12</v>
      </c>
      <c r="B19" s="131">
        <v>10304050</v>
      </c>
      <c r="C19" s="132"/>
      <c r="D19" s="132"/>
      <c r="E19" s="126">
        <f t="shared" si="0"/>
        <v>0</v>
      </c>
      <c r="F19" s="152"/>
      <c r="G19" s="154"/>
      <c r="H19" s="154"/>
    </row>
    <row r="20" spans="1:17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  <c r="F20" s="129"/>
    </row>
    <row r="21" spans="1:17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  <c r="F21" s="129"/>
      <c r="G21" s="129"/>
      <c r="H21" s="129"/>
      <c r="I21" s="129"/>
      <c r="J21" s="129"/>
      <c r="K21" s="129"/>
      <c r="L21" s="129"/>
      <c r="M21" s="129"/>
      <c r="N21" s="243"/>
      <c r="O21" s="243"/>
      <c r="P21" s="243"/>
      <c r="Q21" s="244"/>
    </row>
    <row r="22" spans="1:17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17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7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17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17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7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7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7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7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7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7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4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2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ref="E136:E199" si="3">C136-D136</f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3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ref="E200:E209" si="4">C200-D200</f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110"/>
    </row>
    <row r="216" spans="1:5" ht="15.75" x14ac:dyDescent="0.2">
      <c r="A216" s="112" t="s">
        <v>246</v>
      </c>
      <c r="B216" s="237" t="s">
        <v>195</v>
      </c>
      <c r="C216" s="237"/>
      <c r="D216" s="237"/>
      <c r="E216" s="112"/>
    </row>
  </sheetData>
  <mergeCells count="18">
    <mergeCell ref="N11:O11"/>
    <mergeCell ref="N12:O12"/>
    <mergeCell ref="A1:D1"/>
    <mergeCell ref="A2:D2"/>
    <mergeCell ref="A3:D3"/>
    <mergeCell ref="A5:D5"/>
    <mergeCell ref="A6:D6"/>
    <mergeCell ref="A7:D7"/>
    <mergeCell ref="N21:O21"/>
    <mergeCell ref="P21:Q21"/>
    <mergeCell ref="B216:D216"/>
    <mergeCell ref="A8:A10"/>
    <mergeCell ref="B8:B10"/>
    <mergeCell ref="C8:C10"/>
    <mergeCell ref="D8:D10"/>
    <mergeCell ref="B212:D212"/>
    <mergeCell ref="Q11:R11"/>
    <mergeCell ref="B215:D21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75" zoomScaleNormal="75" workbookViewId="0">
      <selection activeCell="E11" sqref="E11"/>
    </sheetView>
  </sheetViews>
  <sheetFormatPr defaultRowHeight="15" x14ac:dyDescent="0.2"/>
  <cols>
    <col min="1" max="1" width="64.42578125" style="115" customWidth="1"/>
    <col min="2" max="2" width="13.5703125" style="115" customWidth="1"/>
    <col min="3" max="3" width="18.28515625" style="115" customWidth="1"/>
    <col min="4" max="4" width="19" style="115" customWidth="1"/>
    <col min="5" max="5" width="16.42578125" style="115" customWidth="1"/>
    <col min="6" max="6" width="13" style="115" customWidth="1"/>
    <col min="7" max="7" width="11" style="115" customWidth="1"/>
    <col min="8" max="8" width="9.140625" style="115"/>
    <col min="9" max="9" width="10.42578125" style="115" customWidth="1"/>
    <col min="10" max="10" width="12.5703125" style="115" customWidth="1"/>
    <col min="11" max="11" width="9.140625" style="115"/>
    <col min="12" max="12" width="11" style="115" customWidth="1"/>
    <col min="13" max="13" width="12" style="115" customWidth="1"/>
    <col min="14" max="16384" width="9.140625" style="115"/>
  </cols>
  <sheetData>
    <row r="1" spans="1:17" x14ac:dyDescent="0.2">
      <c r="A1" s="245" t="s">
        <v>2</v>
      </c>
      <c r="B1" s="245"/>
      <c r="C1" s="245"/>
      <c r="D1" s="245"/>
      <c r="E1" s="114"/>
    </row>
    <row r="2" spans="1:17" ht="15.75" x14ac:dyDescent="0.2">
      <c r="A2" s="246" t="s">
        <v>3</v>
      </c>
      <c r="B2" s="246"/>
      <c r="C2" s="246"/>
      <c r="D2" s="246"/>
      <c r="E2" s="116"/>
    </row>
    <row r="3" spans="1:17" x14ac:dyDescent="0.2">
      <c r="A3" s="245" t="s">
        <v>1</v>
      </c>
      <c r="B3" s="245"/>
      <c r="C3" s="245"/>
      <c r="D3" s="245"/>
      <c r="E3" s="114"/>
    </row>
    <row r="4" spans="1:17" x14ac:dyDescent="0.2">
      <c r="A4" s="117"/>
      <c r="B4" s="114"/>
      <c r="C4" s="118"/>
      <c r="D4" s="117"/>
      <c r="E4" s="117"/>
    </row>
    <row r="5" spans="1:17" ht="15.75" x14ac:dyDescent="0.2">
      <c r="A5" s="246" t="s">
        <v>7</v>
      </c>
      <c r="B5" s="246"/>
      <c r="C5" s="246"/>
      <c r="D5" s="246"/>
      <c r="E5" s="116"/>
    </row>
    <row r="6" spans="1:17" x14ac:dyDescent="0.2">
      <c r="A6" s="245" t="s">
        <v>252</v>
      </c>
      <c r="B6" s="245"/>
      <c r="C6" s="245"/>
      <c r="D6" s="245"/>
      <c r="E6" s="114"/>
    </row>
    <row r="7" spans="1:17" ht="16.5" thickBot="1" x14ac:dyDescent="0.25">
      <c r="A7" s="247" t="s">
        <v>260</v>
      </c>
      <c r="B7" s="247"/>
      <c r="C7" s="247"/>
      <c r="D7" s="247"/>
      <c r="E7" s="119"/>
    </row>
    <row r="8" spans="1:17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1" t="s">
        <v>235</v>
      </c>
      <c r="G8" s="121" t="s">
        <v>236</v>
      </c>
      <c r="H8" s="121" t="s">
        <v>237</v>
      </c>
      <c r="I8" s="122" t="s">
        <v>238</v>
      </c>
      <c r="J8" s="122" t="s">
        <v>239</v>
      </c>
      <c r="K8" s="121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7" ht="15.75" x14ac:dyDescent="0.2">
      <c r="A9" s="239"/>
      <c r="B9" s="239"/>
      <c r="C9" s="239"/>
      <c r="D9" s="239"/>
      <c r="E9" s="120"/>
    </row>
    <row r="10" spans="1:17" ht="16.5" thickBot="1" x14ac:dyDescent="0.25">
      <c r="A10" s="240"/>
      <c r="B10" s="240"/>
      <c r="C10" s="240"/>
      <c r="D10" s="240"/>
      <c r="E10" s="120"/>
    </row>
    <row r="11" spans="1:17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F11" s="127"/>
      <c r="G11" s="128"/>
      <c r="I11" s="129"/>
      <c r="J11" s="129"/>
      <c r="K11" s="129"/>
      <c r="L11" s="129"/>
      <c r="M11" s="129"/>
      <c r="N11" s="243"/>
      <c r="O11" s="244"/>
      <c r="P11" s="258"/>
      <c r="Q11" s="259"/>
    </row>
    <row r="12" spans="1:17" x14ac:dyDescent="0.2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33"/>
    </row>
    <row r="13" spans="1:17" x14ac:dyDescent="0.2">
      <c r="A13" s="130" t="s">
        <v>226</v>
      </c>
      <c r="B13" s="131">
        <v>10102020</v>
      </c>
      <c r="C13" s="132"/>
      <c r="D13" s="132"/>
      <c r="E13" s="126">
        <f t="shared" si="0"/>
        <v>0</v>
      </c>
    </row>
    <row r="14" spans="1:17" x14ac:dyDescent="0.2">
      <c r="A14" s="130" t="s">
        <v>68</v>
      </c>
      <c r="B14" s="131">
        <v>10205990</v>
      </c>
      <c r="C14" s="132"/>
      <c r="D14" s="132"/>
      <c r="E14" s="126">
        <f t="shared" si="0"/>
        <v>0</v>
      </c>
      <c r="F14" s="134"/>
      <c r="N14" s="244"/>
      <c r="O14" s="244"/>
    </row>
    <row r="15" spans="1:17" x14ac:dyDescent="0.2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34"/>
      <c r="G15" s="135"/>
      <c r="I15" s="129"/>
      <c r="J15" s="129"/>
      <c r="K15" s="129"/>
      <c r="L15" s="129"/>
      <c r="M15" s="129"/>
      <c r="N15" s="243"/>
      <c r="O15" s="244"/>
      <c r="P15" s="260"/>
      <c r="Q15" s="244"/>
    </row>
    <row r="16" spans="1:17" x14ac:dyDescent="0.2">
      <c r="A16" s="130" t="s">
        <v>133</v>
      </c>
      <c r="B16" s="131">
        <v>10303010</v>
      </c>
      <c r="C16" s="132"/>
      <c r="D16" s="132"/>
      <c r="E16" s="126">
        <f t="shared" si="0"/>
        <v>0</v>
      </c>
    </row>
    <row r="17" spans="1:5" x14ac:dyDescent="0.2">
      <c r="A17" s="130" t="s">
        <v>50</v>
      </c>
      <c r="B17" s="131">
        <v>10303020</v>
      </c>
      <c r="C17" s="132"/>
      <c r="D17" s="132"/>
      <c r="E17" s="126">
        <f t="shared" si="0"/>
        <v>0</v>
      </c>
    </row>
    <row r="18" spans="1:5" x14ac:dyDescent="0.2">
      <c r="A18" s="130" t="s">
        <v>51</v>
      </c>
      <c r="B18" s="131">
        <v>10303030</v>
      </c>
      <c r="C18" s="132"/>
      <c r="D18" s="132"/>
      <c r="E18" s="126">
        <f t="shared" si="0"/>
        <v>0</v>
      </c>
    </row>
    <row r="19" spans="1:5" x14ac:dyDescent="0.2">
      <c r="A19" s="130" t="s">
        <v>12</v>
      </c>
      <c r="B19" s="131">
        <v>10304050</v>
      </c>
      <c r="C19" s="132"/>
      <c r="D19" s="132"/>
      <c r="E19" s="126">
        <f t="shared" si="0"/>
        <v>0</v>
      </c>
    </row>
    <row r="20" spans="1:5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</row>
    <row r="21" spans="1:5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</row>
    <row r="22" spans="1:5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5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5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5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5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5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5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5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5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5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5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4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2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ref="E136:E199" si="3">C136-D136</f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3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ref="E200:E209" si="4">C200-D200</f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0" t="s">
        <v>247</v>
      </c>
      <c r="B215" s="242" t="s">
        <v>200</v>
      </c>
      <c r="C215" s="242"/>
      <c r="D215" s="242"/>
      <c r="E215" s="110"/>
    </row>
    <row r="216" spans="1:5" ht="15.75" x14ac:dyDescent="0.2">
      <c r="A216" s="112" t="s">
        <v>248</v>
      </c>
      <c r="B216" s="237" t="s">
        <v>195</v>
      </c>
      <c r="C216" s="237"/>
      <c r="D216" s="237"/>
      <c r="E216" s="112"/>
    </row>
  </sheetData>
  <mergeCells count="18">
    <mergeCell ref="A1:D1"/>
    <mergeCell ref="A2:D2"/>
    <mergeCell ref="A3:D3"/>
    <mergeCell ref="A5:D5"/>
    <mergeCell ref="A6:D6"/>
    <mergeCell ref="A7:D7"/>
    <mergeCell ref="A8:A10"/>
    <mergeCell ref="B8:B10"/>
    <mergeCell ref="C8:C10"/>
    <mergeCell ref="D8:D10"/>
    <mergeCell ref="B212:D212"/>
    <mergeCell ref="B215:D215"/>
    <mergeCell ref="N11:O11"/>
    <mergeCell ref="P11:Q11"/>
    <mergeCell ref="N14:O14"/>
    <mergeCell ref="N15:O15"/>
    <mergeCell ref="P15:Q15"/>
    <mergeCell ref="B216:D21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86" zoomScaleNormal="86" workbookViewId="0">
      <selection activeCell="E11" sqref="E11"/>
    </sheetView>
  </sheetViews>
  <sheetFormatPr defaultRowHeight="12.75" x14ac:dyDescent="0.2"/>
  <cols>
    <col min="1" max="1" width="55.85546875" customWidth="1"/>
    <col min="2" max="2" width="12" customWidth="1"/>
    <col min="3" max="3" width="14.42578125" customWidth="1"/>
    <col min="4" max="4" width="16.7109375" customWidth="1"/>
    <col min="5" max="5" width="14.42578125" customWidth="1"/>
    <col min="6" max="6" width="12.7109375" customWidth="1"/>
    <col min="7" max="7" width="10.5703125" customWidth="1"/>
    <col min="9" max="9" width="10.28515625" customWidth="1"/>
    <col min="10" max="10" width="11.7109375" customWidth="1"/>
    <col min="12" max="12" width="10.5703125" customWidth="1"/>
    <col min="13" max="13" width="11.140625" customWidth="1"/>
  </cols>
  <sheetData>
    <row r="1" spans="1:17" ht="14.25" x14ac:dyDescent="0.2">
      <c r="A1" s="235" t="s">
        <v>2</v>
      </c>
      <c r="B1" s="235"/>
      <c r="C1" s="235"/>
      <c r="D1" s="235"/>
      <c r="E1" s="1"/>
    </row>
    <row r="2" spans="1:17" ht="15" x14ac:dyDescent="0.2">
      <c r="A2" s="236" t="s">
        <v>3</v>
      </c>
      <c r="B2" s="236"/>
      <c r="C2" s="236"/>
      <c r="D2" s="236"/>
      <c r="E2" s="94"/>
    </row>
    <row r="3" spans="1:17" ht="14.25" x14ac:dyDescent="0.2">
      <c r="A3" s="235" t="s">
        <v>1</v>
      </c>
      <c r="B3" s="235"/>
      <c r="C3" s="235"/>
      <c r="D3" s="235"/>
      <c r="E3" s="1"/>
    </row>
    <row r="4" spans="1:17" ht="14.25" x14ac:dyDescent="0.2">
      <c r="A4" s="2"/>
      <c r="B4" s="1"/>
      <c r="C4" s="42"/>
      <c r="D4" s="2"/>
      <c r="E4" s="2"/>
    </row>
    <row r="5" spans="1:17" ht="15" x14ac:dyDescent="0.2">
      <c r="A5" s="236" t="s">
        <v>7</v>
      </c>
      <c r="B5" s="236"/>
      <c r="C5" s="236"/>
      <c r="D5" s="236"/>
      <c r="E5" s="94"/>
    </row>
    <row r="6" spans="1:17" ht="14.25" x14ac:dyDescent="0.2">
      <c r="A6" s="235" t="s">
        <v>253</v>
      </c>
      <c r="B6" s="235"/>
      <c r="C6" s="235"/>
      <c r="D6" s="235"/>
      <c r="E6" s="1"/>
    </row>
    <row r="7" spans="1:17" ht="15.75" thickBot="1" x14ac:dyDescent="0.25">
      <c r="A7" s="254" t="s">
        <v>260</v>
      </c>
      <c r="B7" s="254"/>
      <c r="C7" s="254"/>
      <c r="D7" s="254"/>
      <c r="E7" s="95"/>
    </row>
    <row r="8" spans="1:17" ht="15.75" thickTop="1" x14ac:dyDescent="0.3">
      <c r="A8" s="229" t="s">
        <v>10</v>
      </c>
      <c r="B8" s="229" t="s">
        <v>9</v>
      </c>
      <c r="C8" s="229" t="s">
        <v>4</v>
      </c>
      <c r="D8" s="229" t="s">
        <v>5</v>
      </c>
      <c r="E8" s="96"/>
      <c r="F8" s="103" t="s">
        <v>235</v>
      </c>
      <c r="G8" s="103" t="s">
        <v>236</v>
      </c>
      <c r="H8" s="103" t="s">
        <v>237</v>
      </c>
      <c r="I8" s="102" t="s">
        <v>238</v>
      </c>
      <c r="J8" s="102" t="s">
        <v>239</v>
      </c>
      <c r="K8" s="103" t="s">
        <v>240</v>
      </c>
      <c r="L8" s="102" t="s">
        <v>241</v>
      </c>
      <c r="M8" s="102" t="s">
        <v>242</v>
      </c>
      <c r="N8" s="102" t="s">
        <v>243</v>
      </c>
      <c r="O8" s="102"/>
    </row>
    <row r="9" spans="1:17" ht="15" x14ac:dyDescent="0.2">
      <c r="A9" s="230"/>
      <c r="B9" s="230"/>
      <c r="C9" s="230"/>
      <c r="D9" s="230"/>
      <c r="E9" s="96"/>
    </row>
    <row r="10" spans="1:17" ht="15.75" thickBot="1" x14ac:dyDescent="0.25">
      <c r="A10" s="231"/>
      <c r="B10" s="231"/>
      <c r="C10" s="231"/>
      <c r="D10" s="231"/>
      <c r="E10" s="96"/>
    </row>
    <row r="11" spans="1:17" ht="15" thickTop="1" x14ac:dyDescent="0.2">
      <c r="A11" s="34" t="s">
        <v>123</v>
      </c>
      <c r="B11" s="35">
        <v>10101010</v>
      </c>
      <c r="C11" s="50"/>
      <c r="D11" s="50"/>
      <c r="E11" s="97">
        <f>C11-D11</f>
        <v>0</v>
      </c>
      <c r="F11" s="105"/>
      <c r="I11" s="101"/>
      <c r="J11" s="101"/>
      <c r="K11" s="101"/>
      <c r="L11" s="101"/>
      <c r="M11" s="101"/>
      <c r="N11" s="249"/>
      <c r="O11" s="250"/>
      <c r="P11" s="251"/>
      <c r="Q11" s="252"/>
    </row>
    <row r="12" spans="1:17" ht="14.25" x14ac:dyDescent="0.2">
      <c r="A12" s="56" t="s">
        <v>67</v>
      </c>
      <c r="B12" s="57">
        <v>10101020</v>
      </c>
      <c r="C12" s="51"/>
      <c r="D12" s="51"/>
      <c r="E12" s="97">
        <f t="shared" ref="E12:E75" si="0">C12-D12</f>
        <v>0</v>
      </c>
      <c r="F12" s="106"/>
    </row>
    <row r="13" spans="1:17" ht="14.25" x14ac:dyDescent="0.2">
      <c r="A13" s="56" t="s">
        <v>226</v>
      </c>
      <c r="B13" s="57">
        <v>10102020</v>
      </c>
      <c r="C13" s="51"/>
      <c r="D13" s="51"/>
      <c r="E13" s="97">
        <f t="shared" si="0"/>
        <v>0</v>
      </c>
      <c r="F13" s="101"/>
      <c r="I13" s="101"/>
      <c r="J13" s="101"/>
      <c r="K13" s="101"/>
      <c r="L13" s="101"/>
      <c r="M13" s="101"/>
      <c r="N13" s="249"/>
      <c r="O13" s="250"/>
      <c r="P13" s="249"/>
      <c r="Q13" s="250"/>
    </row>
    <row r="14" spans="1:17" ht="14.25" x14ac:dyDescent="0.2">
      <c r="A14" s="56" t="s">
        <v>68</v>
      </c>
      <c r="B14" s="57">
        <v>10205990</v>
      </c>
      <c r="C14" s="51"/>
      <c r="D14" s="51"/>
      <c r="E14" s="97">
        <f t="shared" si="0"/>
        <v>0</v>
      </c>
    </row>
    <row r="15" spans="1:17" ht="14.25" x14ac:dyDescent="0.2">
      <c r="A15" s="56" t="s">
        <v>11</v>
      </c>
      <c r="B15" s="57">
        <v>10301020</v>
      </c>
      <c r="C15" s="51"/>
      <c r="D15" s="51"/>
      <c r="E15" s="97">
        <f t="shared" si="0"/>
        <v>0</v>
      </c>
    </row>
    <row r="16" spans="1:17" ht="14.25" x14ac:dyDescent="0.2">
      <c r="A16" s="56" t="s">
        <v>133</v>
      </c>
      <c r="B16" s="57">
        <v>10303010</v>
      </c>
      <c r="C16" s="51"/>
      <c r="D16" s="51"/>
      <c r="E16" s="97">
        <f t="shared" si="0"/>
        <v>0</v>
      </c>
    </row>
    <row r="17" spans="1:5" ht="14.25" x14ac:dyDescent="0.2">
      <c r="A17" s="56" t="s">
        <v>50</v>
      </c>
      <c r="B17" s="57">
        <v>10303020</v>
      </c>
      <c r="C17" s="51"/>
      <c r="D17" s="51"/>
      <c r="E17" s="97">
        <f t="shared" si="0"/>
        <v>0</v>
      </c>
    </row>
    <row r="18" spans="1:5" ht="14.25" x14ac:dyDescent="0.2">
      <c r="A18" s="56" t="s">
        <v>51</v>
      </c>
      <c r="B18" s="57">
        <v>10303030</v>
      </c>
      <c r="C18" s="51"/>
      <c r="D18" s="51"/>
      <c r="E18" s="97">
        <f t="shared" si="0"/>
        <v>0</v>
      </c>
    </row>
    <row r="19" spans="1:5" ht="14.25" x14ac:dyDescent="0.2">
      <c r="A19" s="56" t="s">
        <v>12</v>
      </c>
      <c r="B19" s="57">
        <v>10304050</v>
      </c>
      <c r="C19" s="51"/>
      <c r="D19" s="51"/>
      <c r="E19" s="97">
        <f t="shared" si="0"/>
        <v>0</v>
      </c>
    </row>
    <row r="20" spans="1:5" ht="14.25" x14ac:dyDescent="0.2">
      <c r="A20" s="56" t="s">
        <v>125</v>
      </c>
      <c r="B20" s="57">
        <v>10305010</v>
      </c>
      <c r="C20" s="51"/>
      <c r="D20" s="51"/>
      <c r="E20" s="97">
        <f t="shared" si="0"/>
        <v>0</v>
      </c>
    </row>
    <row r="21" spans="1:5" ht="14.25" x14ac:dyDescent="0.2">
      <c r="A21" s="56" t="s">
        <v>69</v>
      </c>
      <c r="B21" s="57">
        <v>10305020</v>
      </c>
      <c r="C21" s="51"/>
      <c r="D21" s="51"/>
      <c r="E21" s="97">
        <f t="shared" si="0"/>
        <v>0</v>
      </c>
    </row>
    <row r="22" spans="1:5" ht="14.25" x14ac:dyDescent="0.2">
      <c r="A22" s="56" t="s">
        <v>70</v>
      </c>
      <c r="B22" s="57">
        <v>10305040</v>
      </c>
      <c r="C22" s="51"/>
      <c r="D22" s="51"/>
      <c r="E22" s="97">
        <f t="shared" si="0"/>
        <v>0</v>
      </c>
    </row>
    <row r="23" spans="1:5" ht="14.25" x14ac:dyDescent="0.2">
      <c r="A23" s="56" t="s">
        <v>124</v>
      </c>
      <c r="B23" s="57">
        <v>10306010</v>
      </c>
      <c r="C23" s="51"/>
      <c r="D23" s="51"/>
      <c r="E23" s="97">
        <f t="shared" si="0"/>
        <v>0</v>
      </c>
    </row>
    <row r="24" spans="1:5" ht="14.25" x14ac:dyDescent="0.2">
      <c r="A24" s="56" t="s">
        <v>134</v>
      </c>
      <c r="B24" s="57">
        <v>10306020</v>
      </c>
      <c r="C24" s="51"/>
      <c r="D24" s="51"/>
      <c r="E24" s="97">
        <f t="shared" si="0"/>
        <v>0</v>
      </c>
    </row>
    <row r="25" spans="1:5" ht="14.25" x14ac:dyDescent="0.2">
      <c r="A25" s="56" t="s">
        <v>13</v>
      </c>
      <c r="B25" s="57">
        <v>10306990</v>
      </c>
      <c r="C25" s="51"/>
      <c r="D25" s="51"/>
      <c r="E25" s="97">
        <f t="shared" si="0"/>
        <v>0</v>
      </c>
    </row>
    <row r="26" spans="1:5" ht="14.25" x14ac:dyDescent="0.2">
      <c r="A26" s="56" t="s">
        <v>135</v>
      </c>
      <c r="B26" s="57">
        <v>10402090</v>
      </c>
      <c r="C26" s="51"/>
      <c r="D26" s="51"/>
      <c r="E26" s="97">
        <f t="shared" si="0"/>
        <v>0</v>
      </c>
    </row>
    <row r="27" spans="1:5" ht="14.25" x14ac:dyDescent="0.2">
      <c r="A27" s="56" t="s">
        <v>65</v>
      </c>
      <c r="B27" s="57">
        <v>10404010</v>
      </c>
      <c r="C27" s="51"/>
      <c r="D27" s="51"/>
      <c r="E27" s="97">
        <f t="shared" si="0"/>
        <v>0</v>
      </c>
    </row>
    <row r="28" spans="1:5" ht="14.25" x14ac:dyDescent="0.2">
      <c r="A28" s="56" t="s">
        <v>219</v>
      </c>
      <c r="B28" s="57">
        <v>10404060</v>
      </c>
      <c r="C28" s="51"/>
      <c r="D28" s="51"/>
      <c r="E28" s="97">
        <f t="shared" si="0"/>
        <v>0</v>
      </c>
    </row>
    <row r="29" spans="1:5" ht="14.25" x14ac:dyDescent="0.2">
      <c r="A29" s="56" t="s">
        <v>196</v>
      </c>
      <c r="B29" s="57">
        <v>10404070</v>
      </c>
      <c r="C29" s="51"/>
      <c r="D29" s="51"/>
      <c r="E29" s="97">
        <f t="shared" si="0"/>
        <v>0</v>
      </c>
    </row>
    <row r="30" spans="1:5" ht="14.25" x14ac:dyDescent="0.2">
      <c r="A30" s="56" t="s">
        <v>188</v>
      </c>
      <c r="B30" s="57">
        <v>10404090</v>
      </c>
      <c r="C30" s="51"/>
      <c r="D30" s="51"/>
      <c r="E30" s="97">
        <f t="shared" si="0"/>
        <v>0</v>
      </c>
    </row>
    <row r="31" spans="1:5" ht="14.25" x14ac:dyDescent="0.2">
      <c r="A31" s="56" t="s">
        <v>71</v>
      </c>
      <c r="B31" s="57">
        <v>10404990</v>
      </c>
      <c r="C31" s="51"/>
      <c r="D31" s="51"/>
      <c r="E31" s="97">
        <f t="shared" si="0"/>
        <v>0</v>
      </c>
    </row>
    <row r="32" spans="1:5" ht="14.25" x14ac:dyDescent="0.2">
      <c r="A32" s="56" t="s">
        <v>228</v>
      </c>
      <c r="B32" s="57">
        <v>10501010</v>
      </c>
      <c r="C32" s="51"/>
      <c r="D32" s="51"/>
      <c r="E32" s="97">
        <f t="shared" si="0"/>
        <v>0</v>
      </c>
    </row>
    <row r="33" spans="1:5" ht="14.25" x14ac:dyDescent="0.2">
      <c r="A33" s="56" t="s">
        <v>49</v>
      </c>
      <c r="B33" s="57">
        <v>10501050</v>
      </c>
      <c r="C33" s="51"/>
      <c r="D33" s="51"/>
      <c r="E33" s="97">
        <f t="shared" si="0"/>
        <v>0</v>
      </c>
    </row>
    <row r="34" spans="1:5" ht="14.25" x14ac:dyDescent="0.2">
      <c r="A34" s="56" t="s">
        <v>218</v>
      </c>
      <c r="B34" s="57">
        <v>10501990</v>
      </c>
      <c r="C34" s="51"/>
      <c r="D34" s="51"/>
      <c r="E34" s="97">
        <f t="shared" si="0"/>
        <v>0</v>
      </c>
    </row>
    <row r="35" spans="1:5" ht="14.25" x14ac:dyDescent="0.2">
      <c r="A35" s="56" t="s">
        <v>136</v>
      </c>
      <c r="B35" s="57">
        <v>10601030</v>
      </c>
      <c r="C35" s="51"/>
      <c r="D35" s="51"/>
      <c r="E35" s="97">
        <f t="shared" si="0"/>
        <v>0</v>
      </c>
    </row>
    <row r="36" spans="1:5" ht="14.25" x14ac:dyDescent="0.2">
      <c r="A36" s="56" t="s">
        <v>14</v>
      </c>
      <c r="B36" s="57">
        <v>10701010</v>
      </c>
      <c r="C36" s="51"/>
      <c r="D36" s="51"/>
      <c r="E36" s="97">
        <f t="shared" si="0"/>
        <v>0</v>
      </c>
    </row>
    <row r="37" spans="1:5" ht="14.25" x14ac:dyDescent="0.2">
      <c r="A37" s="56" t="s">
        <v>72</v>
      </c>
      <c r="B37" s="57">
        <v>10702010</v>
      </c>
      <c r="C37" s="51"/>
      <c r="D37" s="51"/>
      <c r="E37" s="97">
        <f t="shared" si="0"/>
        <v>0</v>
      </c>
    </row>
    <row r="38" spans="1:5" ht="14.25" x14ac:dyDescent="0.2">
      <c r="A38" s="56" t="s">
        <v>204</v>
      </c>
      <c r="B38" s="57">
        <v>10703010</v>
      </c>
      <c r="C38" s="51"/>
      <c r="D38" s="51"/>
      <c r="E38" s="97">
        <f t="shared" si="0"/>
        <v>0</v>
      </c>
    </row>
    <row r="39" spans="1:5" ht="14.25" x14ac:dyDescent="0.2">
      <c r="A39" s="56" t="s">
        <v>231</v>
      </c>
      <c r="B39" s="57">
        <v>10703020</v>
      </c>
      <c r="C39" s="51"/>
      <c r="D39" s="51"/>
      <c r="E39" s="97">
        <f t="shared" si="0"/>
        <v>0</v>
      </c>
    </row>
    <row r="40" spans="1:5" ht="14.25" x14ac:dyDescent="0.2">
      <c r="A40" s="56" t="s">
        <v>214</v>
      </c>
      <c r="B40" s="57">
        <v>10703040</v>
      </c>
      <c r="C40" s="51"/>
      <c r="D40" s="51"/>
      <c r="E40" s="97">
        <f t="shared" si="0"/>
        <v>0</v>
      </c>
    </row>
    <row r="41" spans="1:5" ht="14.25" x14ac:dyDescent="0.2">
      <c r="A41" s="56" t="s">
        <v>73</v>
      </c>
      <c r="B41" s="57">
        <v>10703050</v>
      </c>
      <c r="C41" s="51"/>
      <c r="D41" s="51"/>
      <c r="E41" s="97">
        <f t="shared" si="0"/>
        <v>0</v>
      </c>
    </row>
    <row r="42" spans="1:5" ht="14.25" x14ac:dyDescent="0.2">
      <c r="A42" s="56" t="s">
        <v>82</v>
      </c>
      <c r="B42" s="57">
        <v>10703051</v>
      </c>
      <c r="C42" s="51"/>
      <c r="D42" s="51"/>
      <c r="E42" s="97">
        <f t="shared" si="0"/>
        <v>0</v>
      </c>
    </row>
    <row r="43" spans="1:5" ht="14.25" x14ac:dyDescent="0.2">
      <c r="A43" s="56" t="s">
        <v>74</v>
      </c>
      <c r="B43" s="57">
        <v>10704010</v>
      </c>
      <c r="C43" s="51"/>
      <c r="D43" s="51"/>
      <c r="E43" s="97">
        <f t="shared" si="0"/>
        <v>0</v>
      </c>
    </row>
    <row r="44" spans="1:5" ht="14.25" x14ac:dyDescent="0.2">
      <c r="A44" s="56" t="s">
        <v>15</v>
      </c>
      <c r="B44" s="57">
        <v>10704020</v>
      </c>
      <c r="C44" s="51"/>
      <c r="D44" s="51"/>
      <c r="E44" s="97">
        <f t="shared" si="0"/>
        <v>0</v>
      </c>
    </row>
    <row r="45" spans="1:5" ht="14.25" x14ac:dyDescent="0.2">
      <c r="A45" s="56" t="s">
        <v>75</v>
      </c>
      <c r="B45" s="57">
        <v>10704040</v>
      </c>
      <c r="C45" s="51"/>
      <c r="D45" s="51"/>
      <c r="E45" s="97">
        <f t="shared" si="0"/>
        <v>0</v>
      </c>
    </row>
    <row r="46" spans="1:5" ht="14.25" x14ac:dyDescent="0.2">
      <c r="A46" s="56" t="s">
        <v>193</v>
      </c>
      <c r="B46" s="57">
        <v>10704050</v>
      </c>
      <c r="C46" s="51"/>
      <c r="D46" s="51"/>
      <c r="E46" s="97">
        <f t="shared" si="0"/>
        <v>0</v>
      </c>
    </row>
    <row r="47" spans="1:5" ht="14.25" x14ac:dyDescent="0.2">
      <c r="A47" s="56" t="s">
        <v>209</v>
      </c>
      <c r="B47" s="57">
        <v>10704990</v>
      </c>
      <c r="C47" s="51"/>
      <c r="D47" s="51"/>
      <c r="E47" s="97">
        <f t="shared" si="0"/>
        <v>0</v>
      </c>
    </row>
    <row r="48" spans="1:5" ht="14.25" x14ac:dyDescent="0.2">
      <c r="A48" s="56" t="s">
        <v>17</v>
      </c>
      <c r="B48" s="57">
        <v>10705010</v>
      </c>
      <c r="C48" s="51"/>
      <c r="D48" s="51"/>
      <c r="E48" s="97">
        <f t="shared" si="0"/>
        <v>0</v>
      </c>
    </row>
    <row r="49" spans="1:5" ht="14.25" x14ac:dyDescent="0.2">
      <c r="A49" s="56" t="s">
        <v>83</v>
      </c>
      <c r="B49" s="57">
        <v>10705011</v>
      </c>
      <c r="C49" s="51"/>
      <c r="D49" s="51"/>
      <c r="E49" s="97">
        <f t="shared" si="0"/>
        <v>0</v>
      </c>
    </row>
    <row r="50" spans="1:5" ht="14.25" x14ac:dyDescent="0.2">
      <c r="A50" s="56" t="s">
        <v>16</v>
      </c>
      <c r="B50" s="57">
        <v>10705020</v>
      </c>
      <c r="C50" s="51"/>
      <c r="D50" s="51"/>
      <c r="E50" s="97">
        <f t="shared" si="0"/>
        <v>0</v>
      </c>
    </row>
    <row r="51" spans="1:5" ht="14.25" x14ac:dyDescent="0.2">
      <c r="A51" s="56" t="s">
        <v>84</v>
      </c>
      <c r="B51" s="57">
        <v>10705021</v>
      </c>
      <c r="C51" s="51"/>
      <c r="D51" s="51"/>
      <c r="E51" s="97">
        <f t="shared" si="0"/>
        <v>0</v>
      </c>
    </row>
    <row r="52" spans="1:5" ht="14.25" x14ac:dyDescent="0.2">
      <c r="A52" s="56" t="s">
        <v>76</v>
      </c>
      <c r="B52" s="57">
        <v>10705030</v>
      </c>
      <c r="C52" s="51"/>
      <c r="D52" s="51"/>
      <c r="E52" s="97">
        <f t="shared" si="0"/>
        <v>0</v>
      </c>
    </row>
    <row r="53" spans="1:5" ht="14.25" x14ac:dyDescent="0.2">
      <c r="A53" s="67" t="s">
        <v>85</v>
      </c>
      <c r="B53" s="57">
        <v>10705031</v>
      </c>
      <c r="C53" s="51"/>
      <c r="D53" s="51"/>
      <c r="E53" s="97">
        <f t="shared" si="0"/>
        <v>0</v>
      </c>
    </row>
    <row r="54" spans="1:5" ht="14.25" x14ac:dyDescent="0.2">
      <c r="A54" s="56" t="s">
        <v>77</v>
      </c>
      <c r="B54" s="57">
        <v>10705040</v>
      </c>
      <c r="C54" s="51"/>
      <c r="D54" s="51"/>
      <c r="E54" s="97">
        <f t="shared" si="0"/>
        <v>0</v>
      </c>
    </row>
    <row r="55" spans="1:5" ht="14.25" x14ac:dyDescent="0.2">
      <c r="A55" s="68" t="s">
        <v>86</v>
      </c>
      <c r="B55" s="57">
        <v>10705041</v>
      </c>
      <c r="C55" s="51"/>
      <c r="D55" s="51"/>
      <c r="E55" s="97">
        <f t="shared" si="0"/>
        <v>0</v>
      </c>
    </row>
    <row r="56" spans="1:5" ht="14.25" x14ac:dyDescent="0.2">
      <c r="A56" s="56" t="s">
        <v>18</v>
      </c>
      <c r="B56" s="57">
        <v>10705070</v>
      </c>
      <c r="C56" s="51"/>
      <c r="D56" s="51"/>
      <c r="E56" s="97">
        <f t="shared" si="0"/>
        <v>0</v>
      </c>
    </row>
    <row r="57" spans="1:5" ht="14.25" x14ac:dyDescent="0.2">
      <c r="A57" s="56" t="s">
        <v>87</v>
      </c>
      <c r="B57" s="57">
        <v>10705071</v>
      </c>
      <c r="C57" s="51"/>
      <c r="D57" s="51"/>
      <c r="E57" s="97">
        <f t="shared" si="0"/>
        <v>0</v>
      </c>
    </row>
    <row r="58" spans="1:5" ht="14.25" x14ac:dyDescent="0.2">
      <c r="A58" s="56" t="s">
        <v>52</v>
      </c>
      <c r="B58" s="57">
        <v>10705080</v>
      </c>
      <c r="C58" s="51"/>
      <c r="D58" s="51"/>
      <c r="E58" s="97">
        <f t="shared" si="0"/>
        <v>0</v>
      </c>
    </row>
    <row r="59" spans="1:5" ht="14.25" x14ac:dyDescent="0.2">
      <c r="A59" s="68" t="s">
        <v>88</v>
      </c>
      <c r="B59" s="57">
        <v>10705081</v>
      </c>
      <c r="C59" s="51"/>
      <c r="D59" s="51"/>
      <c r="E59" s="97">
        <f t="shared" si="0"/>
        <v>0</v>
      </c>
    </row>
    <row r="60" spans="1:5" ht="14.25" x14ac:dyDescent="0.2">
      <c r="A60" s="68" t="s">
        <v>137</v>
      </c>
      <c r="B60" s="57">
        <v>10705090</v>
      </c>
      <c r="C60" s="51"/>
      <c r="D60" s="51"/>
      <c r="E60" s="97">
        <f t="shared" si="0"/>
        <v>0</v>
      </c>
    </row>
    <row r="61" spans="1:5" ht="14.25" x14ac:dyDescent="0.2">
      <c r="A61" s="69" t="s">
        <v>138</v>
      </c>
      <c r="B61" s="57">
        <v>10705091</v>
      </c>
      <c r="C61" s="51"/>
      <c r="D61" s="51"/>
      <c r="E61" s="97">
        <f t="shared" si="0"/>
        <v>0</v>
      </c>
    </row>
    <row r="62" spans="1:5" ht="14.25" x14ac:dyDescent="0.2">
      <c r="A62" s="56" t="s">
        <v>208</v>
      </c>
      <c r="B62" s="57">
        <v>10705100</v>
      </c>
      <c r="C62" s="51"/>
      <c r="D62" s="51"/>
      <c r="E62" s="97">
        <f t="shared" si="0"/>
        <v>0</v>
      </c>
    </row>
    <row r="63" spans="1:5" ht="14.25" x14ac:dyDescent="0.2">
      <c r="A63" s="69" t="s">
        <v>221</v>
      </c>
      <c r="B63" s="57">
        <v>10705101</v>
      </c>
      <c r="C63" s="51"/>
      <c r="D63" s="51"/>
      <c r="E63" s="97">
        <f t="shared" si="0"/>
        <v>0</v>
      </c>
    </row>
    <row r="64" spans="1:5" ht="14.25" x14ac:dyDescent="0.2">
      <c r="A64" s="56" t="s">
        <v>197</v>
      </c>
      <c r="B64" s="57">
        <v>10705110</v>
      </c>
      <c r="C64" s="51"/>
      <c r="D64" s="51"/>
      <c r="E64" s="97">
        <f t="shared" si="0"/>
        <v>0</v>
      </c>
    </row>
    <row r="65" spans="1:5" ht="14.25" x14ac:dyDescent="0.2">
      <c r="A65" s="68" t="s">
        <v>210</v>
      </c>
      <c r="B65" s="57">
        <v>10705111</v>
      </c>
      <c r="C65" s="51"/>
      <c r="D65" s="51"/>
      <c r="E65" s="97">
        <f t="shared" si="0"/>
        <v>0</v>
      </c>
    </row>
    <row r="66" spans="1:5" ht="14.25" x14ac:dyDescent="0.2">
      <c r="A66" s="56" t="s">
        <v>22</v>
      </c>
      <c r="B66" s="57">
        <v>10705130</v>
      </c>
      <c r="C66" s="51"/>
      <c r="D66" s="51"/>
      <c r="E66" s="97">
        <f t="shared" si="0"/>
        <v>0</v>
      </c>
    </row>
    <row r="67" spans="1:5" ht="14.25" x14ac:dyDescent="0.2">
      <c r="A67" s="56" t="s">
        <v>61</v>
      </c>
      <c r="B67" s="57">
        <v>10705140</v>
      </c>
      <c r="C67" s="51"/>
      <c r="D67" s="51"/>
      <c r="E67" s="97">
        <f t="shared" si="0"/>
        <v>0</v>
      </c>
    </row>
    <row r="68" spans="1:5" ht="14.25" x14ac:dyDescent="0.2">
      <c r="A68" s="56" t="s">
        <v>78</v>
      </c>
      <c r="B68" s="57">
        <v>10705990</v>
      </c>
      <c r="C68" s="51"/>
      <c r="D68" s="51"/>
      <c r="E68" s="97">
        <f t="shared" si="0"/>
        <v>0</v>
      </c>
    </row>
    <row r="69" spans="1:5" ht="14.25" x14ac:dyDescent="0.2">
      <c r="A69" s="68" t="s">
        <v>89</v>
      </c>
      <c r="B69" s="57">
        <v>10705991</v>
      </c>
      <c r="C69" s="51"/>
      <c r="D69" s="51"/>
      <c r="E69" s="97">
        <f t="shared" si="0"/>
        <v>0</v>
      </c>
    </row>
    <row r="70" spans="1:5" ht="14.25" x14ac:dyDescent="0.2">
      <c r="A70" s="56" t="s">
        <v>19</v>
      </c>
      <c r="B70" s="57">
        <v>10706010</v>
      </c>
      <c r="C70" s="51"/>
      <c r="D70" s="51"/>
      <c r="E70" s="97">
        <f t="shared" si="0"/>
        <v>0</v>
      </c>
    </row>
    <row r="71" spans="1:5" ht="14.25" x14ac:dyDescent="0.2">
      <c r="A71" s="56" t="s">
        <v>90</v>
      </c>
      <c r="B71" s="57">
        <v>10706011</v>
      </c>
      <c r="C71" s="51"/>
      <c r="D71" s="51"/>
      <c r="E71" s="97">
        <f t="shared" si="0"/>
        <v>0</v>
      </c>
    </row>
    <row r="72" spans="1:5" ht="14.25" x14ac:dyDescent="0.2">
      <c r="A72" s="56" t="s">
        <v>62</v>
      </c>
      <c r="B72" s="57">
        <v>10707010</v>
      </c>
      <c r="C72" s="51"/>
      <c r="D72" s="51"/>
      <c r="E72" s="97">
        <f t="shared" si="0"/>
        <v>0</v>
      </c>
    </row>
    <row r="73" spans="1:5" ht="14.25" x14ac:dyDescent="0.2">
      <c r="A73" s="56" t="s">
        <v>91</v>
      </c>
      <c r="B73" s="57">
        <v>10707011</v>
      </c>
      <c r="C73" s="51"/>
      <c r="D73" s="51"/>
      <c r="E73" s="97">
        <f t="shared" si="0"/>
        <v>0</v>
      </c>
    </row>
    <row r="74" spans="1:5" ht="14.25" x14ac:dyDescent="0.2">
      <c r="A74" s="56" t="s">
        <v>79</v>
      </c>
      <c r="B74" s="57">
        <v>10707020</v>
      </c>
      <c r="C74" s="51"/>
      <c r="D74" s="51"/>
      <c r="E74" s="97">
        <f t="shared" si="0"/>
        <v>0</v>
      </c>
    </row>
    <row r="75" spans="1:5" ht="14.25" x14ac:dyDescent="0.2">
      <c r="A75" s="56" t="s">
        <v>223</v>
      </c>
      <c r="B75" s="57">
        <v>10710010</v>
      </c>
      <c r="C75" s="51"/>
      <c r="D75" s="51"/>
      <c r="E75" s="97">
        <f t="shared" si="0"/>
        <v>0</v>
      </c>
    </row>
    <row r="76" spans="1:5" ht="14.25" x14ac:dyDescent="0.2">
      <c r="A76" s="56" t="s">
        <v>80</v>
      </c>
      <c r="B76" s="57">
        <v>10710020</v>
      </c>
      <c r="C76" s="51"/>
      <c r="D76" s="51"/>
      <c r="E76" s="97">
        <f t="shared" ref="E76:E82" si="1">C76-D76</f>
        <v>0</v>
      </c>
    </row>
    <row r="77" spans="1:5" ht="14.25" x14ac:dyDescent="0.2">
      <c r="A77" s="56" t="s">
        <v>81</v>
      </c>
      <c r="B77" s="57">
        <v>10710030</v>
      </c>
      <c r="C77" s="51"/>
      <c r="D77" s="51"/>
      <c r="E77" s="97">
        <f t="shared" si="1"/>
        <v>0</v>
      </c>
    </row>
    <row r="78" spans="1:5" ht="14.25" x14ac:dyDescent="0.2">
      <c r="A78" s="68" t="s">
        <v>207</v>
      </c>
      <c r="B78" s="57">
        <v>10707021</v>
      </c>
      <c r="C78" s="51"/>
      <c r="D78" s="51"/>
      <c r="E78" s="97">
        <f t="shared" si="1"/>
        <v>0</v>
      </c>
    </row>
    <row r="79" spans="1:5" ht="14.25" x14ac:dyDescent="0.2">
      <c r="A79" s="56" t="s">
        <v>53</v>
      </c>
      <c r="B79" s="57">
        <v>10799990</v>
      </c>
      <c r="C79" s="51"/>
      <c r="D79" s="51"/>
      <c r="E79" s="97">
        <f t="shared" si="1"/>
        <v>0</v>
      </c>
    </row>
    <row r="80" spans="1:5" ht="14.25" x14ac:dyDescent="0.2">
      <c r="A80" s="68" t="s">
        <v>92</v>
      </c>
      <c r="B80" s="57">
        <v>10799991</v>
      </c>
      <c r="C80" s="51"/>
      <c r="D80" s="51"/>
      <c r="E80" s="97">
        <f t="shared" si="1"/>
        <v>0</v>
      </c>
    </row>
    <row r="81" spans="1:5" ht="14.25" x14ac:dyDescent="0.2">
      <c r="A81" s="56" t="s">
        <v>169</v>
      </c>
      <c r="B81" s="57">
        <v>10901020</v>
      </c>
      <c r="C81" s="51"/>
      <c r="D81" s="51"/>
      <c r="E81" s="97">
        <f t="shared" si="1"/>
        <v>0</v>
      </c>
    </row>
    <row r="82" spans="1:5" ht="14.25" x14ac:dyDescent="0.2">
      <c r="A82" s="56" t="s">
        <v>166</v>
      </c>
      <c r="B82" s="57">
        <v>10901990</v>
      </c>
      <c r="C82" s="51"/>
      <c r="D82" s="51"/>
      <c r="E82" s="97">
        <f t="shared" si="1"/>
        <v>0</v>
      </c>
    </row>
    <row r="83" spans="1:5" ht="14.25" x14ac:dyDescent="0.2">
      <c r="A83" s="56" t="s">
        <v>29</v>
      </c>
      <c r="B83" s="57">
        <v>20101020</v>
      </c>
      <c r="C83" s="51"/>
      <c r="D83" s="51"/>
      <c r="E83" s="97">
        <f>D83-C83</f>
        <v>0</v>
      </c>
    </row>
    <row r="84" spans="1:5" ht="14.25" x14ac:dyDescent="0.2">
      <c r="A84" s="56" t="s">
        <v>34</v>
      </c>
      <c r="B84" s="57">
        <v>20102040</v>
      </c>
      <c r="C84" s="51"/>
      <c r="D84" s="51"/>
      <c r="E84" s="97">
        <f t="shared" ref="E84:E134" si="2">D84-C84</f>
        <v>0</v>
      </c>
    </row>
    <row r="85" spans="1:5" ht="14.25" x14ac:dyDescent="0.2">
      <c r="A85" s="56" t="s">
        <v>30</v>
      </c>
      <c r="B85" s="57">
        <v>20201010</v>
      </c>
      <c r="C85" s="51"/>
      <c r="D85" s="51"/>
      <c r="E85" s="97">
        <f t="shared" si="2"/>
        <v>0</v>
      </c>
    </row>
    <row r="86" spans="1:5" ht="14.25" x14ac:dyDescent="0.2">
      <c r="A86" s="56" t="s">
        <v>31</v>
      </c>
      <c r="B86" s="57">
        <v>20201020</v>
      </c>
      <c r="C86" s="51"/>
      <c r="D86" s="51"/>
      <c r="E86" s="97">
        <f t="shared" si="2"/>
        <v>0</v>
      </c>
    </row>
    <row r="87" spans="1:5" ht="14.25" x14ac:dyDescent="0.2">
      <c r="A87" s="56" t="s">
        <v>54</v>
      </c>
      <c r="B87" s="57">
        <v>20201030</v>
      </c>
      <c r="C87" s="51"/>
      <c r="D87" s="51"/>
      <c r="E87" s="97">
        <f t="shared" si="2"/>
        <v>0</v>
      </c>
    </row>
    <row r="88" spans="1:5" ht="14.25" x14ac:dyDescent="0.2">
      <c r="A88" s="56" t="s">
        <v>55</v>
      </c>
      <c r="B88" s="57">
        <v>20201040</v>
      </c>
      <c r="C88" s="51"/>
      <c r="D88" s="51"/>
      <c r="E88" s="97">
        <f t="shared" si="2"/>
        <v>0</v>
      </c>
    </row>
    <row r="89" spans="1:5" ht="14.25" x14ac:dyDescent="0.2">
      <c r="A89" s="56" t="s">
        <v>93</v>
      </c>
      <c r="B89" s="57">
        <v>20201050</v>
      </c>
      <c r="C89" s="51"/>
      <c r="D89" s="51"/>
      <c r="E89" s="97">
        <f t="shared" si="2"/>
        <v>0</v>
      </c>
    </row>
    <row r="90" spans="1:5" ht="14.25" x14ac:dyDescent="0.2">
      <c r="A90" s="56" t="s">
        <v>94</v>
      </c>
      <c r="B90" s="57">
        <v>20201060</v>
      </c>
      <c r="C90" s="51"/>
      <c r="D90" s="51"/>
      <c r="E90" s="97">
        <f t="shared" si="2"/>
        <v>0</v>
      </c>
    </row>
    <row r="91" spans="1:5" ht="14.25" x14ac:dyDescent="0.2">
      <c r="A91" s="56" t="s">
        <v>56</v>
      </c>
      <c r="B91" s="57">
        <v>20201070</v>
      </c>
      <c r="C91" s="51"/>
      <c r="D91" s="51"/>
      <c r="E91" s="97">
        <f t="shared" si="2"/>
        <v>0</v>
      </c>
    </row>
    <row r="92" spans="1:5" ht="14.25" x14ac:dyDescent="0.2">
      <c r="A92" s="56" t="s">
        <v>32</v>
      </c>
      <c r="B92" s="57">
        <v>20301010</v>
      </c>
      <c r="C92" s="51"/>
      <c r="D92" s="51"/>
      <c r="E92" s="97">
        <f t="shared" si="2"/>
        <v>0</v>
      </c>
    </row>
    <row r="93" spans="1:5" ht="14.25" x14ac:dyDescent="0.2">
      <c r="A93" s="56" t="s">
        <v>95</v>
      </c>
      <c r="B93" s="57">
        <v>20401040</v>
      </c>
      <c r="C93" s="52"/>
      <c r="D93" s="51"/>
      <c r="E93" s="97">
        <f t="shared" si="2"/>
        <v>0</v>
      </c>
    </row>
    <row r="94" spans="1:5" ht="14.25" x14ac:dyDescent="0.2">
      <c r="A94" s="56" t="s">
        <v>96</v>
      </c>
      <c r="B94" s="57">
        <v>20501010</v>
      </c>
      <c r="C94" s="52"/>
      <c r="D94" s="51"/>
      <c r="E94" s="97">
        <f t="shared" si="2"/>
        <v>0</v>
      </c>
    </row>
    <row r="95" spans="1:5" ht="14.25" x14ac:dyDescent="0.2">
      <c r="A95" s="56" t="s">
        <v>33</v>
      </c>
      <c r="B95" s="57">
        <v>29999990</v>
      </c>
      <c r="C95" s="52"/>
      <c r="D95" s="51"/>
      <c r="E95" s="97">
        <f t="shared" si="2"/>
        <v>0</v>
      </c>
    </row>
    <row r="96" spans="1:5" ht="14.25" x14ac:dyDescent="0.2">
      <c r="A96" s="56" t="s">
        <v>35</v>
      </c>
      <c r="B96" s="57">
        <v>30101010</v>
      </c>
      <c r="C96" s="52"/>
      <c r="D96" s="51"/>
      <c r="E96" s="97">
        <f t="shared" si="2"/>
        <v>0</v>
      </c>
    </row>
    <row r="97" spans="1:5" ht="14.25" x14ac:dyDescent="0.2">
      <c r="A97" s="56" t="s">
        <v>97</v>
      </c>
      <c r="B97" s="57">
        <v>30101020</v>
      </c>
      <c r="C97" s="52"/>
      <c r="D97" s="51"/>
      <c r="E97" s="97">
        <f t="shared" si="2"/>
        <v>0</v>
      </c>
    </row>
    <row r="98" spans="1:5" ht="14.25" x14ac:dyDescent="0.2">
      <c r="A98" s="56" t="s">
        <v>128</v>
      </c>
      <c r="B98" s="57">
        <v>40101020</v>
      </c>
      <c r="C98" s="52"/>
      <c r="D98" s="51"/>
      <c r="E98" s="97">
        <f t="shared" si="2"/>
        <v>0</v>
      </c>
    </row>
    <row r="99" spans="1:5" ht="14.25" x14ac:dyDescent="0.2">
      <c r="A99" s="56" t="s">
        <v>37</v>
      </c>
      <c r="B99" s="57">
        <v>40101050</v>
      </c>
      <c r="C99" s="52"/>
      <c r="D99" s="51"/>
      <c r="E99" s="97">
        <f t="shared" si="2"/>
        <v>0</v>
      </c>
    </row>
    <row r="100" spans="1:5" ht="14.25" x14ac:dyDescent="0.2">
      <c r="A100" s="56" t="s">
        <v>98</v>
      </c>
      <c r="B100" s="57">
        <v>40102040</v>
      </c>
      <c r="C100" s="52"/>
      <c r="D100" s="51"/>
      <c r="E100" s="97">
        <f t="shared" si="2"/>
        <v>0</v>
      </c>
    </row>
    <row r="101" spans="1:5" ht="14.25" x14ac:dyDescent="0.2">
      <c r="A101" s="56" t="s">
        <v>99</v>
      </c>
      <c r="B101" s="57">
        <v>40102041</v>
      </c>
      <c r="C101" s="52"/>
      <c r="D101" s="51"/>
      <c r="E101" s="97">
        <f t="shared" si="2"/>
        <v>0</v>
      </c>
    </row>
    <row r="102" spans="1:5" ht="14.25" x14ac:dyDescent="0.2">
      <c r="A102" s="56" t="s">
        <v>130</v>
      </c>
      <c r="B102" s="57">
        <v>40102080</v>
      </c>
      <c r="C102" s="52"/>
      <c r="D102" s="51"/>
      <c r="E102" s="97">
        <f t="shared" si="2"/>
        <v>0</v>
      </c>
    </row>
    <row r="103" spans="1:5" ht="14.25" x14ac:dyDescent="0.2">
      <c r="A103" s="56" t="s">
        <v>36</v>
      </c>
      <c r="B103" s="57">
        <v>40103030</v>
      </c>
      <c r="C103" s="52"/>
      <c r="D103" s="51"/>
      <c r="E103" s="97">
        <f t="shared" si="2"/>
        <v>0</v>
      </c>
    </row>
    <row r="104" spans="1:5" ht="14.25" x14ac:dyDescent="0.2">
      <c r="A104" s="56" t="s">
        <v>132</v>
      </c>
      <c r="B104" s="57">
        <v>40103040</v>
      </c>
      <c r="C104" s="52"/>
      <c r="D104" s="51"/>
      <c r="E104" s="97">
        <f t="shared" si="2"/>
        <v>0</v>
      </c>
    </row>
    <row r="105" spans="1:5" ht="14.25" x14ac:dyDescent="0.2">
      <c r="A105" s="56" t="s">
        <v>38</v>
      </c>
      <c r="B105" s="57">
        <v>40103050</v>
      </c>
      <c r="C105" s="52"/>
      <c r="D105" s="51"/>
      <c r="E105" s="97">
        <f t="shared" si="2"/>
        <v>0</v>
      </c>
    </row>
    <row r="106" spans="1:5" ht="14.25" x14ac:dyDescent="0.2">
      <c r="A106" s="56" t="s">
        <v>139</v>
      </c>
      <c r="B106" s="57">
        <v>40103060</v>
      </c>
      <c r="C106" s="52"/>
      <c r="D106" s="51"/>
      <c r="E106" s="97">
        <f t="shared" si="2"/>
        <v>0</v>
      </c>
    </row>
    <row r="107" spans="1:5" ht="14.25" x14ac:dyDescent="0.2">
      <c r="A107" s="56" t="s">
        <v>126</v>
      </c>
      <c r="B107" s="57">
        <v>40103070</v>
      </c>
      <c r="C107" s="52"/>
      <c r="D107" s="51"/>
      <c r="E107" s="97">
        <f t="shared" si="2"/>
        <v>0</v>
      </c>
    </row>
    <row r="108" spans="1:5" ht="14.25" x14ac:dyDescent="0.2">
      <c r="A108" s="56" t="s">
        <v>100</v>
      </c>
      <c r="B108" s="57">
        <v>40104990</v>
      </c>
      <c r="C108" s="52"/>
      <c r="D108" s="51"/>
      <c r="E108" s="97">
        <f t="shared" si="2"/>
        <v>0</v>
      </c>
    </row>
    <row r="109" spans="1:5" ht="14.25" x14ac:dyDescent="0.2">
      <c r="A109" s="56" t="s">
        <v>101</v>
      </c>
      <c r="B109" s="57">
        <v>40105020</v>
      </c>
      <c r="C109" s="52"/>
      <c r="D109" s="51"/>
      <c r="E109" s="97">
        <f t="shared" si="2"/>
        <v>0</v>
      </c>
    </row>
    <row r="110" spans="1:5" ht="14.25" x14ac:dyDescent="0.2">
      <c r="A110" s="56" t="s">
        <v>102</v>
      </c>
      <c r="B110" s="57">
        <v>40106010</v>
      </c>
      <c r="C110" s="52"/>
      <c r="D110" s="51"/>
      <c r="E110" s="97">
        <f t="shared" si="2"/>
        <v>0</v>
      </c>
    </row>
    <row r="111" spans="1:5" ht="14.25" x14ac:dyDescent="0.2">
      <c r="A111" s="56" t="s">
        <v>192</v>
      </c>
      <c r="B111" s="57">
        <v>40106030</v>
      </c>
      <c r="C111" s="52"/>
      <c r="D111" s="51"/>
      <c r="E111" s="97">
        <f t="shared" si="2"/>
        <v>0</v>
      </c>
    </row>
    <row r="112" spans="1:5" ht="14.25" x14ac:dyDescent="0.2">
      <c r="A112" s="56" t="s">
        <v>39</v>
      </c>
      <c r="B112" s="57">
        <v>40201010</v>
      </c>
      <c r="C112" s="52"/>
      <c r="D112" s="51"/>
      <c r="E112" s="97">
        <f t="shared" si="2"/>
        <v>0</v>
      </c>
    </row>
    <row r="113" spans="1:5" ht="14.25" x14ac:dyDescent="0.2">
      <c r="A113" s="56" t="s">
        <v>40</v>
      </c>
      <c r="B113" s="57">
        <v>40201020</v>
      </c>
      <c r="C113" s="52"/>
      <c r="D113" s="51"/>
      <c r="E113" s="97">
        <f t="shared" si="2"/>
        <v>0</v>
      </c>
    </row>
    <row r="114" spans="1:5" ht="14.25" x14ac:dyDescent="0.2">
      <c r="A114" s="56" t="s">
        <v>205</v>
      </c>
      <c r="B114" s="57">
        <v>40201030</v>
      </c>
      <c r="C114" s="52"/>
      <c r="D114" s="51"/>
      <c r="E114" s="97">
        <f t="shared" si="2"/>
        <v>0</v>
      </c>
    </row>
    <row r="115" spans="1:5" ht="14.25" x14ac:dyDescent="0.2">
      <c r="A115" s="56" t="s">
        <v>41</v>
      </c>
      <c r="B115" s="57">
        <v>40201040</v>
      </c>
      <c r="C115" s="52"/>
      <c r="D115" s="51"/>
      <c r="E115" s="97">
        <f t="shared" si="2"/>
        <v>0</v>
      </c>
    </row>
    <row r="116" spans="1:5" ht="14.25" x14ac:dyDescent="0.2">
      <c r="A116" s="56" t="s">
        <v>43</v>
      </c>
      <c r="B116" s="57">
        <v>40201100</v>
      </c>
      <c r="C116" s="52"/>
      <c r="D116" s="51"/>
      <c r="E116" s="97">
        <f t="shared" si="2"/>
        <v>0</v>
      </c>
    </row>
    <row r="117" spans="1:5" ht="14.25" x14ac:dyDescent="0.2">
      <c r="A117" s="56" t="s">
        <v>103</v>
      </c>
      <c r="B117" s="57">
        <v>40201140</v>
      </c>
      <c r="C117" s="52"/>
      <c r="D117" s="51"/>
      <c r="E117" s="97">
        <f t="shared" si="2"/>
        <v>0</v>
      </c>
    </row>
    <row r="118" spans="1:5" ht="14.25" x14ac:dyDescent="0.2">
      <c r="A118" s="56" t="s">
        <v>104</v>
      </c>
      <c r="B118" s="57">
        <v>40201160</v>
      </c>
      <c r="C118" s="52"/>
      <c r="D118" s="51"/>
      <c r="E118" s="97">
        <f t="shared" si="2"/>
        <v>0</v>
      </c>
    </row>
    <row r="119" spans="1:5" ht="14.25" x14ac:dyDescent="0.2">
      <c r="A119" s="56" t="s">
        <v>127</v>
      </c>
      <c r="B119" s="57">
        <v>40201980</v>
      </c>
      <c r="C119" s="52"/>
      <c r="D119" s="51"/>
      <c r="E119" s="97">
        <f t="shared" si="2"/>
        <v>0</v>
      </c>
    </row>
    <row r="120" spans="1:5" ht="14.25" x14ac:dyDescent="0.2">
      <c r="A120" s="56" t="s">
        <v>44</v>
      </c>
      <c r="B120" s="57">
        <v>40201990</v>
      </c>
      <c r="C120" s="52"/>
      <c r="D120" s="51"/>
      <c r="E120" s="97">
        <f t="shared" si="2"/>
        <v>0</v>
      </c>
    </row>
    <row r="121" spans="1:5" ht="14.25" x14ac:dyDescent="0.2">
      <c r="A121" s="56" t="s">
        <v>45</v>
      </c>
      <c r="B121" s="57">
        <v>40202050</v>
      </c>
      <c r="C121" s="52"/>
      <c r="D121" s="51"/>
      <c r="E121" s="97">
        <f t="shared" si="2"/>
        <v>0</v>
      </c>
    </row>
    <row r="122" spans="1:5" ht="14.25" x14ac:dyDescent="0.2">
      <c r="A122" s="56" t="s">
        <v>105</v>
      </c>
      <c r="B122" s="57">
        <v>40202140</v>
      </c>
      <c r="C122" s="52"/>
      <c r="D122" s="51"/>
      <c r="E122" s="97">
        <f t="shared" si="2"/>
        <v>0</v>
      </c>
    </row>
    <row r="123" spans="1:5" ht="14.25" x14ac:dyDescent="0.2">
      <c r="A123" s="56" t="s">
        <v>106</v>
      </c>
      <c r="B123" s="57">
        <v>40202150</v>
      </c>
      <c r="C123" s="52"/>
      <c r="D123" s="51"/>
      <c r="E123" s="97">
        <f t="shared" si="2"/>
        <v>0</v>
      </c>
    </row>
    <row r="124" spans="1:5" ht="14.25" x14ac:dyDescent="0.2">
      <c r="A124" s="56" t="s">
        <v>107</v>
      </c>
      <c r="B124" s="57">
        <v>40202160</v>
      </c>
      <c r="C124" s="52"/>
      <c r="D124" s="51"/>
      <c r="E124" s="97">
        <f t="shared" si="2"/>
        <v>0</v>
      </c>
    </row>
    <row r="125" spans="1:5" ht="14.25" x14ac:dyDescent="0.2">
      <c r="A125" s="56" t="s">
        <v>42</v>
      </c>
      <c r="B125" s="57">
        <v>40202190</v>
      </c>
      <c r="C125" s="52"/>
      <c r="D125" s="51"/>
      <c r="E125" s="97">
        <f t="shared" si="2"/>
        <v>0</v>
      </c>
    </row>
    <row r="126" spans="1:5" ht="14.25" x14ac:dyDescent="0.2">
      <c r="A126" s="56" t="s">
        <v>131</v>
      </c>
      <c r="B126" s="57">
        <v>40202220</v>
      </c>
      <c r="C126" s="52"/>
      <c r="D126" s="51"/>
      <c r="E126" s="97">
        <f t="shared" si="2"/>
        <v>0</v>
      </c>
    </row>
    <row r="127" spans="1:5" ht="14.25" x14ac:dyDescent="0.2">
      <c r="A127" s="56" t="s">
        <v>222</v>
      </c>
      <c r="B127" s="57">
        <v>40202980</v>
      </c>
      <c r="C127" s="52"/>
      <c r="D127" s="51"/>
      <c r="E127" s="97">
        <f t="shared" si="2"/>
        <v>0</v>
      </c>
    </row>
    <row r="128" spans="1:5" ht="14.25" x14ac:dyDescent="0.2">
      <c r="A128" s="56" t="s">
        <v>129</v>
      </c>
      <c r="B128" s="57">
        <v>40202990</v>
      </c>
      <c r="C128" s="52"/>
      <c r="D128" s="51"/>
      <c r="E128" s="97">
        <f t="shared" si="2"/>
        <v>0</v>
      </c>
    </row>
    <row r="129" spans="1:5" ht="14.25" x14ac:dyDescent="0.2">
      <c r="A129" s="56" t="s">
        <v>212</v>
      </c>
      <c r="B129" s="57">
        <v>40301010</v>
      </c>
      <c r="C129" s="52"/>
      <c r="D129" s="51"/>
      <c r="E129" s="97">
        <f t="shared" si="2"/>
        <v>0</v>
      </c>
    </row>
    <row r="130" spans="1:5" ht="14.25" x14ac:dyDescent="0.2">
      <c r="A130" s="56" t="s">
        <v>217</v>
      </c>
      <c r="B130" s="57">
        <v>40302010</v>
      </c>
      <c r="C130" s="52"/>
      <c r="D130" s="51"/>
      <c r="E130" s="97">
        <f t="shared" si="2"/>
        <v>0</v>
      </c>
    </row>
    <row r="131" spans="1:5" ht="14.25" x14ac:dyDescent="0.2">
      <c r="A131" s="56" t="s">
        <v>108</v>
      </c>
      <c r="B131" s="57">
        <v>40401020</v>
      </c>
      <c r="C131" s="52"/>
      <c r="D131" s="51"/>
      <c r="E131" s="97">
        <f t="shared" si="2"/>
        <v>0</v>
      </c>
    </row>
    <row r="132" spans="1:5" ht="14.25" x14ac:dyDescent="0.2">
      <c r="A132" s="56" t="s">
        <v>187</v>
      </c>
      <c r="B132" s="57">
        <v>40402010</v>
      </c>
      <c r="C132" s="52"/>
      <c r="D132" s="51"/>
      <c r="E132" s="97">
        <f t="shared" si="2"/>
        <v>0</v>
      </c>
    </row>
    <row r="133" spans="1:5" ht="14.25" x14ac:dyDescent="0.2">
      <c r="A133" s="56" t="s">
        <v>227</v>
      </c>
      <c r="B133" s="57">
        <v>40402020</v>
      </c>
      <c r="C133" s="52"/>
      <c r="D133" s="51"/>
      <c r="E133" s="97">
        <f t="shared" si="2"/>
        <v>0</v>
      </c>
    </row>
    <row r="134" spans="1:5" ht="14.25" x14ac:dyDescent="0.2">
      <c r="A134" s="56" t="s">
        <v>213</v>
      </c>
      <c r="B134" s="57">
        <v>40601010</v>
      </c>
      <c r="C134" s="52"/>
      <c r="D134" s="51"/>
      <c r="E134" s="97">
        <f t="shared" si="2"/>
        <v>0</v>
      </c>
    </row>
    <row r="135" spans="1:5" ht="14.25" x14ac:dyDescent="0.2">
      <c r="A135" s="56" t="s">
        <v>109</v>
      </c>
      <c r="B135" s="57">
        <v>50101010</v>
      </c>
      <c r="C135" s="51"/>
      <c r="D135" s="51"/>
      <c r="E135" s="97">
        <f>C135-D135</f>
        <v>0</v>
      </c>
    </row>
    <row r="136" spans="1:5" ht="14.25" x14ac:dyDescent="0.2">
      <c r="A136" s="56" t="s">
        <v>110</v>
      </c>
      <c r="B136" s="57">
        <v>50101020</v>
      </c>
      <c r="C136" s="51"/>
      <c r="D136" s="51"/>
      <c r="E136" s="97">
        <f t="shared" ref="E136:E199" si="3">C136-D136</f>
        <v>0</v>
      </c>
    </row>
    <row r="137" spans="1:5" ht="14.25" x14ac:dyDescent="0.2">
      <c r="A137" s="56" t="s">
        <v>57</v>
      </c>
      <c r="B137" s="57">
        <v>50102010</v>
      </c>
      <c r="C137" s="51"/>
      <c r="D137" s="51"/>
      <c r="E137" s="97">
        <f t="shared" si="3"/>
        <v>0</v>
      </c>
    </row>
    <row r="138" spans="1:5" ht="14.25" x14ac:dyDescent="0.2">
      <c r="A138" s="56" t="s">
        <v>111</v>
      </c>
      <c r="B138" s="57">
        <v>50102020</v>
      </c>
      <c r="C138" s="51"/>
      <c r="D138" s="51"/>
      <c r="E138" s="97">
        <f t="shared" si="3"/>
        <v>0</v>
      </c>
    </row>
    <row r="139" spans="1:5" ht="14.25" x14ac:dyDescent="0.2">
      <c r="A139" s="56" t="s">
        <v>112</v>
      </c>
      <c r="B139" s="57">
        <v>50102030</v>
      </c>
      <c r="C139" s="51"/>
      <c r="D139" s="51"/>
      <c r="E139" s="97">
        <f t="shared" si="3"/>
        <v>0</v>
      </c>
    </row>
    <row r="140" spans="1:5" ht="14.25" x14ac:dyDescent="0.2">
      <c r="A140" s="56" t="s">
        <v>58</v>
      </c>
      <c r="B140" s="57">
        <v>50102040</v>
      </c>
      <c r="C140" s="51"/>
      <c r="D140" s="51"/>
      <c r="E140" s="97">
        <f t="shared" si="3"/>
        <v>0</v>
      </c>
    </row>
    <row r="141" spans="1:5" ht="14.25" x14ac:dyDescent="0.2">
      <c r="A141" s="56" t="s">
        <v>113</v>
      </c>
      <c r="B141" s="57">
        <v>50102050</v>
      </c>
      <c r="C141" s="51"/>
      <c r="D141" s="51"/>
      <c r="E141" s="97">
        <f t="shared" si="3"/>
        <v>0</v>
      </c>
    </row>
    <row r="142" spans="1:5" ht="14.25" x14ac:dyDescent="0.2">
      <c r="A142" s="56" t="s">
        <v>114</v>
      </c>
      <c r="B142" s="57">
        <v>50102060</v>
      </c>
      <c r="C142" s="51"/>
      <c r="D142" s="51"/>
      <c r="E142" s="97">
        <f t="shared" si="3"/>
        <v>0</v>
      </c>
    </row>
    <row r="143" spans="1:5" ht="14.25" x14ac:dyDescent="0.2">
      <c r="A143" s="56" t="s">
        <v>20</v>
      </c>
      <c r="B143" s="57">
        <v>50102100</v>
      </c>
      <c r="C143" s="51"/>
      <c r="D143" s="51"/>
      <c r="E143" s="97">
        <f t="shared" si="3"/>
        <v>0</v>
      </c>
    </row>
    <row r="144" spans="1:5" ht="14.25" x14ac:dyDescent="0.2">
      <c r="A144" s="56" t="s">
        <v>21</v>
      </c>
      <c r="B144" s="57">
        <v>50102110</v>
      </c>
      <c r="C144" s="51"/>
      <c r="D144" s="51"/>
      <c r="E144" s="97">
        <f t="shared" si="3"/>
        <v>0</v>
      </c>
    </row>
    <row r="145" spans="1:5" ht="14.25" x14ac:dyDescent="0.2">
      <c r="A145" s="56" t="s">
        <v>140</v>
      </c>
      <c r="B145" s="57">
        <v>50102130</v>
      </c>
      <c r="C145" s="51"/>
      <c r="D145" s="51"/>
      <c r="E145" s="97">
        <f t="shared" si="3"/>
        <v>0</v>
      </c>
    </row>
    <row r="146" spans="1:5" ht="14.25" x14ac:dyDescent="0.2">
      <c r="A146" s="56" t="s">
        <v>141</v>
      </c>
      <c r="B146" s="57">
        <v>50102140</v>
      </c>
      <c r="C146" s="51"/>
      <c r="D146" s="51"/>
      <c r="E146" s="97">
        <f t="shared" si="3"/>
        <v>0</v>
      </c>
    </row>
    <row r="147" spans="1:5" ht="14.25" x14ac:dyDescent="0.2">
      <c r="A147" s="56" t="s">
        <v>142</v>
      </c>
      <c r="B147" s="57">
        <v>50102150</v>
      </c>
      <c r="C147" s="51"/>
      <c r="D147" s="51"/>
      <c r="E147" s="97">
        <f t="shared" si="3"/>
        <v>0</v>
      </c>
    </row>
    <row r="148" spans="1:5" ht="14.25" x14ac:dyDescent="0.2">
      <c r="A148" s="56" t="s">
        <v>143</v>
      </c>
      <c r="B148" s="57">
        <v>50102990</v>
      </c>
      <c r="C148" s="51"/>
      <c r="D148" s="51"/>
      <c r="E148" s="97">
        <f t="shared" si="3"/>
        <v>0</v>
      </c>
    </row>
    <row r="149" spans="1:5" ht="14.25" x14ac:dyDescent="0.2">
      <c r="A149" s="56" t="s">
        <v>115</v>
      </c>
      <c r="B149" s="57">
        <v>50103010</v>
      </c>
      <c r="C149" s="51"/>
      <c r="D149" s="51"/>
      <c r="E149" s="97">
        <f t="shared" si="3"/>
        <v>0</v>
      </c>
    </row>
    <row r="150" spans="1:5" ht="14.25" x14ac:dyDescent="0.2">
      <c r="A150" s="56" t="s">
        <v>59</v>
      </c>
      <c r="B150" s="57">
        <v>50103020</v>
      </c>
      <c r="C150" s="51"/>
      <c r="D150" s="51"/>
      <c r="E150" s="97">
        <f t="shared" si="3"/>
        <v>0</v>
      </c>
    </row>
    <row r="151" spans="1:5" ht="14.25" x14ac:dyDescent="0.2">
      <c r="A151" s="56" t="s">
        <v>60</v>
      </c>
      <c r="B151" s="57">
        <v>50103030</v>
      </c>
      <c r="C151" s="51"/>
      <c r="D151" s="51"/>
      <c r="E151" s="97">
        <f t="shared" si="3"/>
        <v>0</v>
      </c>
    </row>
    <row r="152" spans="1:5" ht="14.25" x14ac:dyDescent="0.2">
      <c r="A152" s="56" t="s">
        <v>116</v>
      </c>
      <c r="B152" s="57">
        <v>50103040</v>
      </c>
      <c r="C152" s="51"/>
      <c r="D152" s="51"/>
      <c r="E152" s="97">
        <f t="shared" si="3"/>
        <v>0</v>
      </c>
    </row>
    <row r="153" spans="1:5" ht="14.25" x14ac:dyDescent="0.2">
      <c r="A153" s="56" t="s">
        <v>46</v>
      </c>
      <c r="B153" s="57">
        <v>50104030</v>
      </c>
      <c r="C153" s="51"/>
      <c r="D153" s="51"/>
      <c r="E153" s="97">
        <f t="shared" si="3"/>
        <v>0</v>
      </c>
    </row>
    <row r="154" spans="1:5" ht="14.25" x14ac:dyDescent="0.2">
      <c r="A154" s="56" t="s">
        <v>203</v>
      </c>
      <c r="B154" s="57">
        <v>50104990</v>
      </c>
      <c r="C154" s="51"/>
      <c r="D154" s="51"/>
      <c r="E154" s="97">
        <f t="shared" si="3"/>
        <v>0</v>
      </c>
    </row>
    <row r="155" spans="1:5" ht="14.25" x14ac:dyDescent="0.2">
      <c r="A155" s="56" t="s">
        <v>117</v>
      </c>
      <c r="B155" s="57">
        <v>50201010</v>
      </c>
      <c r="C155" s="51"/>
      <c r="D155" s="51"/>
      <c r="E155" s="97">
        <f t="shared" si="3"/>
        <v>0</v>
      </c>
    </row>
    <row r="156" spans="1:5" ht="14.25" x14ac:dyDescent="0.2">
      <c r="A156" s="56" t="s">
        <v>47</v>
      </c>
      <c r="B156" s="57">
        <v>50202010</v>
      </c>
      <c r="C156" s="51"/>
      <c r="D156" s="51"/>
      <c r="E156" s="97">
        <f t="shared" si="3"/>
        <v>0</v>
      </c>
    </row>
    <row r="157" spans="1:5" ht="14.25" x14ac:dyDescent="0.2">
      <c r="A157" s="56" t="s">
        <v>23</v>
      </c>
      <c r="B157" s="57">
        <v>50203010</v>
      </c>
      <c r="C157" s="51"/>
      <c r="D157" s="51"/>
      <c r="E157" s="97">
        <f t="shared" si="3"/>
        <v>0</v>
      </c>
    </row>
    <row r="158" spans="1:5" ht="14.25" x14ac:dyDescent="0.2">
      <c r="A158" s="56" t="s">
        <v>48</v>
      </c>
      <c r="B158" s="57">
        <v>50203020</v>
      </c>
      <c r="C158" s="51"/>
      <c r="D158" s="51"/>
      <c r="E158" s="97">
        <f t="shared" si="3"/>
        <v>0</v>
      </c>
    </row>
    <row r="159" spans="1:5" ht="14.25" x14ac:dyDescent="0.2">
      <c r="A159" s="56" t="s">
        <v>206</v>
      </c>
      <c r="B159" s="57">
        <v>50203030</v>
      </c>
      <c r="C159" s="51"/>
      <c r="D159" s="51"/>
      <c r="E159" s="97">
        <f t="shared" si="3"/>
        <v>0</v>
      </c>
    </row>
    <row r="160" spans="1:5" ht="14.25" x14ac:dyDescent="0.2">
      <c r="A160" s="56" t="s">
        <v>198</v>
      </c>
      <c r="B160" s="57">
        <v>50203040</v>
      </c>
      <c r="C160" s="51"/>
      <c r="D160" s="51"/>
      <c r="E160" s="97">
        <f t="shared" si="3"/>
        <v>0</v>
      </c>
    </row>
    <row r="161" spans="1:5" ht="14.25" x14ac:dyDescent="0.2">
      <c r="A161" s="56" t="s">
        <v>201</v>
      </c>
      <c r="B161" s="57">
        <v>50203050</v>
      </c>
      <c r="C161" s="51"/>
      <c r="D161" s="51"/>
      <c r="E161" s="97">
        <f t="shared" si="3"/>
        <v>0</v>
      </c>
    </row>
    <row r="162" spans="1:5" ht="14.25" x14ac:dyDescent="0.2">
      <c r="A162" s="56" t="s">
        <v>144</v>
      </c>
      <c r="B162" s="57">
        <v>50203060</v>
      </c>
      <c r="C162" s="51"/>
      <c r="D162" s="51"/>
      <c r="E162" s="97">
        <f t="shared" si="3"/>
        <v>0</v>
      </c>
    </row>
    <row r="163" spans="1:5" ht="14.25" x14ac:dyDescent="0.2">
      <c r="A163" s="56" t="s">
        <v>145</v>
      </c>
      <c r="B163" s="57">
        <v>50203070</v>
      </c>
      <c r="C163" s="51"/>
      <c r="D163" s="51"/>
      <c r="E163" s="97">
        <f t="shared" si="3"/>
        <v>0</v>
      </c>
    </row>
    <row r="164" spans="1:5" ht="14.25" x14ac:dyDescent="0.2">
      <c r="A164" s="56" t="s">
        <v>146</v>
      </c>
      <c r="B164" s="57">
        <v>50203080</v>
      </c>
      <c r="C164" s="51"/>
      <c r="D164" s="51"/>
      <c r="E164" s="97">
        <f t="shared" si="3"/>
        <v>0</v>
      </c>
    </row>
    <row r="165" spans="1:5" ht="14.25" x14ac:dyDescent="0.2">
      <c r="A165" s="56" t="s">
        <v>118</v>
      </c>
      <c r="B165" s="57">
        <v>50203090</v>
      </c>
      <c r="C165" s="51"/>
      <c r="D165" s="51"/>
      <c r="E165" s="97">
        <f t="shared" si="3"/>
        <v>0</v>
      </c>
    </row>
    <row r="166" spans="1:5" ht="14.25" x14ac:dyDescent="0.2">
      <c r="A166" s="56" t="s">
        <v>147</v>
      </c>
      <c r="B166" s="57">
        <v>50203100</v>
      </c>
      <c r="C166" s="51"/>
      <c r="D166" s="51"/>
      <c r="E166" s="97">
        <f t="shared" si="3"/>
        <v>0</v>
      </c>
    </row>
    <row r="167" spans="1:5" ht="14.25" x14ac:dyDescent="0.2">
      <c r="A167" s="56" t="s">
        <v>119</v>
      </c>
      <c r="B167" s="57">
        <v>50203990</v>
      </c>
      <c r="C167" s="51"/>
      <c r="D167" s="51"/>
      <c r="E167" s="97">
        <f t="shared" si="3"/>
        <v>0</v>
      </c>
    </row>
    <row r="168" spans="1:5" ht="14.25" x14ac:dyDescent="0.2">
      <c r="A168" s="56" t="s">
        <v>25</v>
      </c>
      <c r="B168" s="57">
        <v>50204010</v>
      </c>
      <c r="C168" s="51"/>
      <c r="D168" s="51"/>
      <c r="E168" s="97">
        <f t="shared" si="3"/>
        <v>0</v>
      </c>
    </row>
    <row r="169" spans="1:5" ht="14.25" x14ac:dyDescent="0.2">
      <c r="A169" s="14" t="s">
        <v>26</v>
      </c>
      <c r="B169" s="15">
        <v>50204020</v>
      </c>
      <c r="C169" s="51"/>
      <c r="D169" s="51"/>
      <c r="E169" s="97">
        <f t="shared" si="3"/>
        <v>0</v>
      </c>
    </row>
    <row r="170" spans="1:5" ht="14.25" x14ac:dyDescent="0.2">
      <c r="A170" s="14" t="s">
        <v>167</v>
      </c>
      <c r="B170" s="15">
        <v>50205010</v>
      </c>
      <c r="C170" s="51"/>
      <c r="D170" s="51"/>
      <c r="E170" s="97">
        <f t="shared" si="3"/>
        <v>0</v>
      </c>
    </row>
    <row r="171" spans="1:5" ht="14.25" x14ac:dyDescent="0.2">
      <c r="A171" s="14" t="s">
        <v>151</v>
      </c>
      <c r="B171" s="15">
        <v>50205020</v>
      </c>
      <c r="C171" s="51"/>
      <c r="D171" s="51"/>
      <c r="E171" s="97">
        <f t="shared" si="3"/>
        <v>0</v>
      </c>
    </row>
    <row r="172" spans="1:5" ht="14.25" x14ac:dyDescent="0.2">
      <c r="A172" s="14" t="s">
        <v>148</v>
      </c>
      <c r="B172" s="15">
        <v>50205030</v>
      </c>
      <c r="C172" s="51"/>
      <c r="D172" s="51"/>
      <c r="E172" s="97">
        <f t="shared" si="3"/>
        <v>0</v>
      </c>
    </row>
    <row r="173" spans="1:5" ht="14.25" x14ac:dyDescent="0.2">
      <c r="A173" s="14" t="s">
        <v>194</v>
      </c>
      <c r="B173" s="15">
        <v>50206010</v>
      </c>
      <c r="C173" s="51"/>
      <c r="D173" s="51"/>
      <c r="E173" s="97">
        <f t="shared" si="3"/>
        <v>0</v>
      </c>
    </row>
    <row r="174" spans="1:5" ht="14.25" x14ac:dyDescent="0.2">
      <c r="A174" s="14" t="s">
        <v>199</v>
      </c>
      <c r="B174" s="15">
        <v>50206020</v>
      </c>
      <c r="C174" s="51"/>
      <c r="D174" s="51"/>
      <c r="E174" s="97">
        <f t="shared" si="3"/>
        <v>0</v>
      </c>
    </row>
    <row r="175" spans="1:5" ht="14.25" x14ac:dyDescent="0.2">
      <c r="A175" s="14" t="s">
        <v>215</v>
      </c>
      <c r="B175" s="15">
        <v>50207010</v>
      </c>
      <c r="C175" s="51"/>
      <c r="D175" s="51"/>
      <c r="E175" s="97">
        <f t="shared" si="3"/>
        <v>0</v>
      </c>
    </row>
    <row r="176" spans="1:5" ht="14.25" x14ac:dyDescent="0.2">
      <c r="A176" s="14" t="s">
        <v>185</v>
      </c>
      <c r="B176" s="15">
        <v>50207020</v>
      </c>
      <c r="C176" s="51"/>
      <c r="D176" s="51"/>
      <c r="E176" s="97">
        <f t="shared" si="3"/>
        <v>0</v>
      </c>
    </row>
    <row r="177" spans="1:5" ht="14.25" x14ac:dyDescent="0.2">
      <c r="A177" s="14" t="s">
        <v>149</v>
      </c>
      <c r="B177" s="15">
        <v>50210030</v>
      </c>
      <c r="C177" s="51"/>
      <c r="D177" s="51"/>
      <c r="E177" s="97">
        <f t="shared" si="3"/>
        <v>0</v>
      </c>
    </row>
    <row r="178" spans="1:5" ht="14.25" x14ac:dyDescent="0.2">
      <c r="A178" s="14" t="s">
        <v>150</v>
      </c>
      <c r="B178" s="15">
        <v>50211010</v>
      </c>
      <c r="C178" s="51"/>
      <c r="D178" s="51"/>
      <c r="E178" s="97">
        <f t="shared" si="3"/>
        <v>0</v>
      </c>
    </row>
    <row r="179" spans="1:5" ht="14.25" x14ac:dyDescent="0.2">
      <c r="A179" s="14" t="s">
        <v>66</v>
      </c>
      <c r="B179" s="15">
        <v>50211020</v>
      </c>
      <c r="C179" s="51"/>
      <c r="D179" s="51"/>
      <c r="E179" s="97">
        <f t="shared" si="3"/>
        <v>0</v>
      </c>
    </row>
    <row r="180" spans="1:5" ht="14.25" x14ac:dyDescent="0.2">
      <c r="A180" s="14" t="s">
        <v>27</v>
      </c>
      <c r="B180" s="15">
        <v>50211030</v>
      </c>
      <c r="C180" s="51"/>
      <c r="D180" s="51"/>
      <c r="E180" s="97">
        <f t="shared" si="3"/>
        <v>0</v>
      </c>
    </row>
    <row r="181" spans="1:5" ht="14.25" x14ac:dyDescent="0.2">
      <c r="A181" s="14" t="s">
        <v>63</v>
      </c>
      <c r="B181" s="15">
        <v>50211990</v>
      </c>
      <c r="C181" s="51"/>
      <c r="D181" s="51"/>
      <c r="E181" s="97">
        <f t="shared" si="3"/>
        <v>0</v>
      </c>
    </row>
    <row r="182" spans="1:5" ht="14.25" x14ac:dyDescent="0.2">
      <c r="A182" s="14" t="s">
        <v>216</v>
      </c>
      <c r="B182" s="15">
        <v>50212030</v>
      </c>
      <c r="C182" s="51"/>
      <c r="D182" s="51"/>
      <c r="E182" s="97">
        <f t="shared" si="3"/>
        <v>0</v>
      </c>
    </row>
    <row r="183" spans="1:5" ht="14.25" x14ac:dyDescent="0.2">
      <c r="A183" s="14" t="s">
        <v>202</v>
      </c>
      <c r="B183" s="15">
        <v>50212990</v>
      </c>
      <c r="C183" s="51"/>
      <c r="D183" s="51"/>
      <c r="E183" s="97">
        <f t="shared" si="3"/>
        <v>0</v>
      </c>
    </row>
    <row r="184" spans="1:5" ht="14.25" x14ac:dyDescent="0.2">
      <c r="A184" s="14" t="s">
        <v>224</v>
      </c>
      <c r="B184" s="15">
        <v>50213020</v>
      </c>
      <c r="C184" s="51"/>
      <c r="D184" s="51"/>
      <c r="E184" s="97">
        <f t="shared" si="3"/>
        <v>0</v>
      </c>
    </row>
    <row r="185" spans="1:5" ht="14.25" x14ac:dyDescent="0.2">
      <c r="A185" s="14" t="s">
        <v>186</v>
      </c>
      <c r="B185" s="15">
        <v>50213030</v>
      </c>
      <c r="C185" s="51"/>
      <c r="D185" s="16"/>
      <c r="E185" s="97">
        <f t="shared" si="3"/>
        <v>0</v>
      </c>
    </row>
    <row r="186" spans="1:5" ht="14.25" x14ac:dyDescent="0.2">
      <c r="A186" s="14" t="s">
        <v>120</v>
      </c>
      <c r="B186" s="15">
        <v>50213040</v>
      </c>
      <c r="C186" s="51"/>
      <c r="D186" s="16"/>
      <c r="E186" s="97">
        <f t="shared" si="3"/>
        <v>0</v>
      </c>
    </row>
    <row r="187" spans="1:5" ht="14.25" x14ac:dyDescent="0.2">
      <c r="A187" s="14" t="s">
        <v>121</v>
      </c>
      <c r="B187" s="15">
        <v>50213050</v>
      </c>
      <c r="C187" s="51"/>
      <c r="D187" s="16"/>
      <c r="E187" s="97">
        <f t="shared" si="3"/>
        <v>0</v>
      </c>
    </row>
    <row r="188" spans="1:5" ht="14.25" x14ac:dyDescent="0.2">
      <c r="A188" s="14" t="s">
        <v>122</v>
      </c>
      <c r="B188" s="15">
        <v>50213060</v>
      </c>
      <c r="C188" s="51"/>
      <c r="D188" s="16"/>
      <c r="E188" s="97">
        <f t="shared" si="3"/>
        <v>0</v>
      </c>
    </row>
    <row r="189" spans="1:5" ht="14.25" x14ac:dyDescent="0.2">
      <c r="A189" s="14" t="s">
        <v>152</v>
      </c>
      <c r="B189" s="15">
        <v>50213070</v>
      </c>
      <c r="C189" s="51"/>
      <c r="D189" s="16"/>
      <c r="E189" s="97">
        <f t="shared" si="3"/>
        <v>0</v>
      </c>
    </row>
    <row r="190" spans="1:5" ht="14.25" x14ac:dyDescent="0.2">
      <c r="A190" s="14" t="s">
        <v>170</v>
      </c>
      <c r="B190" s="15">
        <v>50213990</v>
      </c>
      <c r="C190" s="51"/>
      <c r="D190" s="16"/>
      <c r="E190" s="97">
        <f t="shared" si="3"/>
        <v>0</v>
      </c>
    </row>
    <row r="191" spans="1:5" ht="14.25" x14ac:dyDescent="0.2">
      <c r="A191" s="14" t="s">
        <v>153</v>
      </c>
      <c r="B191" s="15">
        <v>50214030</v>
      </c>
      <c r="C191" s="51"/>
      <c r="D191" s="16"/>
      <c r="E191" s="97">
        <f t="shared" si="3"/>
        <v>0</v>
      </c>
    </row>
    <row r="192" spans="1:5" ht="14.25" x14ac:dyDescent="0.2">
      <c r="A192" s="14" t="s">
        <v>220</v>
      </c>
      <c r="B192" s="15">
        <v>50214060</v>
      </c>
      <c r="C192" s="51"/>
      <c r="D192" s="16"/>
      <c r="E192" s="97">
        <f t="shared" si="3"/>
        <v>0</v>
      </c>
    </row>
    <row r="193" spans="1:5" ht="14.25" x14ac:dyDescent="0.2">
      <c r="A193" s="14" t="s">
        <v>211</v>
      </c>
      <c r="B193" s="15">
        <v>50215020</v>
      </c>
      <c r="C193" s="51"/>
      <c r="D193" s="16"/>
      <c r="E193" s="97">
        <f t="shared" si="3"/>
        <v>0</v>
      </c>
    </row>
    <row r="194" spans="1:5" ht="14.25" x14ac:dyDescent="0.2">
      <c r="A194" s="14" t="s">
        <v>154</v>
      </c>
      <c r="B194" s="15">
        <v>50216010</v>
      </c>
      <c r="C194" s="51"/>
      <c r="D194" s="16"/>
      <c r="E194" s="97">
        <f t="shared" si="3"/>
        <v>0</v>
      </c>
    </row>
    <row r="195" spans="1:5" ht="14.25" x14ac:dyDescent="0.2">
      <c r="A195" s="14" t="s">
        <v>155</v>
      </c>
      <c r="B195" s="15">
        <v>50216020</v>
      </c>
      <c r="C195" s="51"/>
      <c r="D195" s="16"/>
      <c r="E195" s="97">
        <f t="shared" si="3"/>
        <v>0</v>
      </c>
    </row>
    <row r="196" spans="1:5" ht="14.25" x14ac:dyDescent="0.2">
      <c r="A196" s="14" t="s">
        <v>156</v>
      </c>
      <c r="B196" s="15">
        <v>50216030</v>
      </c>
      <c r="C196" s="51"/>
      <c r="D196" s="16"/>
      <c r="E196" s="97">
        <f t="shared" si="3"/>
        <v>0</v>
      </c>
    </row>
    <row r="197" spans="1:5" ht="14.25" x14ac:dyDescent="0.2">
      <c r="A197" s="14" t="s">
        <v>157</v>
      </c>
      <c r="B197" s="15">
        <v>50299010</v>
      </c>
      <c r="C197" s="51"/>
      <c r="D197" s="16"/>
      <c r="E197" s="97">
        <f t="shared" si="3"/>
        <v>0</v>
      </c>
    </row>
    <row r="198" spans="1:5" ht="14.25" x14ac:dyDescent="0.2">
      <c r="A198" s="14" t="s">
        <v>158</v>
      </c>
      <c r="B198" s="15">
        <v>50299020</v>
      </c>
      <c r="C198" s="51"/>
      <c r="D198" s="16"/>
      <c r="E198" s="97">
        <f t="shared" si="3"/>
        <v>0</v>
      </c>
    </row>
    <row r="199" spans="1:5" ht="14.25" x14ac:dyDescent="0.2">
      <c r="A199" s="14" t="s">
        <v>24</v>
      </c>
      <c r="B199" s="15">
        <v>50299030</v>
      </c>
      <c r="C199" s="51"/>
      <c r="D199" s="16"/>
      <c r="E199" s="97">
        <f t="shared" si="3"/>
        <v>0</v>
      </c>
    </row>
    <row r="200" spans="1:5" ht="14.25" x14ac:dyDescent="0.2">
      <c r="A200" s="14" t="s">
        <v>159</v>
      </c>
      <c r="B200" s="15">
        <v>50299050</v>
      </c>
      <c r="C200" s="51"/>
      <c r="D200" s="16"/>
      <c r="E200" s="97">
        <f t="shared" ref="E200:E209" si="4">C200-D200</f>
        <v>0</v>
      </c>
    </row>
    <row r="201" spans="1:5" ht="14.25" x14ac:dyDescent="0.2">
      <c r="A201" s="14" t="s">
        <v>160</v>
      </c>
      <c r="B201" s="15">
        <v>50299060</v>
      </c>
      <c r="C201" s="51"/>
      <c r="D201" s="16"/>
      <c r="E201" s="97">
        <f t="shared" si="4"/>
        <v>0</v>
      </c>
    </row>
    <row r="202" spans="1:5" ht="14.25" x14ac:dyDescent="0.2">
      <c r="A202" s="14" t="s">
        <v>28</v>
      </c>
      <c r="B202" s="15">
        <v>50299080</v>
      </c>
      <c r="C202" s="51"/>
      <c r="D202" s="16"/>
      <c r="E202" s="97">
        <f t="shared" si="4"/>
        <v>0</v>
      </c>
    </row>
    <row r="203" spans="1:5" ht="14.25" x14ac:dyDescent="0.2">
      <c r="A203" s="14" t="s">
        <v>168</v>
      </c>
      <c r="B203" s="15">
        <v>50299990</v>
      </c>
      <c r="C203" s="51"/>
      <c r="D203" s="16"/>
      <c r="E203" s="97">
        <f t="shared" si="4"/>
        <v>0</v>
      </c>
    </row>
    <row r="204" spans="1:5" ht="14.25" x14ac:dyDescent="0.2">
      <c r="A204" s="14" t="s">
        <v>161</v>
      </c>
      <c r="B204" s="15">
        <v>50301990</v>
      </c>
      <c r="C204" s="51"/>
      <c r="D204" s="16"/>
      <c r="E204" s="97">
        <f t="shared" si="4"/>
        <v>0</v>
      </c>
    </row>
    <row r="205" spans="1:5" ht="14.25" x14ac:dyDescent="0.2">
      <c r="A205" s="14" t="s">
        <v>191</v>
      </c>
      <c r="B205" s="15">
        <v>50501030</v>
      </c>
      <c r="C205" s="51"/>
      <c r="D205" s="16"/>
      <c r="E205" s="97">
        <f t="shared" si="4"/>
        <v>0</v>
      </c>
    </row>
    <row r="206" spans="1:5" ht="14.25" x14ac:dyDescent="0.2">
      <c r="A206" s="14" t="s">
        <v>162</v>
      </c>
      <c r="B206" s="15">
        <v>50501050</v>
      </c>
      <c r="C206" s="51"/>
      <c r="D206" s="16"/>
      <c r="E206" s="97">
        <f t="shared" si="4"/>
        <v>0</v>
      </c>
    </row>
    <row r="207" spans="1:5" ht="14.25" x14ac:dyDescent="0.2">
      <c r="A207" s="14" t="s">
        <v>163</v>
      </c>
      <c r="B207" s="15">
        <v>50501060</v>
      </c>
      <c r="C207" s="51"/>
      <c r="D207" s="16"/>
      <c r="E207" s="97">
        <f t="shared" si="4"/>
        <v>0</v>
      </c>
    </row>
    <row r="208" spans="1:5" ht="14.25" x14ac:dyDescent="0.2">
      <c r="A208" s="14" t="s">
        <v>164</v>
      </c>
      <c r="B208" s="15">
        <v>50501070</v>
      </c>
      <c r="C208" s="51"/>
      <c r="D208" s="16"/>
      <c r="E208" s="97">
        <f t="shared" si="4"/>
        <v>0</v>
      </c>
    </row>
    <row r="209" spans="1:5" ht="14.25" x14ac:dyDescent="0.2">
      <c r="A209" s="14" t="s">
        <v>165</v>
      </c>
      <c r="B209" s="15">
        <v>50501990</v>
      </c>
      <c r="C209" s="16"/>
      <c r="D209" s="16"/>
      <c r="E209" s="97">
        <f t="shared" si="4"/>
        <v>0</v>
      </c>
    </row>
    <row r="210" spans="1:5" ht="15" x14ac:dyDescent="0.2">
      <c r="A210" s="8"/>
      <c r="B210" s="9" t="s">
        <v>6</v>
      </c>
      <c r="C210" s="10">
        <f>SUM(C11:C209)</f>
        <v>0</v>
      </c>
      <c r="D210" s="10">
        <f>SUM(D11:D204)</f>
        <v>0</v>
      </c>
      <c r="E210" s="98"/>
    </row>
    <row r="211" spans="1:5" ht="14.25" x14ac:dyDescent="0.2">
      <c r="A211" s="11"/>
      <c r="B211" s="12"/>
      <c r="C211" s="43"/>
      <c r="D211" s="13"/>
      <c r="E211" s="99"/>
    </row>
    <row r="212" spans="1:5" ht="14.25" x14ac:dyDescent="0.2">
      <c r="A212" s="2" t="s">
        <v>64</v>
      </c>
      <c r="B212" s="219" t="s">
        <v>0</v>
      </c>
      <c r="C212" s="219"/>
      <c r="D212" s="219"/>
      <c r="E212" s="93"/>
    </row>
    <row r="213" spans="1:5" ht="14.25" x14ac:dyDescent="0.2">
      <c r="A213" s="2"/>
      <c r="B213" s="1"/>
      <c r="C213" s="44"/>
      <c r="D213" s="2"/>
      <c r="E213" s="2"/>
    </row>
    <row r="214" spans="1:5" ht="14.25" x14ac:dyDescent="0.2">
      <c r="A214" s="2"/>
      <c r="B214" s="1"/>
      <c r="C214" s="45"/>
      <c r="D214" s="2"/>
      <c r="E214" s="2"/>
    </row>
    <row r="215" spans="1:5" ht="15.75" x14ac:dyDescent="0.2">
      <c r="A215" s="111" t="s">
        <v>247</v>
      </c>
      <c r="B215" s="242" t="s">
        <v>200</v>
      </c>
      <c r="C215" s="242"/>
      <c r="D215" s="242"/>
      <c r="E215" s="91"/>
    </row>
    <row r="216" spans="1:5" ht="15.75" x14ac:dyDescent="0.2">
      <c r="A216" s="113" t="s">
        <v>246</v>
      </c>
      <c r="B216" s="237" t="s">
        <v>195</v>
      </c>
      <c r="C216" s="237"/>
      <c r="D216" s="237"/>
      <c r="E216" s="92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13:O13"/>
    <mergeCell ref="P13:Q13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78" zoomScaleNormal="78" workbookViewId="0">
      <selection activeCell="E11" sqref="E11"/>
    </sheetView>
  </sheetViews>
  <sheetFormatPr defaultRowHeight="15" x14ac:dyDescent="0.2"/>
  <cols>
    <col min="1" max="1" width="55.140625" style="115" customWidth="1"/>
    <col min="2" max="2" width="12.28515625" style="115" customWidth="1"/>
    <col min="3" max="3" width="17.28515625" style="115" customWidth="1"/>
    <col min="4" max="4" width="17" style="115" customWidth="1"/>
    <col min="5" max="5" width="18.7109375" style="115" customWidth="1"/>
    <col min="6" max="6" width="12.5703125" style="115" customWidth="1"/>
    <col min="7" max="7" width="9.7109375" style="115" customWidth="1"/>
    <col min="8" max="8" width="12.5703125" style="115" customWidth="1"/>
    <col min="9" max="10" width="10.85546875" style="115" customWidth="1"/>
    <col min="11" max="11" width="9.140625" style="115"/>
    <col min="12" max="12" width="10.28515625" style="115" customWidth="1"/>
    <col min="13" max="13" width="10.5703125" style="115" customWidth="1"/>
    <col min="14" max="16384" width="9.140625" style="115"/>
  </cols>
  <sheetData>
    <row r="1" spans="1:17" x14ac:dyDescent="0.2">
      <c r="A1" s="245" t="s">
        <v>2</v>
      </c>
      <c r="B1" s="245"/>
      <c r="C1" s="245"/>
      <c r="D1" s="245"/>
      <c r="E1" s="114"/>
    </row>
    <row r="2" spans="1:17" ht="15.75" x14ac:dyDescent="0.2">
      <c r="A2" s="246" t="s">
        <v>3</v>
      </c>
      <c r="B2" s="246"/>
      <c r="C2" s="246"/>
      <c r="D2" s="246"/>
      <c r="E2" s="116"/>
    </row>
    <row r="3" spans="1:17" x14ac:dyDescent="0.2">
      <c r="A3" s="245" t="s">
        <v>1</v>
      </c>
      <c r="B3" s="245"/>
      <c r="C3" s="245"/>
      <c r="D3" s="245"/>
      <c r="E3" s="114"/>
    </row>
    <row r="4" spans="1:17" x14ac:dyDescent="0.2">
      <c r="A4" s="117"/>
      <c r="B4" s="114"/>
      <c r="C4" s="118"/>
      <c r="D4" s="117"/>
      <c r="E4" s="117"/>
    </row>
    <row r="5" spans="1:17" ht="15.75" x14ac:dyDescent="0.2">
      <c r="A5" s="246" t="s">
        <v>7</v>
      </c>
      <c r="B5" s="246"/>
      <c r="C5" s="246"/>
      <c r="D5" s="246"/>
      <c r="E5" s="116"/>
    </row>
    <row r="6" spans="1:17" x14ac:dyDescent="0.2">
      <c r="A6" s="245" t="s">
        <v>254</v>
      </c>
      <c r="B6" s="245"/>
      <c r="C6" s="245"/>
      <c r="D6" s="245"/>
      <c r="E6" s="114"/>
    </row>
    <row r="7" spans="1:17" ht="16.5" thickBot="1" x14ac:dyDescent="0.25">
      <c r="A7" s="247" t="s">
        <v>259</v>
      </c>
      <c r="B7" s="247"/>
      <c r="C7" s="247"/>
      <c r="D7" s="247"/>
      <c r="E7" s="119"/>
    </row>
    <row r="8" spans="1:17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1" t="s">
        <v>235</v>
      </c>
      <c r="G8" s="121" t="s">
        <v>236</v>
      </c>
      <c r="H8" s="121" t="s">
        <v>237</v>
      </c>
      <c r="I8" s="122" t="s">
        <v>238</v>
      </c>
      <c r="J8" s="122" t="s">
        <v>239</v>
      </c>
      <c r="K8" s="121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7" ht="15.75" x14ac:dyDescent="0.2">
      <c r="A9" s="239"/>
      <c r="B9" s="239"/>
      <c r="C9" s="239"/>
      <c r="D9" s="239"/>
      <c r="E9" s="120"/>
    </row>
    <row r="10" spans="1:17" ht="16.5" thickBot="1" x14ac:dyDescent="0.25">
      <c r="A10" s="240"/>
      <c r="B10" s="240"/>
      <c r="C10" s="240"/>
      <c r="D10" s="240"/>
      <c r="E10" s="120"/>
    </row>
    <row r="11" spans="1:17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F11" s="127"/>
      <c r="G11" s="133"/>
      <c r="H11" s="135"/>
      <c r="I11" s="129"/>
      <c r="J11" s="129"/>
      <c r="K11" s="129"/>
      <c r="L11" s="129"/>
      <c r="M11" s="129"/>
      <c r="N11" s="243"/>
      <c r="O11" s="244"/>
      <c r="P11" s="258"/>
      <c r="Q11" s="259"/>
    </row>
    <row r="12" spans="1:17" x14ac:dyDescent="0.2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52"/>
      <c r="G12" s="154"/>
    </row>
    <row r="13" spans="1:17" x14ac:dyDescent="0.2">
      <c r="A13" s="130" t="s">
        <v>226</v>
      </c>
      <c r="B13" s="131">
        <v>10102020</v>
      </c>
      <c r="C13" s="132"/>
      <c r="D13" s="132"/>
      <c r="E13" s="126">
        <f t="shared" si="0"/>
        <v>0</v>
      </c>
      <c r="F13" s="152"/>
      <c r="G13" s="154"/>
    </row>
    <row r="14" spans="1:17" x14ac:dyDescent="0.2">
      <c r="A14" s="130" t="s">
        <v>68</v>
      </c>
      <c r="B14" s="131">
        <v>10205990</v>
      </c>
      <c r="C14" s="132"/>
      <c r="D14" s="132"/>
      <c r="E14" s="126">
        <f t="shared" si="0"/>
        <v>0</v>
      </c>
      <c r="F14" s="133"/>
      <c r="G14" s="154"/>
    </row>
    <row r="15" spans="1:17" x14ac:dyDescent="0.2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63"/>
      <c r="G15" s="154"/>
    </row>
    <row r="16" spans="1:17" x14ac:dyDescent="0.2">
      <c r="A16" s="130" t="s">
        <v>133</v>
      </c>
      <c r="B16" s="131">
        <v>10303010</v>
      </c>
      <c r="C16" s="132"/>
      <c r="D16" s="132"/>
      <c r="E16" s="126">
        <f t="shared" si="0"/>
        <v>0</v>
      </c>
      <c r="F16" s="152"/>
      <c r="G16" s="154"/>
    </row>
    <row r="17" spans="1:17" x14ac:dyDescent="0.2">
      <c r="A17" s="130" t="s">
        <v>50</v>
      </c>
      <c r="B17" s="131">
        <v>10303020</v>
      </c>
      <c r="C17" s="132"/>
      <c r="D17" s="132"/>
      <c r="E17" s="126">
        <f t="shared" si="0"/>
        <v>0</v>
      </c>
      <c r="F17" s="152"/>
      <c r="G17" s="154"/>
    </row>
    <row r="18" spans="1:17" x14ac:dyDescent="0.2">
      <c r="A18" s="130" t="s">
        <v>51</v>
      </c>
      <c r="B18" s="131">
        <v>10303030</v>
      </c>
      <c r="C18" s="132"/>
      <c r="D18" s="132"/>
      <c r="E18" s="126">
        <f t="shared" si="0"/>
        <v>0</v>
      </c>
      <c r="F18" s="152"/>
      <c r="G18" s="154"/>
    </row>
    <row r="19" spans="1:17" x14ac:dyDescent="0.2">
      <c r="A19" s="130" t="s">
        <v>12</v>
      </c>
      <c r="B19" s="131">
        <v>10304050</v>
      </c>
      <c r="C19" s="132"/>
      <c r="D19" s="132"/>
      <c r="E19" s="126">
        <f t="shared" si="0"/>
        <v>0</v>
      </c>
      <c r="F19" s="152"/>
      <c r="G19" s="154"/>
    </row>
    <row r="20" spans="1:17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  <c r="F20" s="152"/>
      <c r="G20" s="154"/>
    </row>
    <row r="21" spans="1:17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  <c r="F21" s="152"/>
      <c r="G21" s="154"/>
    </row>
    <row r="22" spans="1:17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  <c r="F22" s="157"/>
      <c r="G22" s="154"/>
    </row>
    <row r="23" spans="1:17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7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  <c r="F24" s="134"/>
      <c r="G24" s="135"/>
      <c r="H24" s="135"/>
      <c r="I24" s="129"/>
      <c r="J24" s="129"/>
      <c r="K24" s="129"/>
      <c r="L24" s="129"/>
      <c r="M24" s="129"/>
      <c r="N24" s="243"/>
      <c r="O24" s="244"/>
      <c r="P24" s="260"/>
      <c r="Q24" s="244"/>
    </row>
    <row r="25" spans="1:17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17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7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7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7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7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7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7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4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2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ref="E136:E199" si="3">C136-D136</f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3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ref="E200:E209" si="4">C200-D200</f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1" t="s">
        <v>247</v>
      </c>
      <c r="B215" s="242" t="s">
        <v>200</v>
      </c>
      <c r="C215" s="242"/>
      <c r="D215" s="242"/>
      <c r="E215" s="111"/>
    </row>
    <row r="216" spans="1:5" ht="15.75" x14ac:dyDescent="0.2">
      <c r="A216" s="113" t="s">
        <v>246</v>
      </c>
      <c r="B216" s="237" t="s">
        <v>195</v>
      </c>
      <c r="C216" s="237"/>
      <c r="D216" s="237"/>
      <c r="E216" s="113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24:O24"/>
    <mergeCell ref="P24:Q24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73" zoomScaleNormal="73" workbookViewId="0">
      <selection activeCell="E11" sqref="E11"/>
    </sheetView>
  </sheetViews>
  <sheetFormatPr defaultRowHeight="15" x14ac:dyDescent="0.2"/>
  <cols>
    <col min="1" max="1" width="64" style="115" customWidth="1"/>
    <col min="2" max="2" width="15" style="115" customWidth="1"/>
    <col min="3" max="3" width="19" style="115" customWidth="1"/>
    <col min="4" max="4" width="20.28515625" style="115" customWidth="1"/>
    <col min="5" max="5" width="18" style="115" customWidth="1"/>
    <col min="6" max="6" width="14.42578125" style="115" customWidth="1"/>
    <col min="7" max="7" width="10.5703125" style="115" customWidth="1"/>
    <col min="8" max="8" width="9.140625" style="115"/>
    <col min="9" max="9" width="10.85546875" style="115" customWidth="1"/>
    <col min="10" max="10" width="12.140625" style="115" customWidth="1"/>
    <col min="11" max="11" width="9.140625" style="115"/>
    <col min="12" max="12" width="11.140625" style="115" customWidth="1"/>
    <col min="13" max="13" width="10.5703125" style="115" customWidth="1"/>
    <col min="14" max="16384" width="9.140625" style="115"/>
  </cols>
  <sheetData>
    <row r="1" spans="1:17" x14ac:dyDescent="0.2">
      <c r="A1" s="245" t="s">
        <v>2</v>
      </c>
      <c r="B1" s="245"/>
      <c r="C1" s="245"/>
      <c r="D1" s="245"/>
      <c r="E1" s="114"/>
    </row>
    <row r="2" spans="1:17" ht="15.75" x14ac:dyDescent="0.2">
      <c r="A2" s="246" t="s">
        <v>3</v>
      </c>
      <c r="B2" s="246"/>
      <c r="C2" s="246"/>
      <c r="D2" s="246"/>
      <c r="E2" s="116"/>
    </row>
    <row r="3" spans="1:17" x14ac:dyDescent="0.2">
      <c r="A3" s="245" t="s">
        <v>1</v>
      </c>
      <c r="B3" s="245"/>
      <c r="C3" s="245"/>
      <c r="D3" s="245"/>
      <c r="E3" s="114"/>
    </row>
    <row r="4" spans="1:17" x14ac:dyDescent="0.2">
      <c r="A4" s="117"/>
      <c r="B4" s="114"/>
      <c r="C4" s="118"/>
      <c r="D4" s="117"/>
      <c r="E4" s="117"/>
    </row>
    <row r="5" spans="1:17" ht="15.75" x14ac:dyDescent="0.2">
      <c r="A5" s="246" t="s">
        <v>7</v>
      </c>
      <c r="B5" s="246"/>
      <c r="C5" s="246"/>
      <c r="D5" s="246"/>
      <c r="E5" s="116"/>
    </row>
    <row r="6" spans="1:17" x14ac:dyDescent="0.2">
      <c r="A6" s="245" t="s">
        <v>255</v>
      </c>
      <c r="B6" s="245"/>
      <c r="C6" s="245"/>
      <c r="D6" s="245"/>
      <c r="E6" s="114"/>
    </row>
    <row r="7" spans="1:17" ht="16.5" thickBot="1" x14ac:dyDescent="0.25">
      <c r="A7" s="247" t="s">
        <v>260</v>
      </c>
      <c r="B7" s="247"/>
      <c r="C7" s="247"/>
      <c r="D7" s="247"/>
      <c r="E7" s="119"/>
    </row>
    <row r="8" spans="1:17" ht="20.25" thickTop="1" x14ac:dyDescent="0.4">
      <c r="A8" s="238" t="s">
        <v>10</v>
      </c>
      <c r="B8" s="238" t="s">
        <v>9</v>
      </c>
      <c r="C8" s="238" t="s">
        <v>4</v>
      </c>
      <c r="D8" s="238" t="s">
        <v>5</v>
      </c>
      <c r="E8" s="120"/>
      <c r="F8" s="121" t="s">
        <v>235</v>
      </c>
      <c r="G8" s="121" t="s">
        <v>236</v>
      </c>
      <c r="H8" s="121" t="s">
        <v>237</v>
      </c>
      <c r="I8" s="122" t="s">
        <v>238</v>
      </c>
      <c r="J8" s="122" t="s">
        <v>239</v>
      </c>
      <c r="K8" s="121" t="s">
        <v>240</v>
      </c>
      <c r="L8" s="122" t="s">
        <v>241</v>
      </c>
      <c r="M8" s="122" t="s">
        <v>242</v>
      </c>
      <c r="N8" s="122" t="s">
        <v>243</v>
      </c>
      <c r="O8" s="122"/>
    </row>
    <row r="9" spans="1:17" ht="15.75" x14ac:dyDescent="0.2">
      <c r="A9" s="239"/>
      <c r="B9" s="239"/>
      <c r="C9" s="239"/>
      <c r="D9" s="239"/>
      <c r="E9" s="120"/>
    </row>
    <row r="10" spans="1:17" ht="16.5" thickBot="1" x14ac:dyDescent="0.25">
      <c r="A10" s="240"/>
      <c r="B10" s="240"/>
      <c r="C10" s="240"/>
      <c r="D10" s="240"/>
      <c r="E10" s="120"/>
    </row>
    <row r="11" spans="1:17" ht="16.5" thickTop="1" x14ac:dyDescent="0.25">
      <c r="A11" s="123" t="s">
        <v>123</v>
      </c>
      <c r="B11" s="124">
        <v>10101010</v>
      </c>
      <c r="C11" s="125"/>
      <c r="D11" s="125"/>
      <c r="E11" s="126">
        <f>C11-D11</f>
        <v>0</v>
      </c>
      <c r="F11" s="127"/>
      <c r="I11" s="129"/>
      <c r="J11" s="129"/>
      <c r="K11" s="129"/>
      <c r="L11" s="129"/>
      <c r="M11" s="129"/>
      <c r="N11" s="243"/>
      <c r="O11" s="244"/>
      <c r="P11" s="258"/>
      <c r="Q11" s="259"/>
    </row>
    <row r="12" spans="1:17" x14ac:dyDescent="0.2">
      <c r="A12" s="130" t="s">
        <v>67</v>
      </c>
      <c r="B12" s="131">
        <v>10101020</v>
      </c>
      <c r="C12" s="132"/>
      <c r="D12" s="132"/>
      <c r="E12" s="126">
        <f t="shared" ref="E12:E75" si="0">C12-D12</f>
        <v>0</v>
      </c>
      <c r="F12" s="152"/>
    </row>
    <row r="13" spans="1:17" x14ac:dyDescent="0.2">
      <c r="A13" s="130" t="s">
        <v>226</v>
      </c>
      <c r="B13" s="131">
        <v>10102020</v>
      </c>
      <c r="C13" s="132"/>
      <c r="D13" s="132"/>
      <c r="E13" s="126">
        <f t="shared" si="0"/>
        <v>0</v>
      </c>
      <c r="F13" s="152"/>
    </row>
    <row r="14" spans="1:17" x14ac:dyDescent="0.2">
      <c r="A14" s="130" t="s">
        <v>68</v>
      </c>
      <c r="B14" s="131">
        <v>10205990</v>
      </c>
      <c r="C14" s="132"/>
      <c r="D14" s="132"/>
      <c r="E14" s="126">
        <f t="shared" si="0"/>
        <v>0</v>
      </c>
      <c r="F14" s="133"/>
    </row>
    <row r="15" spans="1:17" x14ac:dyDescent="0.2">
      <c r="A15" s="130" t="s">
        <v>11</v>
      </c>
      <c r="B15" s="131">
        <v>10301020</v>
      </c>
      <c r="C15" s="132"/>
      <c r="D15" s="132"/>
      <c r="E15" s="126">
        <f t="shared" si="0"/>
        <v>0</v>
      </c>
      <c r="F15" s="152"/>
    </row>
    <row r="16" spans="1:17" x14ac:dyDescent="0.2">
      <c r="A16" s="130" t="s">
        <v>133</v>
      </c>
      <c r="B16" s="131">
        <v>10303010</v>
      </c>
      <c r="C16" s="132"/>
      <c r="D16" s="132"/>
      <c r="E16" s="126">
        <f t="shared" si="0"/>
        <v>0</v>
      </c>
    </row>
    <row r="17" spans="1:17" x14ac:dyDescent="0.2">
      <c r="A17" s="130" t="s">
        <v>50</v>
      </c>
      <c r="B17" s="131">
        <v>10303020</v>
      </c>
      <c r="C17" s="132"/>
      <c r="D17" s="132"/>
      <c r="E17" s="126">
        <f t="shared" si="0"/>
        <v>0</v>
      </c>
      <c r="F17" s="134"/>
      <c r="I17" s="129"/>
      <c r="J17" s="129"/>
      <c r="K17" s="129"/>
      <c r="L17" s="129"/>
      <c r="M17" s="129"/>
      <c r="N17" s="243"/>
      <c r="O17" s="244"/>
      <c r="P17" s="260"/>
      <c r="Q17" s="244"/>
    </row>
    <row r="18" spans="1:17" x14ac:dyDescent="0.2">
      <c r="A18" s="130" t="s">
        <v>51</v>
      </c>
      <c r="B18" s="131">
        <v>10303030</v>
      </c>
      <c r="C18" s="132"/>
      <c r="D18" s="132"/>
      <c r="E18" s="126">
        <f t="shared" si="0"/>
        <v>0</v>
      </c>
    </row>
    <row r="19" spans="1:17" x14ac:dyDescent="0.2">
      <c r="A19" s="130" t="s">
        <v>12</v>
      </c>
      <c r="B19" s="131">
        <v>10304050</v>
      </c>
      <c r="C19" s="132"/>
      <c r="D19" s="132"/>
      <c r="E19" s="126">
        <f t="shared" si="0"/>
        <v>0</v>
      </c>
    </row>
    <row r="20" spans="1:17" x14ac:dyDescent="0.2">
      <c r="A20" s="130" t="s">
        <v>125</v>
      </c>
      <c r="B20" s="131">
        <v>10305010</v>
      </c>
      <c r="C20" s="132"/>
      <c r="D20" s="132"/>
      <c r="E20" s="126">
        <f t="shared" si="0"/>
        <v>0</v>
      </c>
    </row>
    <row r="21" spans="1:17" x14ac:dyDescent="0.2">
      <c r="A21" s="130" t="s">
        <v>69</v>
      </c>
      <c r="B21" s="131">
        <v>10305020</v>
      </c>
      <c r="C21" s="132"/>
      <c r="D21" s="132"/>
      <c r="E21" s="126">
        <f t="shared" si="0"/>
        <v>0</v>
      </c>
    </row>
    <row r="22" spans="1:17" x14ac:dyDescent="0.2">
      <c r="A22" s="130" t="s">
        <v>70</v>
      </c>
      <c r="B22" s="131">
        <v>10305040</v>
      </c>
      <c r="C22" s="132"/>
      <c r="D22" s="132"/>
      <c r="E22" s="126">
        <f t="shared" si="0"/>
        <v>0</v>
      </c>
    </row>
    <row r="23" spans="1:17" x14ac:dyDescent="0.2">
      <c r="A23" s="130" t="s">
        <v>124</v>
      </c>
      <c r="B23" s="131">
        <v>10306010</v>
      </c>
      <c r="C23" s="132"/>
      <c r="D23" s="132"/>
      <c r="E23" s="126">
        <f t="shared" si="0"/>
        <v>0</v>
      </c>
    </row>
    <row r="24" spans="1:17" x14ac:dyDescent="0.2">
      <c r="A24" s="130" t="s">
        <v>134</v>
      </c>
      <c r="B24" s="131">
        <v>10306020</v>
      </c>
      <c r="C24" s="132"/>
      <c r="D24" s="132"/>
      <c r="E24" s="126">
        <f t="shared" si="0"/>
        <v>0</v>
      </c>
    </row>
    <row r="25" spans="1:17" x14ac:dyDescent="0.2">
      <c r="A25" s="130" t="s">
        <v>13</v>
      </c>
      <c r="B25" s="131">
        <v>10306990</v>
      </c>
      <c r="C25" s="132"/>
      <c r="D25" s="132"/>
      <c r="E25" s="126">
        <f t="shared" si="0"/>
        <v>0</v>
      </c>
    </row>
    <row r="26" spans="1:17" x14ac:dyDescent="0.2">
      <c r="A26" s="130" t="s">
        <v>135</v>
      </c>
      <c r="B26" s="131">
        <v>10402090</v>
      </c>
      <c r="C26" s="132"/>
      <c r="D26" s="132"/>
      <c r="E26" s="126">
        <f t="shared" si="0"/>
        <v>0</v>
      </c>
    </row>
    <row r="27" spans="1:17" x14ac:dyDescent="0.2">
      <c r="A27" s="130" t="s">
        <v>65</v>
      </c>
      <c r="B27" s="131">
        <v>10404010</v>
      </c>
      <c r="C27" s="132"/>
      <c r="D27" s="132"/>
      <c r="E27" s="126">
        <f t="shared" si="0"/>
        <v>0</v>
      </c>
    </row>
    <row r="28" spans="1:17" x14ac:dyDescent="0.2">
      <c r="A28" s="130" t="s">
        <v>219</v>
      </c>
      <c r="B28" s="131">
        <v>10404060</v>
      </c>
      <c r="C28" s="132"/>
      <c r="D28" s="132"/>
      <c r="E28" s="126">
        <f t="shared" si="0"/>
        <v>0</v>
      </c>
    </row>
    <row r="29" spans="1:17" x14ac:dyDescent="0.2">
      <c r="A29" s="130" t="s">
        <v>196</v>
      </c>
      <c r="B29" s="131">
        <v>10404070</v>
      </c>
      <c r="C29" s="132"/>
      <c r="D29" s="132"/>
      <c r="E29" s="126">
        <f t="shared" si="0"/>
        <v>0</v>
      </c>
    </row>
    <row r="30" spans="1:17" x14ac:dyDescent="0.2">
      <c r="A30" s="130" t="s">
        <v>188</v>
      </c>
      <c r="B30" s="131">
        <v>10404090</v>
      </c>
      <c r="C30" s="132"/>
      <c r="D30" s="132"/>
      <c r="E30" s="126">
        <f t="shared" si="0"/>
        <v>0</v>
      </c>
    </row>
    <row r="31" spans="1:17" x14ac:dyDescent="0.2">
      <c r="A31" s="130" t="s">
        <v>71</v>
      </c>
      <c r="B31" s="131">
        <v>10404990</v>
      </c>
      <c r="C31" s="132"/>
      <c r="D31" s="132"/>
      <c r="E31" s="126">
        <f t="shared" si="0"/>
        <v>0</v>
      </c>
    </row>
    <row r="32" spans="1:17" x14ac:dyDescent="0.2">
      <c r="A32" s="130" t="s">
        <v>228</v>
      </c>
      <c r="B32" s="131">
        <v>10501010</v>
      </c>
      <c r="C32" s="132"/>
      <c r="D32" s="132"/>
      <c r="E32" s="126">
        <f t="shared" si="0"/>
        <v>0</v>
      </c>
    </row>
    <row r="33" spans="1:5" x14ac:dyDescent="0.2">
      <c r="A33" s="130" t="s">
        <v>49</v>
      </c>
      <c r="B33" s="131">
        <v>10501050</v>
      </c>
      <c r="C33" s="132"/>
      <c r="D33" s="132"/>
      <c r="E33" s="126">
        <f t="shared" si="0"/>
        <v>0</v>
      </c>
    </row>
    <row r="34" spans="1:5" x14ac:dyDescent="0.2">
      <c r="A34" s="130" t="s">
        <v>218</v>
      </c>
      <c r="B34" s="131">
        <v>10501990</v>
      </c>
      <c r="C34" s="132"/>
      <c r="D34" s="132"/>
      <c r="E34" s="126">
        <f t="shared" si="0"/>
        <v>0</v>
      </c>
    </row>
    <row r="35" spans="1:5" x14ac:dyDescent="0.2">
      <c r="A35" s="130" t="s">
        <v>136</v>
      </c>
      <c r="B35" s="131">
        <v>10601030</v>
      </c>
      <c r="C35" s="132"/>
      <c r="D35" s="132"/>
      <c r="E35" s="126">
        <f t="shared" si="0"/>
        <v>0</v>
      </c>
    </row>
    <row r="36" spans="1:5" x14ac:dyDescent="0.2">
      <c r="A36" s="130" t="s">
        <v>14</v>
      </c>
      <c r="B36" s="131">
        <v>10701010</v>
      </c>
      <c r="C36" s="132"/>
      <c r="D36" s="132"/>
      <c r="E36" s="126">
        <f t="shared" si="0"/>
        <v>0</v>
      </c>
    </row>
    <row r="37" spans="1:5" x14ac:dyDescent="0.2">
      <c r="A37" s="130" t="s">
        <v>72</v>
      </c>
      <c r="B37" s="131">
        <v>10702010</v>
      </c>
      <c r="C37" s="132"/>
      <c r="D37" s="132"/>
      <c r="E37" s="126">
        <f t="shared" si="0"/>
        <v>0</v>
      </c>
    </row>
    <row r="38" spans="1:5" x14ac:dyDescent="0.2">
      <c r="A38" s="130" t="s">
        <v>204</v>
      </c>
      <c r="B38" s="131">
        <v>10703010</v>
      </c>
      <c r="C38" s="132"/>
      <c r="D38" s="132"/>
      <c r="E38" s="126">
        <f t="shared" si="0"/>
        <v>0</v>
      </c>
    </row>
    <row r="39" spans="1:5" x14ac:dyDescent="0.2">
      <c r="A39" s="130" t="s">
        <v>231</v>
      </c>
      <c r="B39" s="131">
        <v>10703020</v>
      </c>
      <c r="C39" s="132"/>
      <c r="D39" s="132"/>
      <c r="E39" s="126">
        <f t="shared" si="0"/>
        <v>0</v>
      </c>
    </row>
    <row r="40" spans="1:5" x14ac:dyDescent="0.2">
      <c r="A40" s="130" t="s">
        <v>214</v>
      </c>
      <c r="B40" s="131">
        <v>10703040</v>
      </c>
      <c r="C40" s="132"/>
      <c r="D40" s="132"/>
      <c r="E40" s="126">
        <f t="shared" si="0"/>
        <v>0</v>
      </c>
    </row>
    <row r="41" spans="1:5" x14ac:dyDescent="0.2">
      <c r="A41" s="130" t="s">
        <v>73</v>
      </c>
      <c r="B41" s="131">
        <v>10703050</v>
      </c>
      <c r="C41" s="132"/>
      <c r="D41" s="132"/>
      <c r="E41" s="126">
        <f t="shared" si="0"/>
        <v>0</v>
      </c>
    </row>
    <row r="42" spans="1:5" x14ac:dyDescent="0.2">
      <c r="A42" s="130" t="s">
        <v>82</v>
      </c>
      <c r="B42" s="131">
        <v>10703051</v>
      </c>
      <c r="C42" s="132"/>
      <c r="D42" s="132"/>
      <c r="E42" s="126">
        <f t="shared" si="0"/>
        <v>0</v>
      </c>
    </row>
    <row r="43" spans="1:5" x14ac:dyDescent="0.2">
      <c r="A43" s="130" t="s">
        <v>74</v>
      </c>
      <c r="B43" s="131">
        <v>10704010</v>
      </c>
      <c r="C43" s="132"/>
      <c r="D43" s="132"/>
      <c r="E43" s="126">
        <f t="shared" si="0"/>
        <v>0</v>
      </c>
    </row>
    <row r="44" spans="1:5" x14ac:dyDescent="0.2">
      <c r="A44" s="130" t="s">
        <v>15</v>
      </c>
      <c r="B44" s="131">
        <v>10704020</v>
      </c>
      <c r="C44" s="132"/>
      <c r="D44" s="132"/>
      <c r="E44" s="126">
        <f t="shared" si="0"/>
        <v>0</v>
      </c>
    </row>
    <row r="45" spans="1:5" x14ac:dyDescent="0.2">
      <c r="A45" s="130" t="s">
        <v>75</v>
      </c>
      <c r="B45" s="131">
        <v>10704040</v>
      </c>
      <c r="C45" s="132"/>
      <c r="D45" s="132"/>
      <c r="E45" s="126">
        <f t="shared" si="0"/>
        <v>0</v>
      </c>
    </row>
    <row r="46" spans="1:5" x14ac:dyDescent="0.2">
      <c r="A46" s="130" t="s">
        <v>193</v>
      </c>
      <c r="B46" s="131">
        <v>10704050</v>
      </c>
      <c r="C46" s="132"/>
      <c r="D46" s="132"/>
      <c r="E46" s="126">
        <f t="shared" si="0"/>
        <v>0</v>
      </c>
    </row>
    <row r="47" spans="1:5" x14ac:dyDescent="0.2">
      <c r="A47" s="130" t="s">
        <v>209</v>
      </c>
      <c r="B47" s="131">
        <v>10704990</v>
      </c>
      <c r="C47" s="132"/>
      <c r="D47" s="132"/>
      <c r="E47" s="126">
        <f t="shared" si="0"/>
        <v>0</v>
      </c>
    </row>
    <row r="48" spans="1:5" x14ac:dyDescent="0.2">
      <c r="A48" s="130" t="s">
        <v>17</v>
      </c>
      <c r="B48" s="131">
        <v>10705010</v>
      </c>
      <c r="C48" s="132"/>
      <c r="D48" s="132"/>
      <c r="E48" s="126">
        <f t="shared" si="0"/>
        <v>0</v>
      </c>
    </row>
    <row r="49" spans="1:5" x14ac:dyDescent="0.2">
      <c r="A49" s="130" t="s">
        <v>83</v>
      </c>
      <c r="B49" s="131">
        <v>10705011</v>
      </c>
      <c r="C49" s="132"/>
      <c r="D49" s="132"/>
      <c r="E49" s="126">
        <f t="shared" si="0"/>
        <v>0</v>
      </c>
    </row>
    <row r="50" spans="1:5" x14ac:dyDescent="0.2">
      <c r="A50" s="130" t="s">
        <v>16</v>
      </c>
      <c r="B50" s="131">
        <v>10705020</v>
      </c>
      <c r="C50" s="132"/>
      <c r="D50" s="132"/>
      <c r="E50" s="126">
        <f t="shared" si="0"/>
        <v>0</v>
      </c>
    </row>
    <row r="51" spans="1:5" x14ac:dyDescent="0.2">
      <c r="A51" s="130" t="s">
        <v>84</v>
      </c>
      <c r="B51" s="131">
        <v>10705021</v>
      </c>
      <c r="C51" s="132"/>
      <c r="D51" s="132"/>
      <c r="E51" s="126">
        <f t="shared" si="0"/>
        <v>0</v>
      </c>
    </row>
    <row r="52" spans="1:5" x14ac:dyDescent="0.2">
      <c r="A52" s="130" t="s">
        <v>76</v>
      </c>
      <c r="B52" s="131">
        <v>10705030</v>
      </c>
      <c r="C52" s="132"/>
      <c r="D52" s="132"/>
      <c r="E52" s="126">
        <f t="shared" si="0"/>
        <v>0</v>
      </c>
    </row>
    <row r="53" spans="1:5" x14ac:dyDescent="0.2">
      <c r="A53" s="130" t="s">
        <v>85</v>
      </c>
      <c r="B53" s="131">
        <v>10705031</v>
      </c>
      <c r="C53" s="132"/>
      <c r="D53" s="132"/>
      <c r="E53" s="126">
        <f t="shared" si="0"/>
        <v>0</v>
      </c>
    </row>
    <row r="54" spans="1:5" x14ac:dyDescent="0.2">
      <c r="A54" s="130" t="s">
        <v>77</v>
      </c>
      <c r="B54" s="131">
        <v>10705040</v>
      </c>
      <c r="C54" s="132"/>
      <c r="D54" s="132"/>
      <c r="E54" s="126">
        <f t="shared" si="0"/>
        <v>0</v>
      </c>
    </row>
    <row r="55" spans="1:5" x14ac:dyDescent="0.2">
      <c r="A55" s="130" t="s">
        <v>86</v>
      </c>
      <c r="B55" s="131">
        <v>10705041</v>
      </c>
      <c r="C55" s="132"/>
      <c r="D55" s="132"/>
      <c r="E55" s="126">
        <f t="shared" si="0"/>
        <v>0</v>
      </c>
    </row>
    <row r="56" spans="1:5" x14ac:dyDescent="0.2">
      <c r="A56" s="130" t="s">
        <v>18</v>
      </c>
      <c r="B56" s="131">
        <v>10705070</v>
      </c>
      <c r="C56" s="132"/>
      <c r="D56" s="132"/>
      <c r="E56" s="126">
        <f t="shared" si="0"/>
        <v>0</v>
      </c>
    </row>
    <row r="57" spans="1:5" x14ac:dyDescent="0.2">
      <c r="A57" s="130" t="s">
        <v>87</v>
      </c>
      <c r="B57" s="131">
        <v>10705071</v>
      </c>
      <c r="C57" s="132"/>
      <c r="D57" s="132"/>
      <c r="E57" s="126">
        <f t="shared" si="0"/>
        <v>0</v>
      </c>
    </row>
    <row r="58" spans="1:5" x14ac:dyDescent="0.2">
      <c r="A58" s="130" t="s">
        <v>52</v>
      </c>
      <c r="B58" s="131">
        <v>10705080</v>
      </c>
      <c r="C58" s="132"/>
      <c r="D58" s="132"/>
      <c r="E58" s="126">
        <f t="shared" si="0"/>
        <v>0</v>
      </c>
    </row>
    <row r="59" spans="1:5" x14ac:dyDescent="0.2">
      <c r="A59" s="130" t="s">
        <v>88</v>
      </c>
      <c r="B59" s="131">
        <v>10705081</v>
      </c>
      <c r="C59" s="132"/>
      <c r="D59" s="132"/>
      <c r="E59" s="126">
        <f t="shared" si="0"/>
        <v>0</v>
      </c>
    </row>
    <row r="60" spans="1:5" x14ac:dyDescent="0.2">
      <c r="A60" s="130" t="s">
        <v>137</v>
      </c>
      <c r="B60" s="131">
        <v>10705090</v>
      </c>
      <c r="C60" s="132"/>
      <c r="D60" s="132"/>
      <c r="E60" s="126">
        <f t="shared" si="0"/>
        <v>0</v>
      </c>
    </row>
    <row r="61" spans="1:5" x14ac:dyDescent="0.2">
      <c r="A61" s="130" t="s">
        <v>138</v>
      </c>
      <c r="B61" s="131">
        <v>10705091</v>
      </c>
      <c r="C61" s="132"/>
      <c r="D61" s="132"/>
      <c r="E61" s="126">
        <f t="shared" si="0"/>
        <v>0</v>
      </c>
    </row>
    <row r="62" spans="1:5" x14ac:dyDescent="0.2">
      <c r="A62" s="130" t="s">
        <v>208</v>
      </c>
      <c r="B62" s="131">
        <v>10705100</v>
      </c>
      <c r="C62" s="132"/>
      <c r="D62" s="132"/>
      <c r="E62" s="126">
        <f t="shared" si="0"/>
        <v>0</v>
      </c>
    </row>
    <row r="63" spans="1:5" x14ac:dyDescent="0.2">
      <c r="A63" s="130" t="s">
        <v>221</v>
      </c>
      <c r="B63" s="131">
        <v>10705101</v>
      </c>
      <c r="C63" s="132"/>
      <c r="D63" s="132"/>
      <c r="E63" s="126">
        <f t="shared" si="0"/>
        <v>0</v>
      </c>
    </row>
    <row r="64" spans="1:5" x14ac:dyDescent="0.2">
      <c r="A64" s="130" t="s">
        <v>197</v>
      </c>
      <c r="B64" s="131">
        <v>10705110</v>
      </c>
      <c r="C64" s="132"/>
      <c r="D64" s="132"/>
      <c r="E64" s="126">
        <f t="shared" si="0"/>
        <v>0</v>
      </c>
    </row>
    <row r="65" spans="1:5" x14ac:dyDescent="0.2">
      <c r="A65" s="130" t="s">
        <v>210</v>
      </c>
      <c r="B65" s="131">
        <v>10705111</v>
      </c>
      <c r="C65" s="132"/>
      <c r="D65" s="132"/>
      <c r="E65" s="126">
        <f t="shared" si="0"/>
        <v>0</v>
      </c>
    </row>
    <row r="66" spans="1:5" x14ac:dyDescent="0.2">
      <c r="A66" s="130" t="s">
        <v>22</v>
      </c>
      <c r="B66" s="131">
        <v>10705130</v>
      </c>
      <c r="C66" s="132"/>
      <c r="D66" s="132"/>
      <c r="E66" s="126">
        <f t="shared" si="0"/>
        <v>0</v>
      </c>
    </row>
    <row r="67" spans="1:5" x14ac:dyDescent="0.2">
      <c r="A67" s="130" t="s">
        <v>61</v>
      </c>
      <c r="B67" s="131">
        <v>10705140</v>
      </c>
      <c r="C67" s="132"/>
      <c r="D67" s="132"/>
      <c r="E67" s="126">
        <f t="shared" si="0"/>
        <v>0</v>
      </c>
    </row>
    <row r="68" spans="1:5" x14ac:dyDescent="0.2">
      <c r="A68" s="130" t="s">
        <v>78</v>
      </c>
      <c r="B68" s="131">
        <v>10705990</v>
      </c>
      <c r="C68" s="132"/>
      <c r="D68" s="132"/>
      <c r="E68" s="126">
        <f t="shared" si="0"/>
        <v>0</v>
      </c>
    </row>
    <row r="69" spans="1:5" x14ac:dyDescent="0.2">
      <c r="A69" s="130" t="s">
        <v>89</v>
      </c>
      <c r="B69" s="131">
        <v>10705991</v>
      </c>
      <c r="C69" s="132"/>
      <c r="D69" s="132"/>
      <c r="E69" s="126">
        <f t="shared" si="0"/>
        <v>0</v>
      </c>
    </row>
    <row r="70" spans="1:5" x14ac:dyDescent="0.2">
      <c r="A70" s="130" t="s">
        <v>19</v>
      </c>
      <c r="B70" s="131">
        <v>10706010</v>
      </c>
      <c r="C70" s="132"/>
      <c r="D70" s="132"/>
      <c r="E70" s="126">
        <f t="shared" si="0"/>
        <v>0</v>
      </c>
    </row>
    <row r="71" spans="1:5" x14ac:dyDescent="0.2">
      <c r="A71" s="130" t="s">
        <v>90</v>
      </c>
      <c r="B71" s="131">
        <v>10706011</v>
      </c>
      <c r="C71" s="132"/>
      <c r="D71" s="132"/>
      <c r="E71" s="126">
        <f t="shared" si="0"/>
        <v>0</v>
      </c>
    </row>
    <row r="72" spans="1:5" x14ac:dyDescent="0.2">
      <c r="A72" s="130" t="s">
        <v>62</v>
      </c>
      <c r="B72" s="131">
        <v>10707010</v>
      </c>
      <c r="C72" s="132"/>
      <c r="D72" s="132"/>
      <c r="E72" s="126">
        <f t="shared" si="0"/>
        <v>0</v>
      </c>
    </row>
    <row r="73" spans="1:5" x14ac:dyDescent="0.2">
      <c r="A73" s="130" t="s">
        <v>91</v>
      </c>
      <c r="B73" s="131">
        <v>10707011</v>
      </c>
      <c r="C73" s="132"/>
      <c r="D73" s="132"/>
      <c r="E73" s="126">
        <f t="shared" si="0"/>
        <v>0</v>
      </c>
    </row>
    <row r="74" spans="1:5" x14ac:dyDescent="0.2">
      <c r="A74" s="130" t="s">
        <v>79</v>
      </c>
      <c r="B74" s="131">
        <v>10707020</v>
      </c>
      <c r="C74" s="132"/>
      <c r="D74" s="132"/>
      <c r="E74" s="126">
        <f t="shared" si="0"/>
        <v>0</v>
      </c>
    </row>
    <row r="75" spans="1:5" x14ac:dyDescent="0.2">
      <c r="A75" s="130" t="s">
        <v>223</v>
      </c>
      <c r="B75" s="131">
        <v>10710010</v>
      </c>
      <c r="C75" s="132"/>
      <c r="D75" s="132"/>
      <c r="E75" s="126">
        <f t="shared" si="0"/>
        <v>0</v>
      </c>
    </row>
    <row r="76" spans="1:5" x14ac:dyDescent="0.2">
      <c r="A76" s="130" t="s">
        <v>80</v>
      </c>
      <c r="B76" s="131">
        <v>10710020</v>
      </c>
      <c r="C76" s="132"/>
      <c r="D76" s="132"/>
      <c r="E76" s="126">
        <f t="shared" ref="E76:E82" si="1">C76-D76</f>
        <v>0</v>
      </c>
    </row>
    <row r="77" spans="1:5" x14ac:dyDescent="0.2">
      <c r="A77" s="130" t="s">
        <v>81</v>
      </c>
      <c r="B77" s="131">
        <v>10710030</v>
      </c>
      <c r="C77" s="132"/>
      <c r="D77" s="132"/>
      <c r="E77" s="126">
        <f t="shared" si="1"/>
        <v>0</v>
      </c>
    </row>
    <row r="78" spans="1:5" x14ac:dyDescent="0.2">
      <c r="A78" s="130" t="s">
        <v>207</v>
      </c>
      <c r="B78" s="131">
        <v>10707021</v>
      </c>
      <c r="C78" s="132"/>
      <c r="D78" s="132"/>
      <c r="E78" s="126">
        <f t="shared" si="1"/>
        <v>0</v>
      </c>
    </row>
    <row r="79" spans="1:5" x14ac:dyDescent="0.2">
      <c r="A79" s="130" t="s">
        <v>53</v>
      </c>
      <c r="B79" s="131">
        <v>10799990</v>
      </c>
      <c r="C79" s="132"/>
      <c r="D79" s="132"/>
      <c r="E79" s="126">
        <f t="shared" si="1"/>
        <v>0</v>
      </c>
    </row>
    <row r="80" spans="1:5" x14ac:dyDescent="0.2">
      <c r="A80" s="130" t="s">
        <v>92</v>
      </c>
      <c r="B80" s="131">
        <v>10799991</v>
      </c>
      <c r="C80" s="132"/>
      <c r="D80" s="132"/>
      <c r="E80" s="126">
        <f t="shared" si="1"/>
        <v>0</v>
      </c>
    </row>
    <row r="81" spans="1:5" x14ac:dyDescent="0.2">
      <c r="A81" s="130" t="s">
        <v>169</v>
      </c>
      <c r="B81" s="131">
        <v>10901020</v>
      </c>
      <c r="C81" s="132"/>
      <c r="D81" s="132"/>
      <c r="E81" s="126">
        <f t="shared" si="1"/>
        <v>0</v>
      </c>
    </row>
    <row r="82" spans="1:5" x14ac:dyDescent="0.2">
      <c r="A82" s="130" t="s">
        <v>166</v>
      </c>
      <c r="B82" s="131">
        <v>10901990</v>
      </c>
      <c r="C82" s="132"/>
      <c r="D82" s="132"/>
      <c r="E82" s="126">
        <f t="shared" si="1"/>
        <v>0</v>
      </c>
    </row>
    <row r="83" spans="1:5" x14ac:dyDescent="0.2">
      <c r="A83" s="130" t="s">
        <v>29</v>
      </c>
      <c r="B83" s="131">
        <v>20101020</v>
      </c>
      <c r="C83" s="132"/>
      <c r="D83" s="132"/>
      <c r="E83" s="126">
        <f>D83-C83</f>
        <v>0</v>
      </c>
    </row>
    <row r="84" spans="1:5" x14ac:dyDescent="0.2">
      <c r="A84" s="130" t="s">
        <v>34</v>
      </c>
      <c r="B84" s="131">
        <v>20102040</v>
      </c>
      <c r="C84" s="132"/>
      <c r="D84" s="132"/>
      <c r="E84" s="126">
        <f t="shared" ref="E84:E134" si="2">D84-C84</f>
        <v>0</v>
      </c>
    </row>
    <row r="85" spans="1:5" x14ac:dyDescent="0.2">
      <c r="A85" s="130" t="s">
        <v>30</v>
      </c>
      <c r="B85" s="131">
        <v>20201010</v>
      </c>
      <c r="C85" s="132"/>
      <c r="D85" s="132"/>
      <c r="E85" s="126">
        <f t="shared" si="2"/>
        <v>0</v>
      </c>
    </row>
    <row r="86" spans="1:5" x14ac:dyDescent="0.2">
      <c r="A86" s="130" t="s">
        <v>31</v>
      </c>
      <c r="B86" s="131">
        <v>20201020</v>
      </c>
      <c r="C86" s="132"/>
      <c r="D86" s="132"/>
      <c r="E86" s="126">
        <f t="shared" si="2"/>
        <v>0</v>
      </c>
    </row>
    <row r="87" spans="1:5" x14ac:dyDescent="0.2">
      <c r="A87" s="130" t="s">
        <v>54</v>
      </c>
      <c r="B87" s="131">
        <v>20201030</v>
      </c>
      <c r="C87" s="132"/>
      <c r="D87" s="132"/>
      <c r="E87" s="126">
        <f t="shared" si="2"/>
        <v>0</v>
      </c>
    </row>
    <row r="88" spans="1:5" x14ac:dyDescent="0.2">
      <c r="A88" s="130" t="s">
        <v>55</v>
      </c>
      <c r="B88" s="131">
        <v>20201040</v>
      </c>
      <c r="C88" s="132"/>
      <c r="D88" s="132"/>
      <c r="E88" s="126">
        <f t="shared" si="2"/>
        <v>0</v>
      </c>
    </row>
    <row r="89" spans="1:5" x14ac:dyDescent="0.2">
      <c r="A89" s="130" t="s">
        <v>93</v>
      </c>
      <c r="B89" s="131">
        <v>20201050</v>
      </c>
      <c r="C89" s="132"/>
      <c r="D89" s="132"/>
      <c r="E89" s="126">
        <f t="shared" si="2"/>
        <v>0</v>
      </c>
    </row>
    <row r="90" spans="1:5" x14ac:dyDescent="0.2">
      <c r="A90" s="130" t="s">
        <v>94</v>
      </c>
      <c r="B90" s="131">
        <v>20201060</v>
      </c>
      <c r="C90" s="132"/>
      <c r="D90" s="132"/>
      <c r="E90" s="126">
        <f t="shared" si="2"/>
        <v>0</v>
      </c>
    </row>
    <row r="91" spans="1:5" x14ac:dyDescent="0.2">
      <c r="A91" s="130" t="s">
        <v>56</v>
      </c>
      <c r="B91" s="131">
        <v>20201070</v>
      </c>
      <c r="C91" s="132"/>
      <c r="D91" s="132"/>
      <c r="E91" s="126">
        <f t="shared" si="2"/>
        <v>0</v>
      </c>
    </row>
    <row r="92" spans="1:5" x14ac:dyDescent="0.2">
      <c r="A92" s="130" t="s">
        <v>32</v>
      </c>
      <c r="B92" s="131">
        <v>20301010</v>
      </c>
      <c r="C92" s="132"/>
      <c r="D92" s="132"/>
      <c r="E92" s="126">
        <f t="shared" si="2"/>
        <v>0</v>
      </c>
    </row>
    <row r="93" spans="1:5" x14ac:dyDescent="0.2">
      <c r="A93" s="130" t="s">
        <v>95</v>
      </c>
      <c r="B93" s="131">
        <v>20401040</v>
      </c>
      <c r="C93" s="136"/>
      <c r="D93" s="132"/>
      <c r="E93" s="126">
        <f t="shared" si="2"/>
        <v>0</v>
      </c>
    </row>
    <row r="94" spans="1:5" x14ac:dyDescent="0.2">
      <c r="A94" s="130" t="s">
        <v>96</v>
      </c>
      <c r="B94" s="131">
        <v>20501010</v>
      </c>
      <c r="C94" s="136"/>
      <c r="D94" s="132"/>
      <c r="E94" s="126">
        <f t="shared" si="2"/>
        <v>0</v>
      </c>
    </row>
    <row r="95" spans="1:5" x14ac:dyDescent="0.2">
      <c r="A95" s="130" t="s">
        <v>33</v>
      </c>
      <c r="B95" s="131">
        <v>29999990</v>
      </c>
      <c r="C95" s="136"/>
      <c r="D95" s="132"/>
      <c r="E95" s="126">
        <f t="shared" si="2"/>
        <v>0</v>
      </c>
    </row>
    <row r="96" spans="1:5" x14ac:dyDescent="0.2">
      <c r="A96" s="130" t="s">
        <v>35</v>
      </c>
      <c r="B96" s="131">
        <v>30101010</v>
      </c>
      <c r="C96" s="136"/>
      <c r="D96" s="132"/>
      <c r="E96" s="126">
        <f t="shared" si="2"/>
        <v>0</v>
      </c>
    </row>
    <row r="97" spans="1:5" x14ac:dyDescent="0.2">
      <c r="A97" s="130" t="s">
        <v>97</v>
      </c>
      <c r="B97" s="131">
        <v>30101020</v>
      </c>
      <c r="C97" s="136"/>
      <c r="D97" s="132"/>
      <c r="E97" s="126">
        <f t="shared" si="2"/>
        <v>0</v>
      </c>
    </row>
    <row r="98" spans="1:5" x14ac:dyDescent="0.2">
      <c r="A98" s="130" t="s">
        <v>128</v>
      </c>
      <c r="B98" s="131">
        <v>40101020</v>
      </c>
      <c r="C98" s="136"/>
      <c r="D98" s="132"/>
      <c r="E98" s="126">
        <f t="shared" si="2"/>
        <v>0</v>
      </c>
    </row>
    <row r="99" spans="1:5" x14ac:dyDescent="0.2">
      <c r="A99" s="130" t="s">
        <v>37</v>
      </c>
      <c r="B99" s="131">
        <v>40101050</v>
      </c>
      <c r="C99" s="136"/>
      <c r="D99" s="132"/>
      <c r="E99" s="126">
        <f t="shared" si="2"/>
        <v>0</v>
      </c>
    </row>
    <row r="100" spans="1:5" x14ac:dyDescent="0.2">
      <c r="A100" s="130" t="s">
        <v>98</v>
      </c>
      <c r="B100" s="131">
        <v>40102040</v>
      </c>
      <c r="C100" s="136"/>
      <c r="D100" s="132"/>
      <c r="E100" s="126">
        <f t="shared" si="2"/>
        <v>0</v>
      </c>
    </row>
    <row r="101" spans="1:5" x14ac:dyDescent="0.2">
      <c r="A101" s="130" t="s">
        <v>99</v>
      </c>
      <c r="B101" s="131">
        <v>40102041</v>
      </c>
      <c r="C101" s="136"/>
      <c r="D101" s="132"/>
      <c r="E101" s="126">
        <f t="shared" si="2"/>
        <v>0</v>
      </c>
    </row>
    <row r="102" spans="1:5" x14ac:dyDescent="0.2">
      <c r="A102" s="130" t="s">
        <v>130</v>
      </c>
      <c r="B102" s="131">
        <v>40102080</v>
      </c>
      <c r="C102" s="136"/>
      <c r="D102" s="132"/>
      <c r="E102" s="126">
        <f t="shared" si="2"/>
        <v>0</v>
      </c>
    </row>
    <row r="103" spans="1:5" x14ac:dyDescent="0.2">
      <c r="A103" s="130" t="s">
        <v>36</v>
      </c>
      <c r="B103" s="131">
        <v>40103030</v>
      </c>
      <c r="C103" s="136"/>
      <c r="D103" s="132"/>
      <c r="E103" s="126">
        <f t="shared" si="2"/>
        <v>0</v>
      </c>
    </row>
    <row r="104" spans="1:5" x14ac:dyDescent="0.2">
      <c r="A104" s="130" t="s">
        <v>132</v>
      </c>
      <c r="B104" s="131">
        <v>40103040</v>
      </c>
      <c r="C104" s="136"/>
      <c r="D104" s="132"/>
      <c r="E104" s="126">
        <f t="shared" si="2"/>
        <v>0</v>
      </c>
    </row>
    <row r="105" spans="1:5" x14ac:dyDescent="0.2">
      <c r="A105" s="130" t="s">
        <v>38</v>
      </c>
      <c r="B105" s="131">
        <v>40103050</v>
      </c>
      <c r="C105" s="136"/>
      <c r="D105" s="132"/>
      <c r="E105" s="126">
        <f t="shared" si="2"/>
        <v>0</v>
      </c>
    </row>
    <row r="106" spans="1:5" x14ac:dyDescent="0.2">
      <c r="A106" s="130" t="s">
        <v>139</v>
      </c>
      <c r="B106" s="131">
        <v>40103060</v>
      </c>
      <c r="C106" s="136"/>
      <c r="D106" s="132"/>
      <c r="E106" s="126">
        <f t="shared" si="2"/>
        <v>0</v>
      </c>
    </row>
    <row r="107" spans="1:5" x14ac:dyDescent="0.2">
      <c r="A107" s="130" t="s">
        <v>126</v>
      </c>
      <c r="B107" s="131">
        <v>40103070</v>
      </c>
      <c r="C107" s="136"/>
      <c r="D107" s="132"/>
      <c r="E107" s="126">
        <f t="shared" si="2"/>
        <v>0</v>
      </c>
    </row>
    <row r="108" spans="1:5" x14ac:dyDescent="0.2">
      <c r="A108" s="130" t="s">
        <v>100</v>
      </c>
      <c r="B108" s="131">
        <v>40104990</v>
      </c>
      <c r="C108" s="136"/>
      <c r="D108" s="132"/>
      <c r="E108" s="126">
        <f t="shared" si="2"/>
        <v>0</v>
      </c>
    </row>
    <row r="109" spans="1:5" x14ac:dyDescent="0.2">
      <c r="A109" s="130" t="s">
        <v>101</v>
      </c>
      <c r="B109" s="131">
        <v>40105020</v>
      </c>
      <c r="C109" s="136"/>
      <c r="D109" s="132"/>
      <c r="E109" s="126">
        <f t="shared" si="2"/>
        <v>0</v>
      </c>
    </row>
    <row r="110" spans="1:5" x14ac:dyDescent="0.2">
      <c r="A110" s="130" t="s">
        <v>102</v>
      </c>
      <c r="B110" s="131">
        <v>40106010</v>
      </c>
      <c r="C110" s="136"/>
      <c r="D110" s="132"/>
      <c r="E110" s="126">
        <f t="shared" si="2"/>
        <v>0</v>
      </c>
    </row>
    <row r="111" spans="1:5" x14ac:dyDescent="0.2">
      <c r="A111" s="130" t="s">
        <v>192</v>
      </c>
      <c r="B111" s="131">
        <v>40106030</v>
      </c>
      <c r="C111" s="136"/>
      <c r="D111" s="132"/>
      <c r="E111" s="126">
        <f t="shared" si="2"/>
        <v>0</v>
      </c>
    </row>
    <row r="112" spans="1:5" x14ac:dyDescent="0.2">
      <c r="A112" s="130" t="s">
        <v>39</v>
      </c>
      <c r="B112" s="131">
        <v>40201010</v>
      </c>
      <c r="C112" s="136"/>
      <c r="D112" s="132"/>
      <c r="E112" s="126">
        <f t="shared" si="2"/>
        <v>0</v>
      </c>
    </row>
    <row r="113" spans="1:5" x14ac:dyDescent="0.2">
      <c r="A113" s="130" t="s">
        <v>40</v>
      </c>
      <c r="B113" s="131">
        <v>40201020</v>
      </c>
      <c r="C113" s="136"/>
      <c r="D113" s="132"/>
      <c r="E113" s="126">
        <f t="shared" si="2"/>
        <v>0</v>
      </c>
    </row>
    <row r="114" spans="1:5" x14ac:dyDescent="0.2">
      <c r="A114" s="130" t="s">
        <v>205</v>
      </c>
      <c r="B114" s="131">
        <v>40201030</v>
      </c>
      <c r="C114" s="136"/>
      <c r="D114" s="132"/>
      <c r="E114" s="126">
        <f t="shared" si="2"/>
        <v>0</v>
      </c>
    </row>
    <row r="115" spans="1:5" x14ac:dyDescent="0.2">
      <c r="A115" s="130" t="s">
        <v>41</v>
      </c>
      <c r="B115" s="131">
        <v>40201040</v>
      </c>
      <c r="C115" s="136"/>
      <c r="D115" s="132"/>
      <c r="E115" s="126">
        <f t="shared" si="2"/>
        <v>0</v>
      </c>
    </row>
    <row r="116" spans="1:5" x14ac:dyDescent="0.2">
      <c r="A116" s="130" t="s">
        <v>43</v>
      </c>
      <c r="B116" s="131">
        <v>40201100</v>
      </c>
      <c r="C116" s="136"/>
      <c r="D116" s="132"/>
      <c r="E116" s="126">
        <f t="shared" si="2"/>
        <v>0</v>
      </c>
    </row>
    <row r="117" spans="1:5" x14ac:dyDescent="0.2">
      <c r="A117" s="130" t="s">
        <v>103</v>
      </c>
      <c r="B117" s="131">
        <v>40201140</v>
      </c>
      <c r="C117" s="136"/>
      <c r="D117" s="132"/>
      <c r="E117" s="126">
        <f t="shared" si="2"/>
        <v>0</v>
      </c>
    </row>
    <row r="118" spans="1:5" x14ac:dyDescent="0.2">
      <c r="A118" s="130" t="s">
        <v>104</v>
      </c>
      <c r="B118" s="131">
        <v>40201160</v>
      </c>
      <c r="C118" s="136"/>
      <c r="D118" s="132"/>
      <c r="E118" s="126">
        <f t="shared" si="2"/>
        <v>0</v>
      </c>
    </row>
    <row r="119" spans="1:5" x14ac:dyDescent="0.2">
      <c r="A119" s="130" t="s">
        <v>127</v>
      </c>
      <c r="B119" s="131">
        <v>40201980</v>
      </c>
      <c r="C119" s="136"/>
      <c r="D119" s="132"/>
      <c r="E119" s="126">
        <f t="shared" si="2"/>
        <v>0</v>
      </c>
    </row>
    <row r="120" spans="1:5" x14ac:dyDescent="0.2">
      <c r="A120" s="130" t="s">
        <v>44</v>
      </c>
      <c r="B120" s="131">
        <v>40201990</v>
      </c>
      <c r="C120" s="136"/>
      <c r="D120" s="132"/>
      <c r="E120" s="126">
        <f t="shared" si="2"/>
        <v>0</v>
      </c>
    </row>
    <row r="121" spans="1:5" x14ac:dyDescent="0.2">
      <c r="A121" s="130" t="s">
        <v>45</v>
      </c>
      <c r="B121" s="131">
        <v>40202050</v>
      </c>
      <c r="C121" s="136"/>
      <c r="D121" s="132"/>
      <c r="E121" s="126">
        <f t="shared" si="2"/>
        <v>0</v>
      </c>
    </row>
    <row r="122" spans="1:5" x14ac:dyDescent="0.2">
      <c r="A122" s="130" t="s">
        <v>105</v>
      </c>
      <c r="B122" s="131">
        <v>40202140</v>
      </c>
      <c r="C122" s="136"/>
      <c r="D122" s="132"/>
      <c r="E122" s="126">
        <f t="shared" si="2"/>
        <v>0</v>
      </c>
    </row>
    <row r="123" spans="1:5" x14ac:dyDescent="0.2">
      <c r="A123" s="130" t="s">
        <v>106</v>
      </c>
      <c r="B123" s="131">
        <v>40202150</v>
      </c>
      <c r="C123" s="136"/>
      <c r="D123" s="132"/>
      <c r="E123" s="126">
        <f t="shared" si="2"/>
        <v>0</v>
      </c>
    </row>
    <row r="124" spans="1:5" x14ac:dyDescent="0.2">
      <c r="A124" s="130" t="s">
        <v>107</v>
      </c>
      <c r="B124" s="131">
        <v>40202160</v>
      </c>
      <c r="C124" s="136"/>
      <c r="D124" s="132"/>
      <c r="E124" s="126">
        <f t="shared" si="2"/>
        <v>0</v>
      </c>
    </row>
    <row r="125" spans="1:5" x14ac:dyDescent="0.2">
      <c r="A125" s="130" t="s">
        <v>42</v>
      </c>
      <c r="B125" s="131">
        <v>40202190</v>
      </c>
      <c r="C125" s="136"/>
      <c r="D125" s="132"/>
      <c r="E125" s="126">
        <f t="shared" si="2"/>
        <v>0</v>
      </c>
    </row>
    <row r="126" spans="1:5" x14ac:dyDescent="0.2">
      <c r="A126" s="130" t="s">
        <v>131</v>
      </c>
      <c r="B126" s="131">
        <v>40202220</v>
      </c>
      <c r="C126" s="136"/>
      <c r="D126" s="132"/>
      <c r="E126" s="126">
        <f t="shared" si="2"/>
        <v>0</v>
      </c>
    </row>
    <row r="127" spans="1:5" x14ac:dyDescent="0.2">
      <c r="A127" s="130" t="s">
        <v>222</v>
      </c>
      <c r="B127" s="131">
        <v>40202980</v>
      </c>
      <c r="C127" s="136"/>
      <c r="D127" s="132"/>
      <c r="E127" s="126">
        <f t="shared" si="2"/>
        <v>0</v>
      </c>
    </row>
    <row r="128" spans="1:5" x14ac:dyDescent="0.2">
      <c r="A128" s="130" t="s">
        <v>129</v>
      </c>
      <c r="B128" s="131">
        <v>40202990</v>
      </c>
      <c r="C128" s="136"/>
      <c r="D128" s="132"/>
      <c r="E128" s="126">
        <f t="shared" si="2"/>
        <v>0</v>
      </c>
    </row>
    <row r="129" spans="1:5" x14ac:dyDescent="0.2">
      <c r="A129" s="130" t="s">
        <v>212</v>
      </c>
      <c r="B129" s="131">
        <v>40301010</v>
      </c>
      <c r="C129" s="136"/>
      <c r="D129" s="132"/>
      <c r="E129" s="126">
        <f t="shared" si="2"/>
        <v>0</v>
      </c>
    </row>
    <row r="130" spans="1:5" x14ac:dyDescent="0.2">
      <c r="A130" s="130" t="s">
        <v>217</v>
      </c>
      <c r="B130" s="131">
        <v>40302010</v>
      </c>
      <c r="C130" s="136"/>
      <c r="D130" s="132"/>
      <c r="E130" s="126">
        <f t="shared" si="2"/>
        <v>0</v>
      </c>
    </row>
    <row r="131" spans="1:5" x14ac:dyDescent="0.2">
      <c r="A131" s="130" t="s">
        <v>108</v>
      </c>
      <c r="B131" s="131">
        <v>40401020</v>
      </c>
      <c r="C131" s="136"/>
      <c r="D131" s="132"/>
      <c r="E131" s="126">
        <f t="shared" si="2"/>
        <v>0</v>
      </c>
    </row>
    <row r="132" spans="1:5" x14ac:dyDescent="0.2">
      <c r="A132" s="130" t="s">
        <v>187</v>
      </c>
      <c r="B132" s="131">
        <v>40402010</v>
      </c>
      <c r="C132" s="136"/>
      <c r="D132" s="132"/>
      <c r="E132" s="126">
        <f t="shared" si="2"/>
        <v>0</v>
      </c>
    </row>
    <row r="133" spans="1:5" x14ac:dyDescent="0.2">
      <c r="A133" s="130" t="s">
        <v>227</v>
      </c>
      <c r="B133" s="131">
        <v>40402020</v>
      </c>
      <c r="C133" s="136"/>
      <c r="D133" s="132"/>
      <c r="E133" s="126">
        <f t="shared" si="2"/>
        <v>0</v>
      </c>
    </row>
    <row r="134" spans="1:5" x14ac:dyDescent="0.2">
      <c r="A134" s="130" t="s">
        <v>213</v>
      </c>
      <c r="B134" s="131">
        <v>40601010</v>
      </c>
      <c r="C134" s="136"/>
      <c r="D134" s="132"/>
      <c r="E134" s="126">
        <f t="shared" si="2"/>
        <v>0</v>
      </c>
    </row>
    <row r="135" spans="1:5" x14ac:dyDescent="0.2">
      <c r="A135" s="130" t="s">
        <v>109</v>
      </c>
      <c r="B135" s="131">
        <v>50101010</v>
      </c>
      <c r="C135" s="132"/>
      <c r="D135" s="132"/>
      <c r="E135" s="126">
        <f>C135-D135</f>
        <v>0</v>
      </c>
    </row>
    <row r="136" spans="1:5" x14ac:dyDescent="0.2">
      <c r="A136" s="130" t="s">
        <v>110</v>
      </c>
      <c r="B136" s="131">
        <v>50101020</v>
      </c>
      <c r="C136" s="132"/>
      <c r="D136" s="132"/>
      <c r="E136" s="126">
        <f t="shared" ref="E136:E199" si="3">C136-D136</f>
        <v>0</v>
      </c>
    </row>
    <row r="137" spans="1:5" x14ac:dyDescent="0.2">
      <c r="A137" s="130" t="s">
        <v>57</v>
      </c>
      <c r="B137" s="131">
        <v>50102010</v>
      </c>
      <c r="C137" s="132"/>
      <c r="D137" s="132"/>
      <c r="E137" s="126">
        <f t="shared" si="3"/>
        <v>0</v>
      </c>
    </row>
    <row r="138" spans="1:5" x14ac:dyDescent="0.2">
      <c r="A138" s="130" t="s">
        <v>111</v>
      </c>
      <c r="B138" s="131">
        <v>50102020</v>
      </c>
      <c r="C138" s="132"/>
      <c r="D138" s="132"/>
      <c r="E138" s="126">
        <f t="shared" si="3"/>
        <v>0</v>
      </c>
    </row>
    <row r="139" spans="1:5" x14ac:dyDescent="0.2">
      <c r="A139" s="130" t="s">
        <v>112</v>
      </c>
      <c r="B139" s="131">
        <v>50102030</v>
      </c>
      <c r="C139" s="132"/>
      <c r="D139" s="132"/>
      <c r="E139" s="126">
        <f t="shared" si="3"/>
        <v>0</v>
      </c>
    </row>
    <row r="140" spans="1:5" x14ac:dyDescent="0.2">
      <c r="A140" s="130" t="s">
        <v>58</v>
      </c>
      <c r="B140" s="131">
        <v>50102040</v>
      </c>
      <c r="C140" s="132"/>
      <c r="D140" s="132"/>
      <c r="E140" s="126">
        <f t="shared" si="3"/>
        <v>0</v>
      </c>
    </row>
    <row r="141" spans="1:5" x14ac:dyDescent="0.2">
      <c r="A141" s="130" t="s">
        <v>113</v>
      </c>
      <c r="B141" s="131">
        <v>50102050</v>
      </c>
      <c r="C141" s="132"/>
      <c r="D141" s="132"/>
      <c r="E141" s="126">
        <f t="shared" si="3"/>
        <v>0</v>
      </c>
    </row>
    <row r="142" spans="1:5" x14ac:dyDescent="0.2">
      <c r="A142" s="130" t="s">
        <v>114</v>
      </c>
      <c r="B142" s="131">
        <v>50102060</v>
      </c>
      <c r="C142" s="132"/>
      <c r="D142" s="132"/>
      <c r="E142" s="126">
        <f t="shared" si="3"/>
        <v>0</v>
      </c>
    </row>
    <row r="143" spans="1:5" x14ac:dyDescent="0.2">
      <c r="A143" s="130" t="s">
        <v>20</v>
      </c>
      <c r="B143" s="131">
        <v>50102100</v>
      </c>
      <c r="C143" s="132"/>
      <c r="D143" s="132"/>
      <c r="E143" s="126">
        <f t="shared" si="3"/>
        <v>0</v>
      </c>
    </row>
    <row r="144" spans="1:5" x14ac:dyDescent="0.2">
      <c r="A144" s="130" t="s">
        <v>21</v>
      </c>
      <c r="B144" s="131">
        <v>50102110</v>
      </c>
      <c r="C144" s="132"/>
      <c r="D144" s="132"/>
      <c r="E144" s="126">
        <f t="shared" si="3"/>
        <v>0</v>
      </c>
    </row>
    <row r="145" spans="1:5" x14ac:dyDescent="0.2">
      <c r="A145" s="130" t="s">
        <v>140</v>
      </c>
      <c r="B145" s="131">
        <v>50102130</v>
      </c>
      <c r="C145" s="132"/>
      <c r="D145" s="132"/>
      <c r="E145" s="126">
        <f t="shared" si="3"/>
        <v>0</v>
      </c>
    </row>
    <row r="146" spans="1:5" x14ac:dyDescent="0.2">
      <c r="A146" s="130" t="s">
        <v>141</v>
      </c>
      <c r="B146" s="131">
        <v>50102140</v>
      </c>
      <c r="C146" s="132"/>
      <c r="D146" s="132"/>
      <c r="E146" s="126">
        <f t="shared" si="3"/>
        <v>0</v>
      </c>
    </row>
    <row r="147" spans="1:5" x14ac:dyDescent="0.2">
      <c r="A147" s="130" t="s">
        <v>142</v>
      </c>
      <c r="B147" s="131">
        <v>50102150</v>
      </c>
      <c r="C147" s="132"/>
      <c r="D147" s="132"/>
      <c r="E147" s="126">
        <f t="shared" si="3"/>
        <v>0</v>
      </c>
    </row>
    <row r="148" spans="1:5" x14ac:dyDescent="0.2">
      <c r="A148" s="130" t="s">
        <v>143</v>
      </c>
      <c r="B148" s="131">
        <v>50102990</v>
      </c>
      <c r="C148" s="132"/>
      <c r="D148" s="132"/>
      <c r="E148" s="126">
        <f t="shared" si="3"/>
        <v>0</v>
      </c>
    </row>
    <row r="149" spans="1:5" x14ac:dyDescent="0.2">
      <c r="A149" s="130" t="s">
        <v>115</v>
      </c>
      <c r="B149" s="131">
        <v>50103010</v>
      </c>
      <c r="C149" s="132"/>
      <c r="D149" s="132"/>
      <c r="E149" s="126">
        <f t="shared" si="3"/>
        <v>0</v>
      </c>
    </row>
    <row r="150" spans="1:5" x14ac:dyDescent="0.2">
      <c r="A150" s="130" t="s">
        <v>59</v>
      </c>
      <c r="B150" s="131">
        <v>50103020</v>
      </c>
      <c r="C150" s="132"/>
      <c r="D150" s="132"/>
      <c r="E150" s="126">
        <f t="shared" si="3"/>
        <v>0</v>
      </c>
    </row>
    <row r="151" spans="1:5" x14ac:dyDescent="0.2">
      <c r="A151" s="130" t="s">
        <v>60</v>
      </c>
      <c r="B151" s="131">
        <v>50103030</v>
      </c>
      <c r="C151" s="132"/>
      <c r="D151" s="132"/>
      <c r="E151" s="126">
        <f t="shared" si="3"/>
        <v>0</v>
      </c>
    </row>
    <row r="152" spans="1:5" x14ac:dyDescent="0.2">
      <c r="A152" s="130" t="s">
        <v>116</v>
      </c>
      <c r="B152" s="131">
        <v>50103040</v>
      </c>
      <c r="C152" s="132"/>
      <c r="D152" s="132"/>
      <c r="E152" s="126">
        <f t="shared" si="3"/>
        <v>0</v>
      </c>
    </row>
    <row r="153" spans="1:5" x14ac:dyDescent="0.2">
      <c r="A153" s="130" t="s">
        <v>46</v>
      </c>
      <c r="B153" s="131">
        <v>50104030</v>
      </c>
      <c r="C153" s="132"/>
      <c r="D153" s="132"/>
      <c r="E153" s="126">
        <f t="shared" si="3"/>
        <v>0</v>
      </c>
    </row>
    <row r="154" spans="1:5" x14ac:dyDescent="0.2">
      <c r="A154" s="130" t="s">
        <v>203</v>
      </c>
      <c r="B154" s="131">
        <v>50104990</v>
      </c>
      <c r="C154" s="132"/>
      <c r="D154" s="132"/>
      <c r="E154" s="126">
        <f t="shared" si="3"/>
        <v>0</v>
      </c>
    </row>
    <row r="155" spans="1:5" x14ac:dyDescent="0.2">
      <c r="A155" s="130" t="s">
        <v>117</v>
      </c>
      <c r="B155" s="131">
        <v>50201010</v>
      </c>
      <c r="C155" s="132"/>
      <c r="D155" s="132"/>
      <c r="E155" s="126">
        <f t="shared" si="3"/>
        <v>0</v>
      </c>
    </row>
    <row r="156" spans="1:5" x14ac:dyDescent="0.2">
      <c r="A156" s="130" t="s">
        <v>47</v>
      </c>
      <c r="B156" s="131">
        <v>50202010</v>
      </c>
      <c r="C156" s="132"/>
      <c r="D156" s="132"/>
      <c r="E156" s="126">
        <f t="shared" si="3"/>
        <v>0</v>
      </c>
    </row>
    <row r="157" spans="1:5" x14ac:dyDescent="0.2">
      <c r="A157" s="130" t="s">
        <v>23</v>
      </c>
      <c r="B157" s="131">
        <v>50203010</v>
      </c>
      <c r="C157" s="132"/>
      <c r="D157" s="132"/>
      <c r="E157" s="126">
        <f t="shared" si="3"/>
        <v>0</v>
      </c>
    </row>
    <row r="158" spans="1:5" x14ac:dyDescent="0.2">
      <c r="A158" s="130" t="s">
        <v>48</v>
      </c>
      <c r="B158" s="131">
        <v>50203020</v>
      </c>
      <c r="C158" s="132"/>
      <c r="D158" s="132"/>
      <c r="E158" s="126">
        <f t="shared" si="3"/>
        <v>0</v>
      </c>
    </row>
    <row r="159" spans="1:5" x14ac:dyDescent="0.2">
      <c r="A159" s="130" t="s">
        <v>206</v>
      </c>
      <c r="B159" s="131">
        <v>50203030</v>
      </c>
      <c r="C159" s="132"/>
      <c r="D159" s="132"/>
      <c r="E159" s="126">
        <f t="shared" si="3"/>
        <v>0</v>
      </c>
    </row>
    <row r="160" spans="1:5" x14ac:dyDescent="0.2">
      <c r="A160" s="130" t="s">
        <v>198</v>
      </c>
      <c r="B160" s="131">
        <v>50203040</v>
      </c>
      <c r="C160" s="132"/>
      <c r="D160" s="132"/>
      <c r="E160" s="126">
        <f t="shared" si="3"/>
        <v>0</v>
      </c>
    </row>
    <row r="161" spans="1:5" x14ac:dyDescent="0.2">
      <c r="A161" s="130" t="s">
        <v>201</v>
      </c>
      <c r="B161" s="131">
        <v>50203050</v>
      </c>
      <c r="C161" s="132"/>
      <c r="D161" s="132"/>
      <c r="E161" s="126">
        <f t="shared" si="3"/>
        <v>0</v>
      </c>
    </row>
    <row r="162" spans="1:5" x14ac:dyDescent="0.2">
      <c r="A162" s="130" t="s">
        <v>144</v>
      </c>
      <c r="B162" s="131">
        <v>50203060</v>
      </c>
      <c r="C162" s="132"/>
      <c r="D162" s="132"/>
      <c r="E162" s="126">
        <f t="shared" si="3"/>
        <v>0</v>
      </c>
    </row>
    <row r="163" spans="1:5" x14ac:dyDescent="0.2">
      <c r="A163" s="130" t="s">
        <v>145</v>
      </c>
      <c r="B163" s="131">
        <v>50203070</v>
      </c>
      <c r="C163" s="132"/>
      <c r="D163" s="132"/>
      <c r="E163" s="126">
        <f t="shared" si="3"/>
        <v>0</v>
      </c>
    </row>
    <row r="164" spans="1:5" x14ac:dyDescent="0.2">
      <c r="A164" s="130" t="s">
        <v>146</v>
      </c>
      <c r="B164" s="131">
        <v>50203080</v>
      </c>
      <c r="C164" s="132"/>
      <c r="D164" s="132"/>
      <c r="E164" s="126">
        <f t="shared" si="3"/>
        <v>0</v>
      </c>
    </row>
    <row r="165" spans="1:5" x14ac:dyDescent="0.2">
      <c r="A165" s="130" t="s">
        <v>118</v>
      </c>
      <c r="B165" s="131">
        <v>50203090</v>
      </c>
      <c r="C165" s="132"/>
      <c r="D165" s="132"/>
      <c r="E165" s="126">
        <f t="shared" si="3"/>
        <v>0</v>
      </c>
    </row>
    <row r="166" spans="1:5" x14ac:dyDescent="0.2">
      <c r="A166" s="130" t="s">
        <v>147</v>
      </c>
      <c r="B166" s="131">
        <v>50203100</v>
      </c>
      <c r="C166" s="132"/>
      <c r="D166" s="132"/>
      <c r="E166" s="126">
        <f t="shared" si="3"/>
        <v>0</v>
      </c>
    </row>
    <row r="167" spans="1:5" x14ac:dyDescent="0.2">
      <c r="A167" s="130" t="s">
        <v>119</v>
      </c>
      <c r="B167" s="131">
        <v>50203990</v>
      </c>
      <c r="C167" s="132"/>
      <c r="D167" s="132"/>
      <c r="E167" s="126">
        <f t="shared" si="3"/>
        <v>0</v>
      </c>
    </row>
    <row r="168" spans="1:5" x14ac:dyDescent="0.2">
      <c r="A168" s="130" t="s">
        <v>25</v>
      </c>
      <c r="B168" s="131">
        <v>50204010</v>
      </c>
      <c r="C168" s="132"/>
      <c r="D168" s="132"/>
      <c r="E168" s="126">
        <f t="shared" si="3"/>
        <v>0</v>
      </c>
    </row>
    <row r="169" spans="1:5" x14ac:dyDescent="0.2">
      <c r="A169" s="137" t="s">
        <v>26</v>
      </c>
      <c r="B169" s="138">
        <v>50204020</v>
      </c>
      <c r="C169" s="132"/>
      <c r="D169" s="132"/>
      <c r="E169" s="126">
        <f t="shared" si="3"/>
        <v>0</v>
      </c>
    </row>
    <row r="170" spans="1:5" x14ac:dyDescent="0.2">
      <c r="A170" s="137" t="s">
        <v>167</v>
      </c>
      <c r="B170" s="138">
        <v>50205010</v>
      </c>
      <c r="C170" s="132"/>
      <c r="D170" s="132"/>
      <c r="E170" s="126">
        <f t="shared" si="3"/>
        <v>0</v>
      </c>
    </row>
    <row r="171" spans="1:5" x14ac:dyDescent="0.2">
      <c r="A171" s="137" t="s">
        <v>151</v>
      </c>
      <c r="B171" s="138">
        <v>50205020</v>
      </c>
      <c r="C171" s="132"/>
      <c r="D171" s="132"/>
      <c r="E171" s="126">
        <f t="shared" si="3"/>
        <v>0</v>
      </c>
    </row>
    <row r="172" spans="1:5" x14ac:dyDescent="0.2">
      <c r="A172" s="137" t="s">
        <v>148</v>
      </c>
      <c r="B172" s="138">
        <v>50205030</v>
      </c>
      <c r="C172" s="132"/>
      <c r="D172" s="132"/>
      <c r="E172" s="126">
        <f t="shared" si="3"/>
        <v>0</v>
      </c>
    </row>
    <row r="173" spans="1:5" x14ac:dyDescent="0.2">
      <c r="A173" s="137" t="s">
        <v>194</v>
      </c>
      <c r="B173" s="138">
        <v>50206010</v>
      </c>
      <c r="C173" s="132"/>
      <c r="D173" s="132"/>
      <c r="E173" s="126">
        <f t="shared" si="3"/>
        <v>0</v>
      </c>
    </row>
    <row r="174" spans="1:5" x14ac:dyDescent="0.2">
      <c r="A174" s="137" t="s">
        <v>199</v>
      </c>
      <c r="B174" s="138">
        <v>50206020</v>
      </c>
      <c r="C174" s="132"/>
      <c r="D174" s="132"/>
      <c r="E174" s="126">
        <f t="shared" si="3"/>
        <v>0</v>
      </c>
    </row>
    <row r="175" spans="1:5" x14ac:dyDescent="0.2">
      <c r="A175" s="137" t="s">
        <v>215</v>
      </c>
      <c r="B175" s="138">
        <v>50207010</v>
      </c>
      <c r="C175" s="132"/>
      <c r="D175" s="132"/>
      <c r="E175" s="126">
        <f t="shared" si="3"/>
        <v>0</v>
      </c>
    </row>
    <row r="176" spans="1:5" x14ac:dyDescent="0.2">
      <c r="A176" s="137" t="s">
        <v>185</v>
      </c>
      <c r="B176" s="138">
        <v>50207020</v>
      </c>
      <c r="C176" s="132"/>
      <c r="D176" s="132"/>
      <c r="E176" s="126">
        <f t="shared" si="3"/>
        <v>0</v>
      </c>
    </row>
    <row r="177" spans="1:5" x14ac:dyDescent="0.2">
      <c r="A177" s="137" t="s">
        <v>149</v>
      </c>
      <c r="B177" s="138">
        <v>50210030</v>
      </c>
      <c r="C177" s="132"/>
      <c r="D177" s="132"/>
      <c r="E177" s="126">
        <f t="shared" si="3"/>
        <v>0</v>
      </c>
    </row>
    <row r="178" spans="1:5" x14ac:dyDescent="0.2">
      <c r="A178" s="137" t="s">
        <v>150</v>
      </c>
      <c r="B178" s="138">
        <v>50211010</v>
      </c>
      <c r="C178" s="132"/>
      <c r="D178" s="132"/>
      <c r="E178" s="126">
        <f t="shared" si="3"/>
        <v>0</v>
      </c>
    </row>
    <row r="179" spans="1:5" x14ac:dyDescent="0.2">
      <c r="A179" s="137" t="s">
        <v>66</v>
      </c>
      <c r="B179" s="138">
        <v>50211020</v>
      </c>
      <c r="C179" s="132"/>
      <c r="D179" s="132"/>
      <c r="E179" s="126">
        <f t="shared" si="3"/>
        <v>0</v>
      </c>
    </row>
    <row r="180" spans="1:5" x14ac:dyDescent="0.2">
      <c r="A180" s="137" t="s">
        <v>27</v>
      </c>
      <c r="B180" s="138">
        <v>50211030</v>
      </c>
      <c r="C180" s="132"/>
      <c r="D180" s="132"/>
      <c r="E180" s="126">
        <f t="shared" si="3"/>
        <v>0</v>
      </c>
    </row>
    <row r="181" spans="1:5" x14ac:dyDescent="0.2">
      <c r="A181" s="137" t="s">
        <v>63</v>
      </c>
      <c r="B181" s="138">
        <v>50211990</v>
      </c>
      <c r="C181" s="132"/>
      <c r="D181" s="132"/>
      <c r="E181" s="126">
        <f t="shared" si="3"/>
        <v>0</v>
      </c>
    </row>
    <row r="182" spans="1:5" x14ac:dyDescent="0.2">
      <c r="A182" s="137" t="s">
        <v>216</v>
      </c>
      <c r="B182" s="138">
        <v>50212030</v>
      </c>
      <c r="C182" s="132"/>
      <c r="D182" s="132"/>
      <c r="E182" s="126">
        <f t="shared" si="3"/>
        <v>0</v>
      </c>
    </row>
    <row r="183" spans="1:5" x14ac:dyDescent="0.2">
      <c r="A183" s="137" t="s">
        <v>202</v>
      </c>
      <c r="B183" s="138">
        <v>50212990</v>
      </c>
      <c r="C183" s="132"/>
      <c r="D183" s="132"/>
      <c r="E183" s="126">
        <f t="shared" si="3"/>
        <v>0</v>
      </c>
    </row>
    <row r="184" spans="1:5" x14ac:dyDescent="0.2">
      <c r="A184" s="137" t="s">
        <v>224</v>
      </c>
      <c r="B184" s="138">
        <v>50213020</v>
      </c>
      <c r="C184" s="132"/>
      <c r="D184" s="132"/>
      <c r="E184" s="126">
        <f t="shared" si="3"/>
        <v>0</v>
      </c>
    </row>
    <row r="185" spans="1:5" x14ac:dyDescent="0.2">
      <c r="A185" s="137" t="s">
        <v>186</v>
      </c>
      <c r="B185" s="138">
        <v>50213030</v>
      </c>
      <c r="C185" s="132"/>
      <c r="D185" s="139"/>
      <c r="E185" s="126">
        <f t="shared" si="3"/>
        <v>0</v>
      </c>
    </row>
    <row r="186" spans="1:5" x14ac:dyDescent="0.2">
      <c r="A186" s="137" t="s">
        <v>120</v>
      </c>
      <c r="B186" s="138">
        <v>50213040</v>
      </c>
      <c r="C186" s="132"/>
      <c r="D186" s="139"/>
      <c r="E186" s="126">
        <f t="shared" si="3"/>
        <v>0</v>
      </c>
    </row>
    <row r="187" spans="1:5" x14ac:dyDescent="0.2">
      <c r="A187" s="137" t="s">
        <v>121</v>
      </c>
      <c r="B187" s="138">
        <v>50213050</v>
      </c>
      <c r="C187" s="132"/>
      <c r="D187" s="139"/>
      <c r="E187" s="126">
        <f t="shared" si="3"/>
        <v>0</v>
      </c>
    </row>
    <row r="188" spans="1:5" x14ac:dyDescent="0.2">
      <c r="A188" s="137" t="s">
        <v>122</v>
      </c>
      <c r="B188" s="138">
        <v>50213060</v>
      </c>
      <c r="C188" s="132"/>
      <c r="D188" s="139"/>
      <c r="E188" s="126">
        <f t="shared" si="3"/>
        <v>0</v>
      </c>
    </row>
    <row r="189" spans="1:5" x14ac:dyDescent="0.2">
      <c r="A189" s="137" t="s">
        <v>152</v>
      </c>
      <c r="B189" s="138">
        <v>50213070</v>
      </c>
      <c r="C189" s="132"/>
      <c r="D189" s="139"/>
      <c r="E189" s="126">
        <f t="shared" si="3"/>
        <v>0</v>
      </c>
    </row>
    <row r="190" spans="1:5" x14ac:dyDescent="0.2">
      <c r="A190" s="137" t="s">
        <v>170</v>
      </c>
      <c r="B190" s="138">
        <v>50213990</v>
      </c>
      <c r="C190" s="132"/>
      <c r="D190" s="139"/>
      <c r="E190" s="126">
        <f t="shared" si="3"/>
        <v>0</v>
      </c>
    </row>
    <row r="191" spans="1:5" x14ac:dyDescent="0.2">
      <c r="A191" s="137" t="s">
        <v>153</v>
      </c>
      <c r="B191" s="138">
        <v>50214030</v>
      </c>
      <c r="C191" s="132"/>
      <c r="D191" s="139"/>
      <c r="E191" s="126">
        <f t="shared" si="3"/>
        <v>0</v>
      </c>
    </row>
    <row r="192" spans="1:5" x14ac:dyDescent="0.2">
      <c r="A192" s="137" t="s">
        <v>220</v>
      </c>
      <c r="B192" s="138">
        <v>50214060</v>
      </c>
      <c r="C192" s="132"/>
      <c r="D192" s="139"/>
      <c r="E192" s="126">
        <f t="shared" si="3"/>
        <v>0</v>
      </c>
    </row>
    <row r="193" spans="1:5" x14ac:dyDescent="0.2">
      <c r="A193" s="137" t="s">
        <v>211</v>
      </c>
      <c r="B193" s="138">
        <v>50215020</v>
      </c>
      <c r="C193" s="132"/>
      <c r="D193" s="139"/>
      <c r="E193" s="126">
        <f t="shared" si="3"/>
        <v>0</v>
      </c>
    </row>
    <row r="194" spans="1:5" x14ac:dyDescent="0.2">
      <c r="A194" s="137" t="s">
        <v>154</v>
      </c>
      <c r="B194" s="138">
        <v>50216010</v>
      </c>
      <c r="C194" s="132"/>
      <c r="D194" s="139"/>
      <c r="E194" s="126">
        <f t="shared" si="3"/>
        <v>0</v>
      </c>
    </row>
    <row r="195" spans="1:5" x14ac:dyDescent="0.2">
      <c r="A195" s="137" t="s">
        <v>155</v>
      </c>
      <c r="B195" s="138">
        <v>50216020</v>
      </c>
      <c r="C195" s="132"/>
      <c r="D195" s="139"/>
      <c r="E195" s="126">
        <f t="shared" si="3"/>
        <v>0</v>
      </c>
    </row>
    <row r="196" spans="1:5" x14ac:dyDescent="0.2">
      <c r="A196" s="137" t="s">
        <v>156</v>
      </c>
      <c r="B196" s="138">
        <v>50216030</v>
      </c>
      <c r="C196" s="132"/>
      <c r="D196" s="139"/>
      <c r="E196" s="126">
        <f t="shared" si="3"/>
        <v>0</v>
      </c>
    </row>
    <row r="197" spans="1:5" x14ac:dyDescent="0.2">
      <c r="A197" s="137" t="s">
        <v>157</v>
      </c>
      <c r="B197" s="138">
        <v>50299010</v>
      </c>
      <c r="C197" s="132"/>
      <c r="D197" s="139"/>
      <c r="E197" s="126">
        <f t="shared" si="3"/>
        <v>0</v>
      </c>
    </row>
    <row r="198" spans="1:5" x14ac:dyDescent="0.2">
      <c r="A198" s="137" t="s">
        <v>158</v>
      </c>
      <c r="B198" s="138">
        <v>50299020</v>
      </c>
      <c r="C198" s="132"/>
      <c r="D198" s="139"/>
      <c r="E198" s="126">
        <f t="shared" si="3"/>
        <v>0</v>
      </c>
    </row>
    <row r="199" spans="1:5" x14ac:dyDescent="0.2">
      <c r="A199" s="137" t="s">
        <v>24</v>
      </c>
      <c r="B199" s="138">
        <v>50299030</v>
      </c>
      <c r="C199" s="132"/>
      <c r="D199" s="139"/>
      <c r="E199" s="126">
        <f t="shared" si="3"/>
        <v>0</v>
      </c>
    </row>
    <row r="200" spans="1:5" x14ac:dyDescent="0.2">
      <c r="A200" s="137" t="s">
        <v>159</v>
      </c>
      <c r="B200" s="138">
        <v>50299050</v>
      </c>
      <c r="C200" s="132"/>
      <c r="D200" s="139"/>
      <c r="E200" s="126">
        <f t="shared" ref="E200:E209" si="4">C200-D200</f>
        <v>0</v>
      </c>
    </row>
    <row r="201" spans="1:5" x14ac:dyDescent="0.2">
      <c r="A201" s="137" t="s">
        <v>160</v>
      </c>
      <c r="B201" s="138">
        <v>50299060</v>
      </c>
      <c r="C201" s="132"/>
      <c r="D201" s="139"/>
      <c r="E201" s="126">
        <f t="shared" si="4"/>
        <v>0</v>
      </c>
    </row>
    <row r="202" spans="1:5" x14ac:dyDescent="0.2">
      <c r="A202" s="137" t="s">
        <v>28</v>
      </c>
      <c r="B202" s="138">
        <v>50299080</v>
      </c>
      <c r="C202" s="132"/>
      <c r="D202" s="139"/>
      <c r="E202" s="126">
        <f t="shared" si="4"/>
        <v>0</v>
      </c>
    </row>
    <row r="203" spans="1:5" x14ac:dyDescent="0.2">
      <c r="A203" s="137" t="s">
        <v>168</v>
      </c>
      <c r="B203" s="138">
        <v>50299990</v>
      </c>
      <c r="C203" s="132"/>
      <c r="D203" s="139"/>
      <c r="E203" s="126">
        <f t="shared" si="4"/>
        <v>0</v>
      </c>
    </row>
    <row r="204" spans="1:5" x14ac:dyDescent="0.2">
      <c r="A204" s="137" t="s">
        <v>161</v>
      </c>
      <c r="B204" s="138">
        <v>50301990</v>
      </c>
      <c r="C204" s="132"/>
      <c r="D204" s="139"/>
      <c r="E204" s="126">
        <f t="shared" si="4"/>
        <v>0</v>
      </c>
    </row>
    <row r="205" spans="1:5" x14ac:dyDescent="0.2">
      <c r="A205" s="137" t="s">
        <v>191</v>
      </c>
      <c r="B205" s="138">
        <v>50501030</v>
      </c>
      <c r="C205" s="132"/>
      <c r="D205" s="139"/>
      <c r="E205" s="126">
        <f t="shared" si="4"/>
        <v>0</v>
      </c>
    </row>
    <row r="206" spans="1:5" x14ac:dyDescent="0.2">
      <c r="A206" s="137" t="s">
        <v>162</v>
      </c>
      <c r="B206" s="138">
        <v>50501050</v>
      </c>
      <c r="C206" s="132"/>
      <c r="D206" s="139"/>
      <c r="E206" s="126">
        <f t="shared" si="4"/>
        <v>0</v>
      </c>
    </row>
    <row r="207" spans="1:5" x14ac:dyDescent="0.2">
      <c r="A207" s="137" t="s">
        <v>163</v>
      </c>
      <c r="B207" s="138">
        <v>50501060</v>
      </c>
      <c r="C207" s="132"/>
      <c r="D207" s="139"/>
      <c r="E207" s="126">
        <f t="shared" si="4"/>
        <v>0</v>
      </c>
    </row>
    <row r="208" spans="1:5" x14ac:dyDescent="0.2">
      <c r="A208" s="137" t="s">
        <v>164</v>
      </c>
      <c r="B208" s="138">
        <v>50501070</v>
      </c>
      <c r="C208" s="132"/>
      <c r="D208" s="139"/>
      <c r="E208" s="126">
        <f t="shared" si="4"/>
        <v>0</v>
      </c>
    </row>
    <row r="209" spans="1:5" x14ac:dyDescent="0.2">
      <c r="A209" s="137" t="s">
        <v>165</v>
      </c>
      <c r="B209" s="138">
        <v>50501990</v>
      </c>
      <c r="C209" s="139"/>
      <c r="D209" s="139"/>
      <c r="E209" s="126">
        <f t="shared" si="4"/>
        <v>0</v>
      </c>
    </row>
    <row r="210" spans="1:5" ht="15.75" x14ac:dyDescent="0.2">
      <c r="A210" s="140"/>
      <c r="B210" s="141" t="s">
        <v>6</v>
      </c>
      <c r="C210" s="142">
        <f>SUM(C11:C209)</f>
        <v>0</v>
      </c>
      <c r="D210" s="142">
        <f>SUM(D11:D204)</f>
        <v>0</v>
      </c>
      <c r="E210" s="143"/>
    </row>
    <row r="211" spans="1:5" x14ac:dyDescent="0.2">
      <c r="A211" s="144"/>
      <c r="B211" s="145"/>
      <c r="C211" s="146"/>
      <c r="D211" s="147"/>
      <c r="E211" s="148"/>
    </row>
    <row r="212" spans="1:5" x14ac:dyDescent="0.2">
      <c r="A212" s="117" t="s">
        <v>64</v>
      </c>
      <c r="B212" s="241" t="s">
        <v>0</v>
      </c>
      <c r="C212" s="241"/>
      <c r="D212" s="241"/>
      <c r="E212" s="149"/>
    </row>
    <row r="213" spans="1:5" x14ac:dyDescent="0.2">
      <c r="A213" s="117"/>
      <c r="B213" s="114"/>
      <c r="C213" s="150"/>
      <c r="D213" s="117"/>
      <c r="E213" s="117"/>
    </row>
    <row r="214" spans="1:5" x14ac:dyDescent="0.2">
      <c r="A214" s="117"/>
      <c r="B214" s="114"/>
      <c r="C214" s="151"/>
      <c r="D214" s="117"/>
      <c r="E214" s="117"/>
    </row>
    <row r="215" spans="1:5" ht="15.75" x14ac:dyDescent="0.2">
      <c r="A215" s="111" t="s">
        <v>247</v>
      </c>
      <c r="B215" s="242" t="s">
        <v>200</v>
      </c>
      <c r="C215" s="242"/>
      <c r="D215" s="242"/>
      <c r="E215" s="111"/>
    </row>
    <row r="216" spans="1:5" ht="15.75" x14ac:dyDescent="0.2">
      <c r="A216" s="113" t="s">
        <v>246</v>
      </c>
      <c r="B216" s="237" t="s">
        <v>195</v>
      </c>
      <c r="C216" s="237"/>
      <c r="D216" s="237"/>
      <c r="E216" s="113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17:O17"/>
    <mergeCell ref="P17:Q17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topLeftCell="A12" zoomScale="71" zoomScaleNormal="71" workbookViewId="0">
      <selection activeCell="E11" sqref="E11"/>
    </sheetView>
  </sheetViews>
  <sheetFormatPr defaultRowHeight="18" x14ac:dyDescent="0.25"/>
  <cols>
    <col min="1" max="1" width="67.42578125" style="165" customWidth="1"/>
    <col min="2" max="2" width="16.5703125" style="165" customWidth="1"/>
    <col min="3" max="3" width="18.5703125" style="165" customWidth="1"/>
    <col min="4" max="4" width="20.28515625" style="165" customWidth="1"/>
    <col min="5" max="5" width="20.42578125" style="165" customWidth="1"/>
    <col min="6" max="6" width="14" style="165" customWidth="1"/>
    <col min="7" max="7" width="11.42578125" style="165" customWidth="1"/>
    <col min="8" max="8" width="9.140625" style="165"/>
    <col min="9" max="9" width="10.42578125" style="165" customWidth="1"/>
    <col min="10" max="10" width="11.28515625" style="165" customWidth="1"/>
    <col min="11" max="11" width="9.140625" style="165"/>
    <col min="12" max="12" width="10.5703125" style="165" customWidth="1"/>
    <col min="13" max="13" width="11.7109375" style="165" customWidth="1"/>
    <col min="14" max="16384" width="9.140625" style="165"/>
  </cols>
  <sheetData>
    <row r="1" spans="1:17" x14ac:dyDescent="0.25">
      <c r="A1" s="271" t="s">
        <v>2</v>
      </c>
      <c r="B1" s="271"/>
      <c r="C1" s="271"/>
      <c r="D1" s="271"/>
      <c r="E1" s="164"/>
    </row>
    <row r="2" spans="1:17" x14ac:dyDescent="0.25">
      <c r="A2" s="272" t="s">
        <v>3</v>
      </c>
      <c r="B2" s="272"/>
      <c r="C2" s="272"/>
      <c r="D2" s="272"/>
      <c r="E2" s="166"/>
    </row>
    <row r="3" spans="1:17" x14ac:dyDescent="0.25">
      <c r="A3" s="271" t="s">
        <v>1</v>
      </c>
      <c r="B3" s="271"/>
      <c r="C3" s="271"/>
      <c r="D3" s="271"/>
      <c r="E3" s="164"/>
    </row>
    <row r="4" spans="1:17" x14ac:dyDescent="0.25">
      <c r="A4" s="167"/>
      <c r="B4" s="164"/>
      <c r="C4" s="168"/>
      <c r="D4" s="167"/>
      <c r="E4" s="167"/>
    </row>
    <row r="5" spans="1:17" x14ac:dyDescent="0.25">
      <c r="A5" s="272" t="s">
        <v>7</v>
      </c>
      <c r="B5" s="272"/>
      <c r="C5" s="272"/>
      <c r="D5" s="272"/>
      <c r="E5" s="166"/>
    </row>
    <row r="6" spans="1:17" x14ac:dyDescent="0.25">
      <c r="A6" s="271" t="s">
        <v>256</v>
      </c>
      <c r="B6" s="271"/>
      <c r="C6" s="271"/>
      <c r="D6" s="271"/>
      <c r="E6" s="164"/>
    </row>
    <row r="7" spans="1:17" ht="18.75" thickBot="1" x14ac:dyDescent="0.3">
      <c r="A7" s="273" t="s">
        <v>260</v>
      </c>
      <c r="B7" s="273"/>
      <c r="C7" s="273"/>
      <c r="D7" s="273"/>
      <c r="E7" s="169"/>
    </row>
    <row r="8" spans="1:17" ht="23.25" thickTop="1" x14ac:dyDescent="0.45">
      <c r="A8" s="266" t="s">
        <v>10</v>
      </c>
      <c r="B8" s="266" t="s">
        <v>9</v>
      </c>
      <c r="C8" s="266" t="s">
        <v>4</v>
      </c>
      <c r="D8" s="266" t="s">
        <v>5</v>
      </c>
      <c r="E8" s="170"/>
      <c r="F8" s="171" t="s">
        <v>235</v>
      </c>
      <c r="G8" s="171" t="s">
        <v>236</v>
      </c>
      <c r="H8" s="171" t="s">
        <v>237</v>
      </c>
      <c r="I8" s="172" t="s">
        <v>238</v>
      </c>
      <c r="J8" s="172" t="s">
        <v>239</v>
      </c>
      <c r="K8" s="171" t="s">
        <v>240</v>
      </c>
      <c r="L8" s="172" t="s">
        <v>241</v>
      </c>
      <c r="M8" s="172" t="s">
        <v>242</v>
      </c>
      <c r="N8" s="172" t="s">
        <v>243</v>
      </c>
      <c r="O8" s="172"/>
    </row>
    <row r="9" spans="1:17" x14ac:dyDescent="0.25">
      <c r="A9" s="267"/>
      <c r="B9" s="267"/>
      <c r="C9" s="267"/>
      <c r="D9" s="267"/>
      <c r="E9" s="170"/>
    </row>
    <row r="10" spans="1:17" ht="18.75" thickBot="1" x14ac:dyDescent="0.3">
      <c r="A10" s="268"/>
      <c r="B10" s="268"/>
      <c r="C10" s="268"/>
      <c r="D10" s="268"/>
      <c r="E10" s="170"/>
    </row>
    <row r="11" spans="1:17" ht="18.75" thickTop="1" x14ac:dyDescent="0.25">
      <c r="A11" s="173" t="s">
        <v>123</v>
      </c>
      <c r="B11" s="174">
        <v>10101010</v>
      </c>
      <c r="C11" s="175"/>
      <c r="D11" s="175"/>
      <c r="E11" s="176">
        <f>C11-D11</f>
        <v>0</v>
      </c>
      <c r="F11" s="177"/>
      <c r="H11" s="177"/>
      <c r="I11" s="178"/>
      <c r="J11" s="178"/>
      <c r="K11" s="178"/>
      <c r="L11" s="178"/>
      <c r="M11" s="178"/>
      <c r="N11" s="261"/>
      <c r="O11" s="262"/>
      <c r="P11" s="263"/>
      <c r="Q11" s="264"/>
    </row>
    <row r="12" spans="1:17" x14ac:dyDescent="0.25">
      <c r="A12" s="179" t="s">
        <v>67</v>
      </c>
      <c r="B12" s="180">
        <v>10101020</v>
      </c>
      <c r="C12" s="181"/>
      <c r="D12" s="181"/>
      <c r="E12" s="176">
        <f t="shared" ref="E12:E75" si="0">C12-D12</f>
        <v>0</v>
      </c>
      <c r="F12" s="182"/>
    </row>
    <row r="13" spans="1:17" x14ac:dyDescent="0.25">
      <c r="A13" s="179" t="s">
        <v>226</v>
      </c>
      <c r="B13" s="180">
        <v>10102020</v>
      </c>
      <c r="C13" s="181">
        <f>185342+810674.8</f>
        <v>996016.8</v>
      </c>
      <c r="D13" s="181"/>
      <c r="E13" s="176">
        <f t="shared" si="0"/>
        <v>996016.8</v>
      </c>
      <c r="F13" s="183"/>
      <c r="G13" s="183"/>
    </row>
    <row r="14" spans="1:17" x14ac:dyDescent="0.25">
      <c r="A14" s="179" t="s">
        <v>68</v>
      </c>
      <c r="B14" s="180">
        <v>10205990</v>
      </c>
      <c r="C14" s="181"/>
      <c r="D14" s="181"/>
      <c r="E14" s="176">
        <f t="shared" si="0"/>
        <v>0</v>
      </c>
      <c r="F14" s="178"/>
      <c r="H14" s="178"/>
      <c r="I14" s="178"/>
      <c r="J14" s="178"/>
      <c r="K14" s="178"/>
      <c r="L14" s="178"/>
      <c r="M14" s="178"/>
      <c r="N14" s="261"/>
      <c r="O14" s="262"/>
      <c r="P14" s="261"/>
      <c r="Q14" s="262"/>
    </row>
    <row r="15" spans="1:17" x14ac:dyDescent="0.25">
      <c r="A15" s="179" t="s">
        <v>11</v>
      </c>
      <c r="B15" s="180">
        <v>10301020</v>
      </c>
      <c r="C15" s="181"/>
      <c r="D15" s="181"/>
      <c r="E15" s="176">
        <f t="shared" si="0"/>
        <v>0</v>
      </c>
    </row>
    <row r="16" spans="1:17" x14ac:dyDescent="0.25">
      <c r="A16" s="179" t="s">
        <v>133</v>
      </c>
      <c r="B16" s="180">
        <v>10303010</v>
      </c>
      <c r="C16" s="181"/>
      <c r="D16" s="181"/>
      <c r="E16" s="176">
        <f t="shared" si="0"/>
        <v>0</v>
      </c>
    </row>
    <row r="17" spans="1:14" x14ac:dyDescent="0.25">
      <c r="A17" s="179" t="s">
        <v>50</v>
      </c>
      <c r="B17" s="180">
        <v>10303020</v>
      </c>
      <c r="C17" s="181"/>
      <c r="D17" s="181"/>
      <c r="E17" s="176">
        <f t="shared" si="0"/>
        <v>0</v>
      </c>
    </row>
    <row r="18" spans="1:14" x14ac:dyDescent="0.25">
      <c r="A18" s="179" t="s">
        <v>51</v>
      </c>
      <c r="B18" s="180">
        <v>10303030</v>
      </c>
      <c r="C18" s="181"/>
      <c r="D18" s="181"/>
      <c r="E18" s="176">
        <f t="shared" si="0"/>
        <v>0</v>
      </c>
    </row>
    <row r="19" spans="1:14" x14ac:dyDescent="0.25">
      <c r="A19" s="179" t="s">
        <v>12</v>
      </c>
      <c r="B19" s="180">
        <v>10304050</v>
      </c>
      <c r="C19" s="181"/>
      <c r="D19" s="181"/>
      <c r="E19" s="176">
        <f t="shared" si="0"/>
        <v>0</v>
      </c>
    </row>
    <row r="20" spans="1:14" x14ac:dyDescent="0.25">
      <c r="A20" s="179" t="s">
        <v>125</v>
      </c>
      <c r="B20" s="180">
        <v>10305010</v>
      </c>
      <c r="C20" s="181"/>
      <c r="D20" s="181"/>
      <c r="E20" s="176">
        <f t="shared" si="0"/>
        <v>0</v>
      </c>
    </row>
    <row r="21" spans="1:14" x14ac:dyDescent="0.25">
      <c r="A21" s="179" t="s">
        <v>69</v>
      </c>
      <c r="B21" s="180">
        <v>10305020</v>
      </c>
      <c r="C21" s="181"/>
      <c r="D21" s="181"/>
      <c r="E21" s="176">
        <f t="shared" si="0"/>
        <v>0</v>
      </c>
      <c r="N21" s="165" t="s">
        <v>244</v>
      </c>
    </row>
    <row r="22" spans="1:14" x14ac:dyDescent="0.25">
      <c r="A22" s="179" t="s">
        <v>70</v>
      </c>
      <c r="B22" s="180">
        <v>10305040</v>
      </c>
      <c r="C22" s="181"/>
      <c r="D22" s="181"/>
      <c r="E22" s="176">
        <f t="shared" si="0"/>
        <v>0</v>
      </c>
    </row>
    <row r="23" spans="1:14" x14ac:dyDescent="0.25">
      <c r="A23" s="179" t="s">
        <v>124</v>
      </c>
      <c r="B23" s="180">
        <v>10306010</v>
      </c>
      <c r="C23" s="181"/>
      <c r="D23" s="181"/>
      <c r="E23" s="176">
        <f t="shared" si="0"/>
        <v>0</v>
      </c>
    </row>
    <row r="24" spans="1:14" x14ac:dyDescent="0.25">
      <c r="A24" s="179" t="s">
        <v>134</v>
      </c>
      <c r="B24" s="180">
        <v>10306020</v>
      </c>
      <c r="C24" s="181"/>
      <c r="D24" s="181"/>
      <c r="E24" s="176">
        <f t="shared" si="0"/>
        <v>0</v>
      </c>
    </row>
    <row r="25" spans="1:14" x14ac:dyDescent="0.25">
      <c r="A25" s="179" t="s">
        <v>13</v>
      </c>
      <c r="B25" s="180">
        <v>10306990</v>
      </c>
      <c r="C25" s="181"/>
      <c r="D25" s="181"/>
      <c r="E25" s="176">
        <f t="shared" si="0"/>
        <v>0</v>
      </c>
    </row>
    <row r="26" spans="1:14" x14ac:dyDescent="0.25">
      <c r="A26" s="179" t="s">
        <v>135</v>
      </c>
      <c r="B26" s="180">
        <v>10402090</v>
      </c>
      <c r="C26" s="181"/>
      <c r="D26" s="181"/>
      <c r="E26" s="176">
        <f t="shared" si="0"/>
        <v>0</v>
      </c>
    </row>
    <row r="27" spans="1:14" x14ac:dyDescent="0.25">
      <c r="A27" s="179" t="s">
        <v>65</v>
      </c>
      <c r="B27" s="180">
        <v>10404010</v>
      </c>
      <c r="C27" s="181"/>
      <c r="D27" s="181"/>
      <c r="E27" s="176">
        <f t="shared" si="0"/>
        <v>0</v>
      </c>
    </row>
    <row r="28" spans="1:14" x14ac:dyDescent="0.25">
      <c r="A28" s="179" t="s">
        <v>219</v>
      </c>
      <c r="B28" s="180">
        <v>10404060</v>
      </c>
      <c r="C28" s="181"/>
      <c r="D28" s="181"/>
      <c r="E28" s="176">
        <f t="shared" si="0"/>
        <v>0</v>
      </c>
    </row>
    <row r="29" spans="1:14" x14ac:dyDescent="0.25">
      <c r="A29" s="179" t="s">
        <v>196</v>
      </c>
      <c r="B29" s="180">
        <v>10404070</v>
      </c>
      <c r="C29" s="181"/>
      <c r="D29" s="181"/>
      <c r="E29" s="176">
        <f t="shared" si="0"/>
        <v>0</v>
      </c>
    </row>
    <row r="30" spans="1:14" x14ac:dyDescent="0.25">
      <c r="A30" s="179" t="s">
        <v>188</v>
      </c>
      <c r="B30" s="180">
        <v>10404090</v>
      </c>
      <c r="C30" s="181"/>
      <c r="D30" s="181"/>
      <c r="E30" s="176">
        <f t="shared" si="0"/>
        <v>0</v>
      </c>
    </row>
    <row r="31" spans="1:14" x14ac:dyDescent="0.25">
      <c r="A31" s="179" t="s">
        <v>71</v>
      </c>
      <c r="B31" s="180">
        <v>10404990</v>
      </c>
      <c r="C31" s="181"/>
      <c r="D31" s="181"/>
      <c r="E31" s="176">
        <f t="shared" si="0"/>
        <v>0</v>
      </c>
    </row>
    <row r="32" spans="1:14" x14ac:dyDescent="0.25">
      <c r="A32" s="179" t="s">
        <v>228</v>
      </c>
      <c r="B32" s="180">
        <v>10501010</v>
      </c>
      <c r="C32" s="181"/>
      <c r="D32" s="181"/>
      <c r="E32" s="176">
        <f t="shared" si="0"/>
        <v>0</v>
      </c>
    </row>
    <row r="33" spans="1:5" x14ac:dyDescent="0.25">
      <c r="A33" s="179" t="s">
        <v>49</v>
      </c>
      <c r="B33" s="180">
        <v>10501050</v>
      </c>
      <c r="C33" s="181"/>
      <c r="D33" s="181"/>
      <c r="E33" s="176">
        <f t="shared" si="0"/>
        <v>0</v>
      </c>
    </row>
    <row r="34" spans="1:5" x14ac:dyDescent="0.25">
      <c r="A34" s="179" t="s">
        <v>218</v>
      </c>
      <c r="B34" s="180">
        <v>10501990</v>
      </c>
      <c r="C34" s="181"/>
      <c r="D34" s="181"/>
      <c r="E34" s="176">
        <f t="shared" si="0"/>
        <v>0</v>
      </c>
    </row>
    <row r="35" spans="1:5" x14ac:dyDescent="0.25">
      <c r="A35" s="130" t="s">
        <v>136</v>
      </c>
      <c r="B35" s="180">
        <v>10601030</v>
      </c>
      <c r="C35" s="181"/>
      <c r="D35" s="181"/>
      <c r="E35" s="176">
        <f t="shared" si="0"/>
        <v>0</v>
      </c>
    </row>
    <row r="36" spans="1:5" x14ac:dyDescent="0.25">
      <c r="A36" s="179" t="s">
        <v>14</v>
      </c>
      <c r="B36" s="180">
        <v>10701010</v>
      </c>
      <c r="C36" s="181"/>
      <c r="D36" s="181"/>
      <c r="E36" s="176">
        <f t="shared" si="0"/>
        <v>0</v>
      </c>
    </row>
    <row r="37" spans="1:5" x14ac:dyDescent="0.25">
      <c r="A37" s="179" t="s">
        <v>72</v>
      </c>
      <c r="B37" s="180">
        <v>10702010</v>
      </c>
      <c r="C37" s="181"/>
      <c r="D37" s="181"/>
      <c r="E37" s="176">
        <f t="shared" si="0"/>
        <v>0</v>
      </c>
    </row>
    <row r="38" spans="1:5" x14ac:dyDescent="0.25">
      <c r="A38" s="179" t="s">
        <v>204</v>
      </c>
      <c r="B38" s="180">
        <v>10703010</v>
      </c>
      <c r="C38" s="181"/>
      <c r="D38" s="181"/>
      <c r="E38" s="176">
        <f t="shared" si="0"/>
        <v>0</v>
      </c>
    </row>
    <row r="39" spans="1:5" x14ac:dyDescent="0.25">
      <c r="A39" s="179" t="s">
        <v>231</v>
      </c>
      <c r="B39" s="180">
        <v>10703020</v>
      </c>
      <c r="C39" s="181"/>
      <c r="D39" s="181"/>
      <c r="E39" s="176">
        <f t="shared" si="0"/>
        <v>0</v>
      </c>
    </row>
    <row r="40" spans="1:5" x14ac:dyDescent="0.25">
      <c r="A40" s="179" t="s">
        <v>214</v>
      </c>
      <c r="B40" s="180">
        <v>10703040</v>
      </c>
      <c r="C40" s="181"/>
      <c r="D40" s="181"/>
      <c r="E40" s="176">
        <f t="shared" si="0"/>
        <v>0</v>
      </c>
    </row>
    <row r="41" spans="1:5" x14ac:dyDescent="0.25">
      <c r="A41" s="179" t="s">
        <v>73</v>
      </c>
      <c r="B41" s="180">
        <v>10703050</v>
      </c>
      <c r="C41" s="181"/>
      <c r="D41" s="181"/>
      <c r="E41" s="176">
        <f t="shared" si="0"/>
        <v>0</v>
      </c>
    </row>
    <row r="42" spans="1:5" x14ac:dyDescent="0.25">
      <c r="A42" s="179" t="s">
        <v>82</v>
      </c>
      <c r="B42" s="180">
        <v>10703051</v>
      </c>
      <c r="C42" s="181"/>
      <c r="D42" s="181"/>
      <c r="E42" s="176">
        <f t="shared" si="0"/>
        <v>0</v>
      </c>
    </row>
    <row r="43" spans="1:5" x14ac:dyDescent="0.25">
      <c r="A43" s="179" t="s">
        <v>74</v>
      </c>
      <c r="B43" s="180">
        <v>10704010</v>
      </c>
      <c r="C43" s="181"/>
      <c r="D43" s="181"/>
      <c r="E43" s="176">
        <f t="shared" si="0"/>
        <v>0</v>
      </c>
    </row>
    <row r="44" spans="1:5" x14ac:dyDescent="0.25">
      <c r="A44" s="179" t="s">
        <v>15</v>
      </c>
      <c r="B44" s="180">
        <v>10704020</v>
      </c>
      <c r="C44" s="181"/>
      <c r="D44" s="181"/>
      <c r="E44" s="176">
        <f t="shared" si="0"/>
        <v>0</v>
      </c>
    </row>
    <row r="45" spans="1:5" x14ac:dyDescent="0.25">
      <c r="A45" s="179" t="s">
        <v>75</v>
      </c>
      <c r="B45" s="180">
        <v>10704040</v>
      </c>
      <c r="C45" s="181"/>
      <c r="D45" s="181"/>
      <c r="E45" s="176">
        <f t="shared" si="0"/>
        <v>0</v>
      </c>
    </row>
    <row r="46" spans="1:5" x14ac:dyDescent="0.25">
      <c r="A46" s="179" t="s">
        <v>193</v>
      </c>
      <c r="B46" s="180">
        <v>10704050</v>
      </c>
      <c r="C46" s="181"/>
      <c r="D46" s="181"/>
      <c r="E46" s="176">
        <f t="shared" si="0"/>
        <v>0</v>
      </c>
    </row>
    <row r="47" spans="1:5" x14ac:dyDescent="0.25">
      <c r="A47" s="179" t="s">
        <v>209</v>
      </c>
      <c r="B47" s="180">
        <v>10704990</v>
      </c>
      <c r="C47" s="181"/>
      <c r="D47" s="181"/>
      <c r="E47" s="176">
        <f t="shared" si="0"/>
        <v>0</v>
      </c>
    </row>
    <row r="48" spans="1:5" x14ac:dyDescent="0.25">
      <c r="A48" s="179" t="s">
        <v>17</v>
      </c>
      <c r="B48" s="180">
        <v>10705010</v>
      </c>
      <c r="C48" s="181"/>
      <c r="D48" s="181"/>
      <c r="E48" s="176">
        <f t="shared" si="0"/>
        <v>0</v>
      </c>
    </row>
    <row r="49" spans="1:5" x14ac:dyDescent="0.25">
      <c r="A49" s="179" t="s">
        <v>83</v>
      </c>
      <c r="B49" s="180">
        <v>10705011</v>
      </c>
      <c r="C49" s="181"/>
      <c r="D49" s="181"/>
      <c r="E49" s="176">
        <f t="shared" si="0"/>
        <v>0</v>
      </c>
    </row>
    <row r="50" spans="1:5" x14ac:dyDescent="0.25">
      <c r="A50" s="179" t="s">
        <v>16</v>
      </c>
      <c r="B50" s="180">
        <v>10705020</v>
      </c>
      <c r="C50" s="181"/>
      <c r="D50" s="181"/>
      <c r="E50" s="176">
        <f t="shared" si="0"/>
        <v>0</v>
      </c>
    </row>
    <row r="51" spans="1:5" x14ac:dyDescent="0.25">
      <c r="A51" s="179" t="s">
        <v>84</v>
      </c>
      <c r="B51" s="180">
        <v>10705021</v>
      </c>
      <c r="C51" s="181"/>
      <c r="D51" s="181"/>
      <c r="E51" s="176">
        <f t="shared" si="0"/>
        <v>0</v>
      </c>
    </row>
    <row r="52" spans="1:5" x14ac:dyDescent="0.25">
      <c r="A52" s="179" t="s">
        <v>76</v>
      </c>
      <c r="B52" s="180">
        <v>10705030</v>
      </c>
      <c r="C52" s="181"/>
      <c r="D52" s="181"/>
      <c r="E52" s="176">
        <f t="shared" si="0"/>
        <v>0</v>
      </c>
    </row>
    <row r="53" spans="1:5" x14ac:dyDescent="0.25">
      <c r="A53" s="130" t="s">
        <v>85</v>
      </c>
      <c r="B53" s="180">
        <v>10705031</v>
      </c>
      <c r="C53" s="181"/>
      <c r="D53" s="181"/>
      <c r="E53" s="176">
        <f t="shared" si="0"/>
        <v>0</v>
      </c>
    </row>
    <row r="54" spans="1:5" x14ac:dyDescent="0.25">
      <c r="A54" s="179" t="s">
        <v>77</v>
      </c>
      <c r="B54" s="180">
        <v>10705040</v>
      </c>
      <c r="C54" s="181"/>
      <c r="D54" s="181"/>
      <c r="E54" s="176">
        <f t="shared" si="0"/>
        <v>0</v>
      </c>
    </row>
    <row r="55" spans="1:5" x14ac:dyDescent="0.25">
      <c r="A55" s="130" t="s">
        <v>86</v>
      </c>
      <c r="B55" s="180">
        <v>10705041</v>
      </c>
      <c r="C55" s="181"/>
      <c r="D55" s="181"/>
      <c r="E55" s="176">
        <f t="shared" si="0"/>
        <v>0</v>
      </c>
    </row>
    <row r="56" spans="1:5" x14ac:dyDescent="0.25">
      <c r="A56" s="179" t="s">
        <v>18</v>
      </c>
      <c r="B56" s="180">
        <v>10705070</v>
      </c>
      <c r="C56" s="181"/>
      <c r="D56" s="181"/>
      <c r="E56" s="176">
        <f t="shared" si="0"/>
        <v>0</v>
      </c>
    </row>
    <row r="57" spans="1:5" x14ac:dyDescent="0.25">
      <c r="A57" s="179" t="s">
        <v>87</v>
      </c>
      <c r="B57" s="180">
        <v>10705071</v>
      </c>
      <c r="C57" s="181"/>
      <c r="D57" s="181"/>
      <c r="E57" s="176">
        <f t="shared" si="0"/>
        <v>0</v>
      </c>
    </row>
    <row r="58" spans="1:5" x14ac:dyDescent="0.25">
      <c r="A58" s="179" t="s">
        <v>52</v>
      </c>
      <c r="B58" s="180">
        <v>10705080</v>
      </c>
      <c r="C58" s="181"/>
      <c r="D58" s="181"/>
      <c r="E58" s="176">
        <f t="shared" si="0"/>
        <v>0</v>
      </c>
    </row>
    <row r="59" spans="1:5" x14ac:dyDescent="0.25">
      <c r="A59" s="130" t="s">
        <v>88</v>
      </c>
      <c r="B59" s="180">
        <v>10705081</v>
      </c>
      <c r="C59" s="181"/>
      <c r="D59" s="181"/>
      <c r="E59" s="176">
        <f t="shared" si="0"/>
        <v>0</v>
      </c>
    </row>
    <row r="60" spans="1:5" x14ac:dyDescent="0.25">
      <c r="A60" s="179" t="s">
        <v>137</v>
      </c>
      <c r="B60" s="180">
        <v>10705090</v>
      </c>
      <c r="C60" s="181"/>
      <c r="D60" s="181"/>
      <c r="E60" s="176">
        <f t="shared" si="0"/>
        <v>0</v>
      </c>
    </row>
    <row r="61" spans="1:5" x14ac:dyDescent="0.25">
      <c r="A61" s="179" t="s">
        <v>138</v>
      </c>
      <c r="B61" s="180">
        <v>10705091</v>
      </c>
      <c r="C61" s="181"/>
      <c r="D61" s="181"/>
      <c r="E61" s="176">
        <f t="shared" si="0"/>
        <v>0</v>
      </c>
    </row>
    <row r="62" spans="1:5" x14ac:dyDescent="0.25">
      <c r="A62" s="179" t="s">
        <v>208</v>
      </c>
      <c r="B62" s="180">
        <v>10705100</v>
      </c>
      <c r="C62" s="181"/>
      <c r="D62" s="181"/>
      <c r="E62" s="176">
        <f t="shared" si="0"/>
        <v>0</v>
      </c>
    </row>
    <row r="63" spans="1:5" x14ac:dyDescent="0.25">
      <c r="A63" s="130" t="s">
        <v>221</v>
      </c>
      <c r="B63" s="180">
        <v>10705101</v>
      </c>
      <c r="C63" s="181"/>
      <c r="D63" s="181"/>
      <c r="E63" s="176">
        <f t="shared" si="0"/>
        <v>0</v>
      </c>
    </row>
    <row r="64" spans="1:5" x14ac:dyDescent="0.25">
      <c r="A64" s="179" t="s">
        <v>197</v>
      </c>
      <c r="B64" s="180">
        <v>10705110</v>
      </c>
      <c r="C64" s="181"/>
      <c r="D64" s="181"/>
      <c r="E64" s="176">
        <f t="shared" si="0"/>
        <v>0</v>
      </c>
    </row>
    <row r="65" spans="1:5" x14ac:dyDescent="0.25">
      <c r="A65" s="179" t="s">
        <v>210</v>
      </c>
      <c r="B65" s="180">
        <v>10705111</v>
      </c>
      <c r="C65" s="181"/>
      <c r="D65" s="181"/>
      <c r="E65" s="176">
        <f t="shared" si="0"/>
        <v>0</v>
      </c>
    </row>
    <row r="66" spans="1:5" x14ac:dyDescent="0.25">
      <c r="A66" s="179" t="s">
        <v>22</v>
      </c>
      <c r="B66" s="180">
        <v>10705130</v>
      </c>
      <c r="C66" s="181"/>
      <c r="D66" s="181"/>
      <c r="E66" s="176">
        <f t="shared" si="0"/>
        <v>0</v>
      </c>
    </row>
    <row r="67" spans="1:5" x14ac:dyDescent="0.25">
      <c r="A67" s="179" t="s">
        <v>61</v>
      </c>
      <c r="B67" s="180">
        <v>10705140</v>
      </c>
      <c r="C67" s="181"/>
      <c r="D67" s="181"/>
      <c r="E67" s="176">
        <f t="shared" si="0"/>
        <v>0</v>
      </c>
    </row>
    <row r="68" spans="1:5" x14ac:dyDescent="0.25">
      <c r="A68" s="179" t="s">
        <v>78</v>
      </c>
      <c r="B68" s="180">
        <v>10705990</v>
      </c>
      <c r="C68" s="181"/>
      <c r="D68" s="181"/>
      <c r="E68" s="176">
        <f t="shared" si="0"/>
        <v>0</v>
      </c>
    </row>
    <row r="69" spans="1:5" x14ac:dyDescent="0.25">
      <c r="A69" s="130" t="s">
        <v>89</v>
      </c>
      <c r="B69" s="180">
        <v>10705991</v>
      </c>
      <c r="C69" s="181"/>
      <c r="D69" s="181"/>
      <c r="E69" s="176">
        <f t="shared" si="0"/>
        <v>0</v>
      </c>
    </row>
    <row r="70" spans="1:5" x14ac:dyDescent="0.25">
      <c r="A70" s="179" t="s">
        <v>19</v>
      </c>
      <c r="B70" s="180">
        <v>10706010</v>
      </c>
      <c r="C70" s="181"/>
      <c r="D70" s="181"/>
      <c r="E70" s="176">
        <f t="shared" si="0"/>
        <v>0</v>
      </c>
    </row>
    <row r="71" spans="1:5" x14ac:dyDescent="0.25">
      <c r="A71" s="179" t="s">
        <v>90</v>
      </c>
      <c r="B71" s="180">
        <v>10706011</v>
      </c>
      <c r="C71" s="181"/>
      <c r="D71" s="181"/>
      <c r="E71" s="176">
        <f t="shared" si="0"/>
        <v>0</v>
      </c>
    </row>
    <row r="72" spans="1:5" x14ac:dyDescent="0.25">
      <c r="A72" s="179" t="s">
        <v>62</v>
      </c>
      <c r="B72" s="180">
        <v>10707010</v>
      </c>
      <c r="C72" s="181"/>
      <c r="D72" s="181"/>
      <c r="E72" s="176">
        <f t="shared" si="0"/>
        <v>0</v>
      </c>
    </row>
    <row r="73" spans="1:5" x14ac:dyDescent="0.25">
      <c r="A73" s="179" t="s">
        <v>91</v>
      </c>
      <c r="B73" s="180">
        <v>10707011</v>
      </c>
      <c r="C73" s="181"/>
      <c r="D73" s="181"/>
      <c r="E73" s="176">
        <f t="shared" si="0"/>
        <v>0</v>
      </c>
    </row>
    <row r="74" spans="1:5" x14ac:dyDescent="0.25">
      <c r="A74" s="179" t="s">
        <v>79</v>
      </c>
      <c r="B74" s="180">
        <v>10707020</v>
      </c>
      <c r="C74" s="181"/>
      <c r="D74" s="181"/>
      <c r="E74" s="176">
        <f t="shared" si="0"/>
        <v>0</v>
      </c>
    </row>
    <row r="75" spans="1:5" x14ac:dyDescent="0.25">
      <c r="A75" s="179" t="s">
        <v>223</v>
      </c>
      <c r="B75" s="180">
        <v>10710010</v>
      </c>
      <c r="C75" s="181"/>
      <c r="D75" s="181"/>
      <c r="E75" s="176">
        <f t="shared" si="0"/>
        <v>0</v>
      </c>
    </row>
    <row r="76" spans="1:5" x14ac:dyDescent="0.25">
      <c r="A76" s="179" t="s">
        <v>80</v>
      </c>
      <c r="B76" s="180">
        <v>10710020</v>
      </c>
      <c r="C76" s="181"/>
      <c r="D76" s="181"/>
      <c r="E76" s="176">
        <f t="shared" ref="E76:E82" si="1">C76-D76</f>
        <v>0</v>
      </c>
    </row>
    <row r="77" spans="1:5" x14ac:dyDescent="0.25">
      <c r="A77" s="179" t="s">
        <v>81</v>
      </c>
      <c r="B77" s="180">
        <v>10710030</v>
      </c>
      <c r="C77" s="181"/>
      <c r="D77" s="181"/>
      <c r="E77" s="176">
        <f t="shared" si="1"/>
        <v>0</v>
      </c>
    </row>
    <row r="78" spans="1:5" x14ac:dyDescent="0.25">
      <c r="A78" s="179" t="s">
        <v>207</v>
      </c>
      <c r="B78" s="180">
        <v>10707021</v>
      </c>
      <c r="C78" s="181"/>
      <c r="D78" s="181"/>
      <c r="E78" s="176">
        <f t="shared" si="1"/>
        <v>0</v>
      </c>
    </row>
    <row r="79" spans="1:5" x14ac:dyDescent="0.25">
      <c r="A79" s="179" t="s">
        <v>53</v>
      </c>
      <c r="B79" s="180">
        <v>10799990</v>
      </c>
      <c r="C79" s="181"/>
      <c r="D79" s="181"/>
      <c r="E79" s="176">
        <f t="shared" si="1"/>
        <v>0</v>
      </c>
    </row>
    <row r="80" spans="1:5" x14ac:dyDescent="0.25">
      <c r="A80" s="130" t="s">
        <v>92</v>
      </c>
      <c r="B80" s="180">
        <v>10799991</v>
      </c>
      <c r="C80" s="181"/>
      <c r="D80" s="181"/>
      <c r="E80" s="176">
        <f t="shared" si="1"/>
        <v>0</v>
      </c>
    </row>
    <row r="81" spans="1:5" x14ac:dyDescent="0.25">
      <c r="A81" s="179" t="s">
        <v>169</v>
      </c>
      <c r="B81" s="180">
        <v>10901020</v>
      </c>
      <c r="C81" s="181"/>
      <c r="D81" s="181"/>
      <c r="E81" s="176">
        <f t="shared" si="1"/>
        <v>0</v>
      </c>
    </row>
    <row r="82" spans="1:5" x14ac:dyDescent="0.25">
      <c r="A82" s="179" t="s">
        <v>166</v>
      </c>
      <c r="B82" s="180">
        <v>10901990</v>
      </c>
      <c r="C82" s="181"/>
      <c r="D82" s="181"/>
      <c r="E82" s="176">
        <f t="shared" si="1"/>
        <v>0</v>
      </c>
    </row>
    <row r="83" spans="1:5" x14ac:dyDescent="0.25">
      <c r="A83" s="179" t="s">
        <v>29</v>
      </c>
      <c r="B83" s="180">
        <v>20101020</v>
      </c>
      <c r="C83" s="181"/>
      <c r="D83" s="181"/>
      <c r="E83" s="176">
        <f>D83-C83</f>
        <v>0</v>
      </c>
    </row>
    <row r="84" spans="1:5" x14ac:dyDescent="0.25">
      <c r="A84" s="179" t="s">
        <v>34</v>
      </c>
      <c r="B84" s="180">
        <v>20102040</v>
      </c>
      <c r="C84" s="181"/>
      <c r="D84" s="181"/>
      <c r="E84" s="176">
        <f t="shared" ref="E84:E134" si="2">D84-C84</f>
        <v>0</v>
      </c>
    </row>
    <row r="85" spans="1:5" x14ac:dyDescent="0.25">
      <c r="A85" s="179" t="s">
        <v>30</v>
      </c>
      <c r="B85" s="180">
        <v>20201010</v>
      </c>
      <c r="C85" s="181"/>
      <c r="D85" s="181"/>
      <c r="E85" s="176">
        <f t="shared" si="2"/>
        <v>0</v>
      </c>
    </row>
    <row r="86" spans="1:5" x14ac:dyDescent="0.25">
      <c r="A86" s="179" t="s">
        <v>31</v>
      </c>
      <c r="B86" s="180">
        <v>20201020</v>
      </c>
      <c r="C86" s="181"/>
      <c r="D86" s="181"/>
      <c r="E86" s="176">
        <f t="shared" si="2"/>
        <v>0</v>
      </c>
    </row>
    <row r="87" spans="1:5" x14ac:dyDescent="0.25">
      <c r="A87" s="179" t="s">
        <v>54</v>
      </c>
      <c r="B87" s="180">
        <v>20201030</v>
      </c>
      <c r="C87" s="181"/>
      <c r="D87" s="181"/>
      <c r="E87" s="176">
        <f t="shared" si="2"/>
        <v>0</v>
      </c>
    </row>
    <row r="88" spans="1:5" x14ac:dyDescent="0.25">
      <c r="A88" s="179" t="s">
        <v>55</v>
      </c>
      <c r="B88" s="180">
        <v>20201040</v>
      </c>
      <c r="C88" s="181"/>
      <c r="D88" s="181"/>
      <c r="E88" s="176">
        <f t="shared" si="2"/>
        <v>0</v>
      </c>
    </row>
    <row r="89" spans="1:5" x14ac:dyDescent="0.25">
      <c r="A89" s="179" t="s">
        <v>93</v>
      </c>
      <c r="B89" s="180">
        <v>20201050</v>
      </c>
      <c r="C89" s="181"/>
      <c r="D89" s="181"/>
      <c r="E89" s="176">
        <f t="shared" si="2"/>
        <v>0</v>
      </c>
    </row>
    <row r="90" spans="1:5" x14ac:dyDescent="0.25">
      <c r="A90" s="179" t="s">
        <v>94</v>
      </c>
      <c r="B90" s="180">
        <v>20201060</v>
      </c>
      <c r="C90" s="181"/>
      <c r="D90" s="181"/>
      <c r="E90" s="176">
        <f t="shared" si="2"/>
        <v>0</v>
      </c>
    </row>
    <row r="91" spans="1:5" x14ac:dyDescent="0.25">
      <c r="A91" s="179" t="s">
        <v>56</v>
      </c>
      <c r="B91" s="180">
        <v>20201070</v>
      </c>
      <c r="C91" s="181"/>
      <c r="D91" s="181"/>
      <c r="E91" s="176">
        <f t="shared" si="2"/>
        <v>0</v>
      </c>
    </row>
    <row r="92" spans="1:5" x14ac:dyDescent="0.25">
      <c r="A92" s="179" t="s">
        <v>32</v>
      </c>
      <c r="B92" s="180">
        <v>20301010</v>
      </c>
      <c r="C92" s="181"/>
      <c r="D92" s="181"/>
      <c r="E92" s="176">
        <f t="shared" si="2"/>
        <v>0</v>
      </c>
    </row>
    <row r="93" spans="1:5" x14ac:dyDescent="0.25">
      <c r="A93" s="179" t="s">
        <v>95</v>
      </c>
      <c r="B93" s="180">
        <v>20401040</v>
      </c>
      <c r="C93" s="184"/>
      <c r="D93" s="181"/>
      <c r="E93" s="176">
        <f t="shared" si="2"/>
        <v>0</v>
      </c>
    </row>
    <row r="94" spans="1:5" x14ac:dyDescent="0.25">
      <c r="A94" s="179" t="s">
        <v>96</v>
      </c>
      <c r="B94" s="180">
        <v>20501010</v>
      </c>
      <c r="C94" s="184"/>
      <c r="D94" s="181"/>
      <c r="E94" s="176">
        <f t="shared" si="2"/>
        <v>0</v>
      </c>
    </row>
    <row r="95" spans="1:5" x14ac:dyDescent="0.25">
      <c r="A95" s="179" t="s">
        <v>33</v>
      </c>
      <c r="B95" s="180">
        <v>29999990</v>
      </c>
      <c r="C95" s="184"/>
      <c r="D95" s="181"/>
      <c r="E95" s="176">
        <f t="shared" si="2"/>
        <v>0</v>
      </c>
    </row>
    <row r="96" spans="1:5" x14ac:dyDescent="0.25">
      <c r="A96" s="179" t="s">
        <v>35</v>
      </c>
      <c r="B96" s="180">
        <v>30101010</v>
      </c>
      <c r="C96" s="184"/>
      <c r="D96" s="181">
        <f>810674.8</f>
        <v>810674.8</v>
      </c>
      <c r="E96" s="176">
        <f t="shared" si="2"/>
        <v>810674.8</v>
      </c>
    </row>
    <row r="97" spans="1:5" x14ac:dyDescent="0.25">
      <c r="A97" s="179" t="s">
        <v>97</v>
      </c>
      <c r="B97" s="180">
        <v>30101020</v>
      </c>
      <c r="C97" s="184"/>
      <c r="D97" s="181"/>
      <c r="E97" s="176">
        <f t="shared" si="2"/>
        <v>0</v>
      </c>
    </row>
    <row r="98" spans="1:5" x14ac:dyDescent="0.25">
      <c r="A98" s="179" t="s">
        <v>128</v>
      </c>
      <c r="B98" s="180">
        <v>40101020</v>
      </c>
      <c r="C98" s="184"/>
      <c r="D98" s="181"/>
      <c r="E98" s="176">
        <f t="shared" si="2"/>
        <v>0</v>
      </c>
    </row>
    <row r="99" spans="1:5" x14ac:dyDescent="0.25">
      <c r="A99" s="179" t="s">
        <v>37</v>
      </c>
      <c r="B99" s="180">
        <v>40101050</v>
      </c>
      <c r="C99" s="184"/>
      <c r="D99" s="181"/>
      <c r="E99" s="176">
        <f t="shared" si="2"/>
        <v>0</v>
      </c>
    </row>
    <row r="100" spans="1:5" x14ac:dyDescent="0.25">
      <c r="A100" s="179" t="s">
        <v>98</v>
      </c>
      <c r="B100" s="180">
        <v>40102040</v>
      </c>
      <c r="C100" s="184"/>
      <c r="D100" s="181"/>
      <c r="E100" s="176">
        <f t="shared" si="2"/>
        <v>0</v>
      </c>
    </row>
    <row r="101" spans="1:5" x14ac:dyDescent="0.25">
      <c r="A101" s="179" t="s">
        <v>99</v>
      </c>
      <c r="B101" s="180">
        <v>40102041</v>
      </c>
      <c r="C101" s="184"/>
      <c r="D101" s="181"/>
      <c r="E101" s="176">
        <f t="shared" si="2"/>
        <v>0</v>
      </c>
    </row>
    <row r="102" spans="1:5" x14ac:dyDescent="0.25">
      <c r="A102" s="179" t="s">
        <v>130</v>
      </c>
      <c r="B102" s="180">
        <v>40102080</v>
      </c>
      <c r="C102" s="184"/>
      <c r="D102" s="181"/>
      <c r="E102" s="176">
        <f t="shared" si="2"/>
        <v>0</v>
      </c>
    </row>
    <row r="103" spans="1:5" x14ac:dyDescent="0.25">
      <c r="A103" s="179" t="s">
        <v>36</v>
      </c>
      <c r="B103" s="180">
        <v>40103030</v>
      </c>
      <c r="C103" s="184"/>
      <c r="D103" s="181"/>
      <c r="E103" s="176">
        <f t="shared" si="2"/>
        <v>0</v>
      </c>
    </row>
    <row r="104" spans="1:5" x14ac:dyDescent="0.25">
      <c r="A104" s="179" t="s">
        <v>132</v>
      </c>
      <c r="B104" s="180">
        <v>40103040</v>
      </c>
      <c r="C104" s="184"/>
      <c r="D104" s="181"/>
      <c r="E104" s="176">
        <f t="shared" si="2"/>
        <v>0</v>
      </c>
    </row>
    <row r="105" spans="1:5" x14ac:dyDescent="0.25">
      <c r="A105" s="179" t="s">
        <v>38</v>
      </c>
      <c r="B105" s="180">
        <v>40103050</v>
      </c>
      <c r="C105" s="184"/>
      <c r="D105" s="181"/>
      <c r="E105" s="176">
        <f t="shared" si="2"/>
        <v>0</v>
      </c>
    </row>
    <row r="106" spans="1:5" x14ac:dyDescent="0.25">
      <c r="A106" s="179" t="s">
        <v>139</v>
      </c>
      <c r="B106" s="180">
        <v>40103060</v>
      </c>
      <c r="C106" s="184"/>
      <c r="D106" s="181"/>
      <c r="E106" s="176">
        <f t="shared" si="2"/>
        <v>0</v>
      </c>
    </row>
    <row r="107" spans="1:5" x14ac:dyDescent="0.25">
      <c r="A107" s="179" t="s">
        <v>126</v>
      </c>
      <c r="B107" s="180">
        <v>40103070</v>
      </c>
      <c r="C107" s="184"/>
      <c r="D107" s="181"/>
      <c r="E107" s="176">
        <f t="shared" si="2"/>
        <v>0</v>
      </c>
    </row>
    <row r="108" spans="1:5" x14ac:dyDescent="0.25">
      <c r="A108" s="179" t="s">
        <v>100</v>
      </c>
      <c r="B108" s="180">
        <v>40104990</v>
      </c>
      <c r="C108" s="184"/>
      <c r="D108" s="181"/>
      <c r="E108" s="176">
        <f t="shared" si="2"/>
        <v>0</v>
      </c>
    </row>
    <row r="109" spans="1:5" x14ac:dyDescent="0.25">
      <c r="A109" s="179" t="s">
        <v>101</v>
      </c>
      <c r="B109" s="180">
        <v>40105020</v>
      </c>
      <c r="C109" s="184"/>
      <c r="D109" s="181"/>
      <c r="E109" s="176">
        <f t="shared" si="2"/>
        <v>0</v>
      </c>
    </row>
    <row r="110" spans="1:5" x14ac:dyDescent="0.25">
      <c r="A110" s="179" t="s">
        <v>102</v>
      </c>
      <c r="B110" s="180">
        <v>40106010</v>
      </c>
      <c r="C110" s="184"/>
      <c r="D110" s="181">
        <f>185342</f>
        <v>185342</v>
      </c>
      <c r="E110" s="176">
        <f t="shared" si="2"/>
        <v>185342</v>
      </c>
    </row>
    <row r="111" spans="1:5" x14ac:dyDescent="0.25">
      <c r="A111" s="179" t="s">
        <v>192</v>
      </c>
      <c r="B111" s="180">
        <v>40106030</v>
      </c>
      <c r="C111" s="184"/>
      <c r="D111" s="181"/>
      <c r="E111" s="176">
        <f t="shared" si="2"/>
        <v>0</v>
      </c>
    </row>
    <row r="112" spans="1:5" x14ac:dyDescent="0.25">
      <c r="A112" s="179" t="s">
        <v>39</v>
      </c>
      <c r="B112" s="180">
        <v>40201010</v>
      </c>
      <c r="C112" s="184"/>
      <c r="D112" s="181"/>
      <c r="E112" s="176">
        <f t="shared" si="2"/>
        <v>0</v>
      </c>
    </row>
    <row r="113" spans="1:5" x14ac:dyDescent="0.25">
      <c r="A113" s="179" t="s">
        <v>40</v>
      </c>
      <c r="B113" s="180">
        <v>40201020</v>
      </c>
      <c r="C113" s="184"/>
      <c r="D113" s="181"/>
      <c r="E113" s="176">
        <f t="shared" si="2"/>
        <v>0</v>
      </c>
    </row>
    <row r="114" spans="1:5" x14ac:dyDescent="0.25">
      <c r="A114" s="179" t="s">
        <v>205</v>
      </c>
      <c r="B114" s="180">
        <v>40201030</v>
      </c>
      <c r="C114" s="184"/>
      <c r="D114" s="181"/>
      <c r="E114" s="176">
        <f t="shared" si="2"/>
        <v>0</v>
      </c>
    </row>
    <row r="115" spans="1:5" x14ac:dyDescent="0.25">
      <c r="A115" s="179" t="s">
        <v>41</v>
      </c>
      <c r="B115" s="180">
        <v>40201040</v>
      </c>
      <c r="C115" s="184"/>
      <c r="D115" s="181"/>
      <c r="E115" s="176">
        <f t="shared" si="2"/>
        <v>0</v>
      </c>
    </row>
    <row r="116" spans="1:5" x14ac:dyDescent="0.25">
      <c r="A116" s="179" t="s">
        <v>43</v>
      </c>
      <c r="B116" s="180">
        <v>40201100</v>
      </c>
      <c r="C116" s="184"/>
      <c r="D116" s="181"/>
      <c r="E116" s="176">
        <f t="shared" si="2"/>
        <v>0</v>
      </c>
    </row>
    <row r="117" spans="1:5" x14ac:dyDescent="0.25">
      <c r="A117" s="179" t="s">
        <v>103</v>
      </c>
      <c r="B117" s="180">
        <v>40201140</v>
      </c>
      <c r="C117" s="184"/>
      <c r="D117" s="181"/>
      <c r="E117" s="176">
        <f t="shared" si="2"/>
        <v>0</v>
      </c>
    </row>
    <row r="118" spans="1:5" x14ac:dyDescent="0.25">
      <c r="A118" s="179" t="s">
        <v>104</v>
      </c>
      <c r="B118" s="180">
        <v>40201160</v>
      </c>
      <c r="C118" s="184"/>
      <c r="D118" s="181"/>
      <c r="E118" s="176">
        <f t="shared" si="2"/>
        <v>0</v>
      </c>
    </row>
    <row r="119" spans="1:5" x14ac:dyDescent="0.25">
      <c r="A119" s="179" t="s">
        <v>127</v>
      </c>
      <c r="B119" s="180">
        <v>40201980</v>
      </c>
      <c r="C119" s="184"/>
      <c r="D119" s="181"/>
      <c r="E119" s="176">
        <f t="shared" si="2"/>
        <v>0</v>
      </c>
    </row>
    <row r="120" spans="1:5" x14ac:dyDescent="0.25">
      <c r="A120" s="179" t="s">
        <v>44</v>
      </c>
      <c r="B120" s="180">
        <v>40201990</v>
      </c>
      <c r="C120" s="184"/>
      <c r="D120" s="181"/>
      <c r="E120" s="176">
        <f t="shared" si="2"/>
        <v>0</v>
      </c>
    </row>
    <row r="121" spans="1:5" x14ac:dyDescent="0.25">
      <c r="A121" s="179" t="s">
        <v>45</v>
      </c>
      <c r="B121" s="180">
        <v>40202050</v>
      </c>
      <c r="C121" s="184"/>
      <c r="D121" s="181"/>
      <c r="E121" s="176">
        <f t="shared" si="2"/>
        <v>0</v>
      </c>
    </row>
    <row r="122" spans="1:5" x14ac:dyDescent="0.25">
      <c r="A122" s="179" t="s">
        <v>105</v>
      </c>
      <c r="B122" s="180">
        <v>40202140</v>
      </c>
      <c r="C122" s="184"/>
      <c r="D122" s="181"/>
      <c r="E122" s="176">
        <f t="shared" si="2"/>
        <v>0</v>
      </c>
    </row>
    <row r="123" spans="1:5" x14ac:dyDescent="0.25">
      <c r="A123" s="179" t="s">
        <v>106</v>
      </c>
      <c r="B123" s="180">
        <v>40202150</v>
      </c>
      <c r="C123" s="184"/>
      <c r="D123" s="181"/>
      <c r="E123" s="176">
        <f t="shared" si="2"/>
        <v>0</v>
      </c>
    </row>
    <row r="124" spans="1:5" x14ac:dyDescent="0.25">
      <c r="A124" s="179" t="s">
        <v>107</v>
      </c>
      <c r="B124" s="180">
        <v>40202160</v>
      </c>
      <c r="C124" s="184"/>
      <c r="D124" s="181"/>
      <c r="E124" s="176">
        <f t="shared" si="2"/>
        <v>0</v>
      </c>
    </row>
    <row r="125" spans="1:5" x14ac:dyDescent="0.25">
      <c r="A125" s="179" t="s">
        <v>42</v>
      </c>
      <c r="B125" s="180">
        <v>40202190</v>
      </c>
      <c r="C125" s="184"/>
      <c r="D125" s="181"/>
      <c r="E125" s="176">
        <f t="shared" si="2"/>
        <v>0</v>
      </c>
    </row>
    <row r="126" spans="1:5" x14ac:dyDescent="0.25">
      <c r="A126" s="179" t="s">
        <v>131</v>
      </c>
      <c r="B126" s="180">
        <v>40202220</v>
      </c>
      <c r="C126" s="184"/>
      <c r="D126" s="181"/>
      <c r="E126" s="176">
        <f t="shared" si="2"/>
        <v>0</v>
      </c>
    </row>
    <row r="127" spans="1:5" x14ac:dyDescent="0.25">
      <c r="A127" s="179" t="s">
        <v>222</v>
      </c>
      <c r="B127" s="180">
        <v>40202980</v>
      </c>
      <c r="C127" s="184"/>
      <c r="D127" s="181"/>
      <c r="E127" s="176">
        <f t="shared" si="2"/>
        <v>0</v>
      </c>
    </row>
    <row r="128" spans="1:5" x14ac:dyDescent="0.25">
      <c r="A128" s="179" t="s">
        <v>129</v>
      </c>
      <c r="B128" s="180">
        <v>40202990</v>
      </c>
      <c r="C128" s="184"/>
      <c r="D128" s="181"/>
      <c r="E128" s="176">
        <f t="shared" si="2"/>
        <v>0</v>
      </c>
    </row>
    <row r="129" spans="1:5" x14ac:dyDescent="0.25">
      <c r="A129" s="179" t="s">
        <v>212</v>
      </c>
      <c r="B129" s="180">
        <v>40301010</v>
      </c>
      <c r="C129" s="184"/>
      <c r="D129" s="181"/>
      <c r="E129" s="176">
        <f t="shared" si="2"/>
        <v>0</v>
      </c>
    </row>
    <row r="130" spans="1:5" x14ac:dyDescent="0.25">
      <c r="A130" s="179" t="s">
        <v>217</v>
      </c>
      <c r="B130" s="180">
        <v>40302010</v>
      </c>
      <c r="C130" s="184"/>
      <c r="D130" s="181"/>
      <c r="E130" s="176">
        <f t="shared" si="2"/>
        <v>0</v>
      </c>
    </row>
    <row r="131" spans="1:5" x14ac:dyDescent="0.25">
      <c r="A131" s="179" t="s">
        <v>108</v>
      </c>
      <c r="B131" s="180">
        <v>40401020</v>
      </c>
      <c r="C131" s="184"/>
      <c r="D131" s="181"/>
      <c r="E131" s="176">
        <f t="shared" si="2"/>
        <v>0</v>
      </c>
    </row>
    <row r="132" spans="1:5" x14ac:dyDescent="0.25">
      <c r="A132" s="179" t="s">
        <v>187</v>
      </c>
      <c r="B132" s="180">
        <v>40402010</v>
      </c>
      <c r="C132" s="184"/>
      <c r="D132" s="181"/>
      <c r="E132" s="176">
        <f t="shared" si="2"/>
        <v>0</v>
      </c>
    </row>
    <row r="133" spans="1:5" x14ac:dyDescent="0.25">
      <c r="A133" s="179" t="s">
        <v>227</v>
      </c>
      <c r="B133" s="180">
        <v>40402020</v>
      </c>
      <c r="C133" s="184"/>
      <c r="D133" s="181"/>
      <c r="E133" s="176">
        <f t="shared" si="2"/>
        <v>0</v>
      </c>
    </row>
    <row r="134" spans="1:5" x14ac:dyDescent="0.25">
      <c r="A134" s="179" t="s">
        <v>213</v>
      </c>
      <c r="B134" s="180">
        <v>40601010</v>
      </c>
      <c r="C134" s="184"/>
      <c r="D134" s="181"/>
      <c r="E134" s="176">
        <f t="shared" si="2"/>
        <v>0</v>
      </c>
    </row>
    <row r="135" spans="1:5" x14ac:dyDescent="0.25">
      <c r="A135" s="179" t="s">
        <v>109</v>
      </c>
      <c r="B135" s="180">
        <v>50101010</v>
      </c>
      <c r="C135" s="181"/>
      <c r="D135" s="181"/>
      <c r="E135" s="176">
        <f>C135-D135</f>
        <v>0</v>
      </c>
    </row>
    <row r="136" spans="1:5" x14ac:dyDescent="0.25">
      <c r="A136" s="179" t="s">
        <v>110</v>
      </c>
      <c r="B136" s="180">
        <v>50101020</v>
      </c>
      <c r="C136" s="181"/>
      <c r="D136" s="181"/>
      <c r="E136" s="176">
        <f t="shared" ref="E136:E199" si="3">C136-D136</f>
        <v>0</v>
      </c>
    </row>
    <row r="137" spans="1:5" x14ac:dyDescent="0.25">
      <c r="A137" s="179" t="s">
        <v>57</v>
      </c>
      <c r="B137" s="180">
        <v>50102010</v>
      </c>
      <c r="C137" s="181"/>
      <c r="D137" s="181"/>
      <c r="E137" s="176">
        <f t="shared" si="3"/>
        <v>0</v>
      </c>
    </row>
    <row r="138" spans="1:5" x14ac:dyDescent="0.25">
      <c r="A138" s="179" t="s">
        <v>111</v>
      </c>
      <c r="B138" s="180">
        <v>50102020</v>
      </c>
      <c r="C138" s="181"/>
      <c r="D138" s="181"/>
      <c r="E138" s="176">
        <f t="shared" si="3"/>
        <v>0</v>
      </c>
    </row>
    <row r="139" spans="1:5" x14ac:dyDescent="0.25">
      <c r="A139" s="179" t="s">
        <v>112</v>
      </c>
      <c r="B139" s="180">
        <v>50102030</v>
      </c>
      <c r="C139" s="181"/>
      <c r="D139" s="181"/>
      <c r="E139" s="176">
        <f t="shared" si="3"/>
        <v>0</v>
      </c>
    </row>
    <row r="140" spans="1:5" x14ac:dyDescent="0.25">
      <c r="A140" s="179" t="s">
        <v>58</v>
      </c>
      <c r="B140" s="180">
        <v>50102040</v>
      </c>
      <c r="C140" s="181"/>
      <c r="D140" s="181"/>
      <c r="E140" s="176">
        <f t="shared" si="3"/>
        <v>0</v>
      </c>
    </row>
    <row r="141" spans="1:5" x14ac:dyDescent="0.25">
      <c r="A141" s="179" t="s">
        <v>113</v>
      </c>
      <c r="B141" s="180">
        <v>50102050</v>
      </c>
      <c r="C141" s="181"/>
      <c r="D141" s="181"/>
      <c r="E141" s="176">
        <f t="shared" si="3"/>
        <v>0</v>
      </c>
    </row>
    <row r="142" spans="1:5" x14ac:dyDescent="0.25">
      <c r="A142" s="179" t="s">
        <v>114</v>
      </c>
      <c r="B142" s="180">
        <v>50102060</v>
      </c>
      <c r="C142" s="181"/>
      <c r="D142" s="181"/>
      <c r="E142" s="176">
        <f t="shared" si="3"/>
        <v>0</v>
      </c>
    </row>
    <row r="143" spans="1:5" x14ac:dyDescent="0.25">
      <c r="A143" s="179" t="s">
        <v>20</v>
      </c>
      <c r="B143" s="180">
        <v>50102100</v>
      </c>
      <c r="C143" s="181"/>
      <c r="D143" s="181"/>
      <c r="E143" s="176">
        <f t="shared" si="3"/>
        <v>0</v>
      </c>
    </row>
    <row r="144" spans="1:5" x14ac:dyDescent="0.25">
      <c r="A144" s="179" t="s">
        <v>21</v>
      </c>
      <c r="B144" s="180">
        <v>50102110</v>
      </c>
      <c r="C144" s="181"/>
      <c r="D144" s="181"/>
      <c r="E144" s="176"/>
    </row>
    <row r="145" spans="1:5" x14ac:dyDescent="0.25">
      <c r="A145" s="179" t="s">
        <v>140</v>
      </c>
      <c r="B145" s="180">
        <v>50102130</v>
      </c>
      <c r="C145" s="181"/>
      <c r="D145" s="181"/>
      <c r="E145" s="176">
        <f t="shared" si="3"/>
        <v>0</v>
      </c>
    </row>
    <row r="146" spans="1:5" x14ac:dyDescent="0.25">
      <c r="A146" s="179" t="s">
        <v>141</v>
      </c>
      <c r="B146" s="180">
        <v>50102140</v>
      </c>
      <c r="C146" s="181"/>
      <c r="D146" s="181"/>
      <c r="E146" s="176">
        <f t="shared" si="3"/>
        <v>0</v>
      </c>
    </row>
    <row r="147" spans="1:5" x14ac:dyDescent="0.25">
      <c r="A147" s="179" t="s">
        <v>142</v>
      </c>
      <c r="B147" s="180">
        <v>50102150</v>
      </c>
      <c r="C147" s="181"/>
      <c r="D147" s="181"/>
      <c r="E147" s="176">
        <f t="shared" si="3"/>
        <v>0</v>
      </c>
    </row>
    <row r="148" spans="1:5" x14ac:dyDescent="0.25">
      <c r="A148" s="179" t="s">
        <v>143</v>
      </c>
      <c r="B148" s="180">
        <v>50102990</v>
      </c>
      <c r="C148" s="181"/>
      <c r="D148" s="181"/>
      <c r="E148" s="176">
        <f t="shared" si="3"/>
        <v>0</v>
      </c>
    </row>
    <row r="149" spans="1:5" x14ac:dyDescent="0.25">
      <c r="A149" s="179" t="s">
        <v>115</v>
      </c>
      <c r="B149" s="180">
        <v>50103010</v>
      </c>
      <c r="C149" s="181"/>
      <c r="D149" s="181"/>
      <c r="E149" s="176">
        <f t="shared" si="3"/>
        <v>0</v>
      </c>
    </row>
    <row r="150" spans="1:5" x14ac:dyDescent="0.25">
      <c r="A150" s="179" t="s">
        <v>59</v>
      </c>
      <c r="B150" s="180">
        <v>50103020</v>
      </c>
      <c r="C150" s="181"/>
      <c r="D150" s="181"/>
      <c r="E150" s="176">
        <f t="shared" si="3"/>
        <v>0</v>
      </c>
    </row>
    <row r="151" spans="1:5" x14ac:dyDescent="0.25">
      <c r="A151" s="179" t="s">
        <v>60</v>
      </c>
      <c r="B151" s="180">
        <v>50103030</v>
      </c>
      <c r="C151" s="181"/>
      <c r="D151" s="181"/>
      <c r="E151" s="176">
        <f t="shared" si="3"/>
        <v>0</v>
      </c>
    </row>
    <row r="152" spans="1:5" x14ac:dyDescent="0.25">
      <c r="A152" s="179" t="s">
        <v>116</v>
      </c>
      <c r="B152" s="180">
        <v>50103040</v>
      </c>
      <c r="C152" s="181"/>
      <c r="D152" s="181"/>
      <c r="E152" s="176">
        <f t="shared" si="3"/>
        <v>0</v>
      </c>
    </row>
    <row r="153" spans="1:5" x14ac:dyDescent="0.25">
      <c r="A153" s="179" t="s">
        <v>46</v>
      </c>
      <c r="B153" s="180">
        <v>50104030</v>
      </c>
      <c r="C153" s="181"/>
      <c r="D153" s="181"/>
      <c r="E153" s="176">
        <f t="shared" si="3"/>
        <v>0</v>
      </c>
    </row>
    <row r="154" spans="1:5" x14ac:dyDescent="0.25">
      <c r="A154" s="179" t="s">
        <v>203</v>
      </c>
      <c r="B154" s="180">
        <v>50104990</v>
      </c>
      <c r="C154" s="181"/>
      <c r="D154" s="181"/>
      <c r="E154" s="176">
        <f t="shared" si="3"/>
        <v>0</v>
      </c>
    </row>
    <row r="155" spans="1:5" x14ac:dyDescent="0.25">
      <c r="A155" s="179" t="s">
        <v>117</v>
      </c>
      <c r="B155" s="180">
        <v>50201010</v>
      </c>
      <c r="C155" s="181"/>
      <c r="D155" s="181"/>
      <c r="E155" s="176">
        <f t="shared" si="3"/>
        <v>0</v>
      </c>
    </row>
    <row r="156" spans="1:5" x14ac:dyDescent="0.25">
      <c r="A156" s="179" t="s">
        <v>47</v>
      </c>
      <c r="B156" s="180">
        <v>50202010</v>
      </c>
      <c r="C156" s="181"/>
      <c r="D156" s="181"/>
      <c r="E156" s="176">
        <f t="shared" si="3"/>
        <v>0</v>
      </c>
    </row>
    <row r="157" spans="1:5" x14ac:dyDescent="0.25">
      <c r="A157" s="179" t="s">
        <v>23</v>
      </c>
      <c r="B157" s="180">
        <v>50203010</v>
      </c>
      <c r="C157" s="181"/>
      <c r="D157" s="181"/>
      <c r="E157" s="176">
        <f t="shared" si="3"/>
        <v>0</v>
      </c>
    </row>
    <row r="158" spans="1:5" x14ac:dyDescent="0.25">
      <c r="A158" s="179" t="s">
        <v>48</v>
      </c>
      <c r="B158" s="180">
        <v>50203020</v>
      </c>
      <c r="C158" s="181"/>
      <c r="D158" s="181"/>
      <c r="E158" s="176">
        <f t="shared" si="3"/>
        <v>0</v>
      </c>
    </row>
    <row r="159" spans="1:5" x14ac:dyDescent="0.25">
      <c r="A159" s="179" t="s">
        <v>206</v>
      </c>
      <c r="B159" s="180">
        <v>50203030</v>
      </c>
      <c r="C159" s="181"/>
      <c r="D159" s="181"/>
      <c r="E159" s="176">
        <f t="shared" si="3"/>
        <v>0</v>
      </c>
    </row>
    <row r="160" spans="1:5" x14ac:dyDescent="0.25">
      <c r="A160" s="179" t="s">
        <v>198</v>
      </c>
      <c r="B160" s="180">
        <v>50203040</v>
      </c>
      <c r="C160" s="181"/>
      <c r="D160" s="181"/>
      <c r="E160" s="176">
        <f t="shared" si="3"/>
        <v>0</v>
      </c>
    </row>
    <row r="161" spans="1:5" x14ac:dyDescent="0.25">
      <c r="A161" s="179" t="s">
        <v>201</v>
      </c>
      <c r="B161" s="180">
        <v>50203050</v>
      </c>
      <c r="C161" s="181"/>
      <c r="D161" s="181"/>
      <c r="E161" s="176">
        <f t="shared" si="3"/>
        <v>0</v>
      </c>
    </row>
    <row r="162" spans="1:5" x14ac:dyDescent="0.25">
      <c r="A162" s="179" t="s">
        <v>144</v>
      </c>
      <c r="B162" s="180">
        <v>50203060</v>
      </c>
      <c r="C162" s="181"/>
      <c r="D162" s="181"/>
      <c r="E162" s="176">
        <f t="shared" si="3"/>
        <v>0</v>
      </c>
    </row>
    <row r="163" spans="1:5" x14ac:dyDescent="0.25">
      <c r="A163" s="179" t="s">
        <v>145</v>
      </c>
      <c r="B163" s="180">
        <v>50203070</v>
      </c>
      <c r="C163" s="181"/>
      <c r="D163" s="181"/>
      <c r="E163" s="176">
        <f t="shared" si="3"/>
        <v>0</v>
      </c>
    </row>
    <row r="164" spans="1:5" x14ac:dyDescent="0.25">
      <c r="A164" s="179" t="s">
        <v>146</v>
      </c>
      <c r="B164" s="180">
        <v>50203080</v>
      </c>
      <c r="C164" s="181"/>
      <c r="D164" s="181"/>
      <c r="E164" s="176">
        <f t="shared" si="3"/>
        <v>0</v>
      </c>
    </row>
    <row r="165" spans="1:5" x14ac:dyDescent="0.25">
      <c r="A165" s="179" t="s">
        <v>118</v>
      </c>
      <c r="B165" s="180">
        <v>50203090</v>
      </c>
      <c r="C165" s="181"/>
      <c r="D165" s="181"/>
      <c r="E165" s="176">
        <f t="shared" si="3"/>
        <v>0</v>
      </c>
    </row>
    <row r="166" spans="1:5" x14ac:dyDescent="0.25">
      <c r="A166" s="179" t="s">
        <v>147</v>
      </c>
      <c r="B166" s="180">
        <v>50203100</v>
      </c>
      <c r="C166" s="181"/>
      <c r="D166" s="181"/>
      <c r="E166" s="176">
        <f t="shared" si="3"/>
        <v>0</v>
      </c>
    </row>
    <row r="167" spans="1:5" x14ac:dyDescent="0.25">
      <c r="A167" s="179" t="s">
        <v>119</v>
      </c>
      <c r="B167" s="180">
        <v>50203990</v>
      </c>
      <c r="C167" s="181"/>
      <c r="D167" s="181"/>
      <c r="E167" s="176">
        <f t="shared" si="3"/>
        <v>0</v>
      </c>
    </row>
    <row r="168" spans="1:5" x14ac:dyDescent="0.25">
      <c r="A168" s="179" t="s">
        <v>25</v>
      </c>
      <c r="B168" s="180">
        <v>50204010</v>
      </c>
      <c r="C168" s="181"/>
      <c r="D168" s="181"/>
      <c r="E168" s="176">
        <f t="shared" si="3"/>
        <v>0</v>
      </c>
    </row>
    <row r="169" spans="1:5" x14ac:dyDescent="0.25">
      <c r="A169" s="185" t="s">
        <v>26</v>
      </c>
      <c r="B169" s="186">
        <v>50204020</v>
      </c>
      <c r="C169" s="181"/>
      <c r="D169" s="181"/>
      <c r="E169" s="176">
        <f t="shared" si="3"/>
        <v>0</v>
      </c>
    </row>
    <row r="170" spans="1:5" x14ac:dyDescent="0.25">
      <c r="A170" s="185" t="s">
        <v>167</v>
      </c>
      <c r="B170" s="186">
        <v>50205010</v>
      </c>
      <c r="C170" s="181"/>
      <c r="D170" s="181"/>
      <c r="E170" s="176">
        <f t="shared" si="3"/>
        <v>0</v>
      </c>
    </row>
    <row r="171" spans="1:5" x14ac:dyDescent="0.25">
      <c r="A171" s="185" t="s">
        <v>151</v>
      </c>
      <c r="B171" s="186">
        <v>50205020</v>
      </c>
      <c r="C171" s="181"/>
      <c r="D171" s="181"/>
      <c r="E171" s="176">
        <f t="shared" si="3"/>
        <v>0</v>
      </c>
    </row>
    <row r="172" spans="1:5" x14ac:dyDescent="0.25">
      <c r="A172" s="185" t="s">
        <v>148</v>
      </c>
      <c r="B172" s="186">
        <v>50205030</v>
      </c>
      <c r="C172" s="181"/>
      <c r="D172" s="181"/>
      <c r="E172" s="176">
        <f t="shared" si="3"/>
        <v>0</v>
      </c>
    </row>
    <row r="173" spans="1:5" x14ac:dyDescent="0.25">
      <c r="A173" s="185" t="s">
        <v>194</v>
      </c>
      <c r="B173" s="186">
        <v>50206010</v>
      </c>
      <c r="C173" s="181"/>
      <c r="D173" s="181"/>
      <c r="E173" s="176">
        <f t="shared" si="3"/>
        <v>0</v>
      </c>
    </row>
    <row r="174" spans="1:5" x14ac:dyDescent="0.25">
      <c r="A174" s="185" t="s">
        <v>199</v>
      </c>
      <c r="B174" s="186">
        <v>50206020</v>
      </c>
      <c r="C174" s="181"/>
      <c r="D174" s="181"/>
      <c r="E174" s="176">
        <f t="shared" si="3"/>
        <v>0</v>
      </c>
    </row>
    <row r="175" spans="1:5" x14ac:dyDescent="0.25">
      <c r="A175" s="185" t="s">
        <v>215</v>
      </c>
      <c r="B175" s="186">
        <v>50207010</v>
      </c>
      <c r="C175" s="181"/>
      <c r="D175" s="181"/>
      <c r="E175" s="176">
        <f t="shared" si="3"/>
        <v>0</v>
      </c>
    </row>
    <row r="176" spans="1:5" x14ac:dyDescent="0.25">
      <c r="A176" s="185" t="s">
        <v>185</v>
      </c>
      <c r="B176" s="186">
        <v>50207020</v>
      </c>
      <c r="C176" s="181"/>
      <c r="D176" s="181"/>
      <c r="E176" s="176">
        <f t="shared" si="3"/>
        <v>0</v>
      </c>
    </row>
    <row r="177" spans="1:5" x14ac:dyDescent="0.25">
      <c r="A177" s="185" t="s">
        <v>149</v>
      </c>
      <c r="B177" s="186">
        <v>50210030</v>
      </c>
      <c r="C177" s="181"/>
      <c r="D177" s="181"/>
      <c r="E177" s="176">
        <f t="shared" si="3"/>
        <v>0</v>
      </c>
    </row>
    <row r="178" spans="1:5" x14ac:dyDescent="0.25">
      <c r="A178" s="185" t="s">
        <v>150</v>
      </c>
      <c r="B178" s="186">
        <v>50211010</v>
      </c>
      <c r="C178" s="181"/>
      <c r="D178" s="181"/>
      <c r="E178" s="176">
        <f t="shared" si="3"/>
        <v>0</v>
      </c>
    </row>
    <row r="179" spans="1:5" x14ac:dyDescent="0.25">
      <c r="A179" s="185" t="s">
        <v>66</v>
      </c>
      <c r="B179" s="186">
        <v>50211020</v>
      </c>
      <c r="C179" s="181"/>
      <c r="D179" s="181"/>
      <c r="E179" s="176">
        <f t="shared" si="3"/>
        <v>0</v>
      </c>
    </row>
    <row r="180" spans="1:5" x14ac:dyDescent="0.25">
      <c r="A180" s="185" t="s">
        <v>27</v>
      </c>
      <c r="B180" s="186">
        <v>50211030</v>
      </c>
      <c r="C180" s="181"/>
      <c r="D180" s="181"/>
      <c r="E180" s="176">
        <f t="shared" si="3"/>
        <v>0</v>
      </c>
    </row>
    <row r="181" spans="1:5" x14ac:dyDescent="0.25">
      <c r="A181" s="185" t="s">
        <v>63</v>
      </c>
      <c r="B181" s="186">
        <v>50211990</v>
      </c>
      <c r="C181" s="181"/>
      <c r="D181" s="181"/>
      <c r="E181" s="176">
        <f t="shared" si="3"/>
        <v>0</v>
      </c>
    </row>
    <row r="182" spans="1:5" x14ac:dyDescent="0.25">
      <c r="A182" s="185" t="s">
        <v>216</v>
      </c>
      <c r="B182" s="186">
        <v>50212030</v>
      </c>
      <c r="C182" s="181"/>
      <c r="D182" s="181"/>
      <c r="E182" s="176">
        <f t="shared" si="3"/>
        <v>0</v>
      </c>
    </row>
    <row r="183" spans="1:5" x14ac:dyDescent="0.25">
      <c r="A183" s="185" t="s">
        <v>202</v>
      </c>
      <c r="B183" s="186">
        <v>50212990</v>
      </c>
      <c r="C183" s="181"/>
      <c r="D183" s="181"/>
      <c r="E183" s="176">
        <f t="shared" si="3"/>
        <v>0</v>
      </c>
    </row>
    <row r="184" spans="1:5" x14ac:dyDescent="0.25">
      <c r="A184" s="185" t="s">
        <v>224</v>
      </c>
      <c r="B184" s="186">
        <v>50213020</v>
      </c>
      <c r="C184" s="181"/>
      <c r="D184" s="181"/>
      <c r="E184" s="176">
        <f t="shared" si="3"/>
        <v>0</v>
      </c>
    </row>
    <row r="185" spans="1:5" x14ac:dyDescent="0.25">
      <c r="A185" s="185" t="s">
        <v>186</v>
      </c>
      <c r="B185" s="186">
        <v>50213030</v>
      </c>
      <c r="C185" s="181"/>
      <c r="D185" s="187"/>
      <c r="E185" s="176">
        <f t="shared" si="3"/>
        <v>0</v>
      </c>
    </row>
    <row r="186" spans="1:5" x14ac:dyDescent="0.25">
      <c r="A186" s="185" t="s">
        <v>120</v>
      </c>
      <c r="B186" s="186">
        <v>50213040</v>
      </c>
      <c r="C186" s="181"/>
      <c r="D186" s="187"/>
      <c r="E186" s="176">
        <f t="shared" si="3"/>
        <v>0</v>
      </c>
    </row>
    <row r="187" spans="1:5" x14ac:dyDescent="0.25">
      <c r="A187" s="185" t="s">
        <v>121</v>
      </c>
      <c r="B187" s="186">
        <v>50213050</v>
      </c>
      <c r="C187" s="181"/>
      <c r="D187" s="187"/>
      <c r="E187" s="176">
        <f t="shared" si="3"/>
        <v>0</v>
      </c>
    </row>
    <row r="188" spans="1:5" x14ac:dyDescent="0.25">
      <c r="A188" s="185" t="s">
        <v>122</v>
      </c>
      <c r="B188" s="186">
        <v>50213060</v>
      </c>
      <c r="C188" s="181"/>
      <c r="D188" s="187"/>
      <c r="E188" s="176">
        <f t="shared" si="3"/>
        <v>0</v>
      </c>
    </row>
    <row r="189" spans="1:5" x14ac:dyDescent="0.25">
      <c r="A189" s="185" t="s">
        <v>152</v>
      </c>
      <c r="B189" s="186">
        <v>50213070</v>
      </c>
      <c r="C189" s="181"/>
      <c r="D189" s="187"/>
      <c r="E189" s="176">
        <f t="shared" si="3"/>
        <v>0</v>
      </c>
    </row>
    <row r="190" spans="1:5" x14ac:dyDescent="0.25">
      <c r="A190" s="185" t="s">
        <v>170</v>
      </c>
      <c r="B190" s="186">
        <v>50213990</v>
      </c>
      <c r="C190" s="181"/>
      <c r="D190" s="187"/>
      <c r="E190" s="176">
        <f t="shared" si="3"/>
        <v>0</v>
      </c>
    </row>
    <row r="191" spans="1:5" x14ac:dyDescent="0.25">
      <c r="A191" s="185" t="s">
        <v>153</v>
      </c>
      <c r="B191" s="186">
        <v>50214030</v>
      </c>
      <c r="C191" s="181"/>
      <c r="D191" s="187"/>
      <c r="E191" s="176">
        <f t="shared" si="3"/>
        <v>0</v>
      </c>
    </row>
    <row r="192" spans="1:5" x14ac:dyDescent="0.25">
      <c r="A192" s="185" t="s">
        <v>220</v>
      </c>
      <c r="B192" s="186">
        <v>50214060</v>
      </c>
      <c r="C192" s="181"/>
      <c r="D192" s="187"/>
      <c r="E192" s="176">
        <f t="shared" si="3"/>
        <v>0</v>
      </c>
    </row>
    <row r="193" spans="1:5" x14ac:dyDescent="0.25">
      <c r="A193" s="185" t="s">
        <v>211</v>
      </c>
      <c r="B193" s="186">
        <v>50215020</v>
      </c>
      <c r="C193" s="181"/>
      <c r="D193" s="187"/>
      <c r="E193" s="176">
        <f t="shared" si="3"/>
        <v>0</v>
      </c>
    </row>
    <row r="194" spans="1:5" x14ac:dyDescent="0.25">
      <c r="A194" s="185" t="s">
        <v>154</v>
      </c>
      <c r="B194" s="186">
        <v>50216010</v>
      </c>
      <c r="C194" s="181"/>
      <c r="D194" s="187"/>
      <c r="E194" s="176">
        <f t="shared" si="3"/>
        <v>0</v>
      </c>
    </row>
    <row r="195" spans="1:5" x14ac:dyDescent="0.25">
      <c r="A195" s="185" t="s">
        <v>155</v>
      </c>
      <c r="B195" s="186">
        <v>50216020</v>
      </c>
      <c r="C195" s="181"/>
      <c r="D195" s="187"/>
      <c r="E195" s="176">
        <f t="shared" si="3"/>
        <v>0</v>
      </c>
    </row>
    <row r="196" spans="1:5" x14ac:dyDescent="0.25">
      <c r="A196" s="185" t="s">
        <v>156</v>
      </c>
      <c r="B196" s="186">
        <v>50216030</v>
      </c>
      <c r="C196" s="181"/>
      <c r="D196" s="187"/>
      <c r="E196" s="176">
        <f t="shared" si="3"/>
        <v>0</v>
      </c>
    </row>
    <row r="197" spans="1:5" x14ac:dyDescent="0.25">
      <c r="A197" s="185" t="s">
        <v>157</v>
      </c>
      <c r="B197" s="186">
        <v>50299010</v>
      </c>
      <c r="C197" s="181"/>
      <c r="D197" s="187"/>
      <c r="E197" s="176">
        <f t="shared" si="3"/>
        <v>0</v>
      </c>
    </row>
    <row r="198" spans="1:5" x14ac:dyDescent="0.25">
      <c r="A198" s="185" t="s">
        <v>158</v>
      </c>
      <c r="B198" s="186">
        <v>50299020</v>
      </c>
      <c r="C198" s="181"/>
      <c r="D198" s="187"/>
      <c r="E198" s="176">
        <f t="shared" si="3"/>
        <v>0</v>
      </c>
    </row>
    <row r="199" spans="1:5" x14ac:dyDescent="0.25">
      <c r="A199" s="185" t="s">
        <v>24</v>
      </c>
      <c r="B199" s="186">
        <v>50299030</v>
      </c>
      <c r="C199" s="181"/>
      <c r="D199" s="187"/>
      <c r="E199" s="176">
        <f t="shared" si="3"/>
        <v>0</v>
      </c>
    </row>
    <row r="200" spans="1:5" x14ac:dyDescent="0.25">
      <c r="A200" s="185" t="s">
        <v>159</v>
      </c>
      <c r="B200" s="186">
        <v>50299050</v>
      </c>
      <c r="C200" s="181"/>
      <c r="D200" s="187"/>
      <c r="E200" s="176">
        <f t="shared" ref="E200:E209" si="4">C200-D200</f>
        <v>0</v>
      </c>
    </row>
    <row r="201" spans="1:5" x14ac:dyDescent="0.25">
      <c r="A201" s="185" t="s">
        <v>160</v>
      </c>
      <c r="B201" s="186">
        <v>50299060</v>
      </c>
      <c r="C201" s="181"/>
      <c r="D201" s="187"/>
      <c r="E201" s="176">
        <f t="shared" si="4"/>
        <v>0</v>
      </c>
    </row>
    <row r="202" spans="1:5" x14ac:dyDescent="0.25">
      <c r="A202" s="185" t="s">
        <v>28</v>
      </c>
      <c r="B202" s="186">
        <v>50299080</v>
      </c>
      <c r="C202" s="181"/>
      <c r="D202" s="187"/>
      <c r="E202" s="176">
        <f t="shared" si="4"/>
        <v>0</v>
      </c>
    </row>
    <row r="203" spans="1:5" x14ac:dyDescent="0.25">
      <c r="A203" s="185" t="s">
        <v>168</v>
      </c>
      <c r="B203" s="186">
        <v>50299990</v>
      </c>
      <c r="C203" s="181"/>
      <c r="D203" s="187"/>
      <c r="E203" s="176">
        <f t="shared" si="4"/>
        <v>0</v>
      </c>
    </row>
    <row r="204" spans="1:5" x14ac:dyDescent="0.25">
      <c r="A204" s="185" t="s">
        <v>161</v>
      </c>
      <c r="B204" s="186">
        <v>50301990</v>
      </c>
      <c r="C204" s="181"/>
      <c r="D204" s="187"/>
      <c r="E204" s="176">
        <f t="shared" si="4"/>
        <v>0</v>
      </c>
    </row>
    <row r="205" spans="1:5" x14ac:dyDescent="0.25">
      <c r="A205" s="185" t="s">
        <v>191</v>
      </c>
      <c r="B205" s="186">
        <v>50501030</v>
      </c>
      <c r="C205" s="181"/>
      <c r="D205" s="187"/>
      <c r="E205" s="176">
        <f t="shared" si="4"/>
        <v>0</v>
      </c>
    </row>
    <row r="206" spans="1:5" x14ac:dyDescent="0.25">
      <c r="A206" s="185" t="s">
        <v>162</v>
      </c>
      <c r="B206" s="186">
        <v>50501050</v>
      </c>
      <c r="C206" s="181"/>
      <c r="D206" s="187"/>
      <c r="E206" s="176">
        <f t="shared" si="4"/>
        <v>0</v>
      </c>
    </row>
    <row r="207" spans="1:5" x14ac:dyDescent="0.25">
      <c r="A207" s="185" t="s">
        <v>163</v>
      </c>
      <c r="B207" s="186">
        <v>50501060</v>
      </c>
      <c r="C207" s="181"/>
      <c r="D207" s="187"/>
      <c r="E207" s="176">
        <f t="shared" si="4"/>
        <v>0</v>
      </c>
    </row>
    <row r="208" spans="1:5" x14ac:dyDescent="0.25">
      <c r="A208" s="185" t="s">
        <v>164</v>
      </c>
      <c r="B208" s="186">
        <v>50501070</v>
      </c>
      <c r="C208" s="181"/>
      <c r="D208" s="187"/>
      <c r="E208" s="176">
        <f t="shared" si="4"/>
        <v>0</v>
      </c>
    </row>
    <row r="209" spans="1:5" x14ac:dyDescent="0.25">
      <c r="A209" s="185" t="s">
        <v>165</v>
      </c>
      <c r="B209" s="186">
        <v>50501990</v>
      </c>
      <c r="C209" s="187"/>
      <c r="D209" s="187"/>
      <c r="E209" s="176">
        <f t="shared" si="4"/>
        <v>0</v>
      </c>
    </row>
    <row r="210" spans="1:5" x14ac:dyDescent="0.25">
      <c r="A210" s="188"/>
      <c r="B210" s="189" t="s">
        <v>6</v>
      </c>
      <c r="C210" s="190">
        <f>SUM(C11:C209)</f>
        <v>996016.8</v>
      </c>
      <c r="D210" s="190">
        <f>SUM(D11:D204)</f>
        <v>996016.8</v>
      </c>
      <c r="E210" s="191"/>
    </row>
    <row r="211" spans="1:5" x14ac:dyDescent="0.25">
      <c r="A211" s="192"/>
      <c r="B211" s="193"/>
      <c r="C211" s="194"/>
      <c r="D211" s="195"/>
      <c r="E211" s="196"/>
    </row>
    <row r="212" spans="1:5" x14ac:dyDescent="0.25">
      <c r="A212" s="167" t="s">
        <v>64</v>
      </c>
      <c r="B212" s="269" t="s">
        <v>0</v>
      </c>
      <c r="C212" s="269"/>
      <c r="D212" s="269"/>
      <c r="E212" s="197"/>
    </row>
    <row r="213" spans="1:5" x14ac:dyDescent="0.25">
      <c r="A213" s="167"/>
      <c r="B213" s="164"/>
      <c r="C213" s="198"/>
      <c r="D213" s="167"/>
      <c r="E213" s="167"/>
    </row>
    <row r="214" spans="1:5" x14ac:dyDescent="0.25">
      <c r="A214" s="167"/>
      <c r="B214" s="164"/>
      <c r="C214" s="199"/>
      <c r="D214" s="167"/>
      <c r="E214" s="167"/>
    </row>
    <row r="215" spans="1:5" ht="18.75" x14ac:dyDescent="0.25">
      <c r="A215" s="200" t="s">
        <v>247</v>
      </c>
      <c r="B215" s="270" t="s">
        <v>200</v>
      </c>
      <c r="C215" s="270"/>
      <c r="D215" s="270"/>
      <c r="E215" s="200"/>
    </row>
    <row r="216" spans="1:5" ht="18.75" x14ac:dyDescent="0.25">
      <c r="A216" s="201" t="s">
        <v>249</v>
      </c>
      <c r="B216" s="265" t="s">
        <v>195</v>
      </c>
      <c r="C216" s="265"/>
      <c r="D216" s="265"/>
      <c r="E216" s="201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14:O14"/>
    <mergeCell ref="P14:Q14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6"/>
  <sheetViews>
    <sheetView zoomScale="69" zoomScaleNormal="69" workbookViewId="0">
      <selection activeCell="E11" sqref="E11"/>
    </sheetView>
  </sheetViews>
  <sheetFormatPr defaultRowHeight="18" x14ac:dyDescent="0.25"/>
  <cols>
    <col min="1" max="1" width="82.5703125" style="165" customWidth="1"/>
    <col min="2" max="2" width="16.42578125" style="165" customWidth="1"/>
    <col min="3" max="3" width="20" style="165" customWidth="1"/>
    <col min="4" max="4" width="21.140625" style="165" customWidth="1"/>
    <col min="5" max="5" width="22.28515625" style="165" customWidth="1"/>
    <col min="6" max="6" width="13.85546875" style="165" customWidth="1"/>
    <col min="7" max="7" width="10.5703125" style="165" customWidth="1"/>
    <col min="8" max="8" width="9.140625" style="165"/>
    <col min="9" max="9" width="11.28515625" style="165" customWidth="1"/>
    <col min="10" max="10" width="11.85546875" style="165" customWidth="1"/>
    <col min="11" max="11" width="10.7109375" style="165" customWidth="1"/>
    <col min="12" max="12" width="11.5703125" style="165" customWidth="1"/>
    <col min="13" max="13" width="11.140625" style="165" customWidth="1"/>
    <col min="14" max="15" width="9.140625" style="165"/>
    <col min="16" max="16" width="10.42578125" style="165" bestFit="1" customWidth="1"/>
    <col min="17" max="17" width="5.5703125" style="165" customWidth="1"/>
    <col min="18" max="18" width="13.85546875" style="165" customWidth="1"/>
    <col min="19" max="16384" width="9.140625" style="165"/>
  </cols>
  <sheetData>
    <row r="1" spans="1:19" x14ac:dyDescent="0.25">
      <c r="A1" s="271" t="s">
        <v>2</v>
      </c>
      <c r="B1" s="271"/>
      <c r="C1" s="271"/>
      <c r="D1" s="271"/>
      <c r="E1" s="164"/>
    </row>
    <row r="2" spans="1:19" x14ac:dyDescent="0.25">
      <c r="A2" s="272" t="s">
        <v>3</v>
      </c>
      <c r="B2" s="272"/>
      <c r="C2" s="272"/>
      <c r="D2" s="272"/>
      <c r="E2" s="166"/>
    </row>
    <row r="3" spans="1:19" x14ac:dyDescent="0.25">
      <c r="A3" s="271" t="s">
        <v>1</v>
      </c>
      <c r="B3" s="271"/>
      <c r="C3" s="271"/>
      <c r="D3" s="271"/>
      <c r="E3" s="164"/>
    </row>
    <row r="4" spans="1:19" x14ac:dyDescent="0.25">
      <c r="A4" s="167"/>
      <c r="B4" s="164"/>
      <c r="C4" s="168"/>
      <c r="D4" s="167"/>
      <c r="E4" s="167"/>
    </row>
    <row r="5" spans="1:19" x14ac:dyDescent="0.25">
      <c r="A5" s="272" t="s">
        <v>7</v>
      </c>
      <c r="B5" s="272"/>
      <c r="C5" s="272"/>
      <c r="D5" s="272"/>
      <c r="E5" s="166"/>
    </row>
    <row r="6" spans="1:19" x14ac:dyDescent="0.25">
      <c r="A6" s="271" t="s">
        <v>257</v>
      </c>
      <c r="B6" s="271"/>
      <c r="C6" s="271"/>
      <c r="D6" s="271"/>
      <c r="E6" s="164"/>
    </row>
    <row r="7" spans="1:19" ht="18.75" thickBot="1" x14ac:dyDescent="0.3">
      <c r="A7" s="273" t="s">
        <v>260</v>
      </c>
      <c r="B7" s="273"/>
      <c r="C7" s="273"/>
      <c r="D7" s="273"/>
      <c r="E7" s="169"/>
    </row>
    <row r="8" spans="1:19" ht="23.25" thickTop="1" x14ac:dyDescent="0.45">
      <c r="A8" s="266" t="s">
        <v>10</v>
      </c>
      <c r="B8" s="266" t="s">
        <v>9</v>
      </c>
      <c r="C8" s="266" t="s">
        <v>4</v>
      </c>
      <c r="D8" s="266" t="s">
        <v>5</v>
      </c>
      <c r="E8" s="170"/>
      <c r="F8" s="171" t="s">
        <v>235</v>
      </c>
      <c r="G8" s="171" t="s">
        <v>236</v>
      </c>
      <c r="H8" s="171" t="s">
        <v>237</v>
      </c>
      <c r="I8" s="172" t="s">
        <v>238</v>
      </c>
      <c r="J8" s="172" t="s">
        <v>239</v>
      </c>
      <c r="K8" s="171" t="s">
        <v>240</v>
      </c>
      <c r="L8" s="172" t="s">
        <v>241</v>
      </c>
      <c r="M8" s="172" t="s">
        <v>242</v>
      </c>
      <c r="N8" s="172" t="s">
        <v>243</v>
      </c>
      <c r="O8" s="172"/>
    </row>
    <row r="9" spans="1:19" x14ac:dyDescent="0.25">
      <c r="A9" s="267"/>
      <c r="B9" s="267"/>
      <c r="C9" s="267"/>
      <c r="D9" s="267"/>
      <c r="E9" s="170"/>
    </row>
    <row r="10" spans="1:19" ht="18.75" thickBot="1" x14ac:dyDescent="0.3">
      <c r="A10" s="268"/>
      <c r="B10" s="268"/>
      <c r="C10" s="268"/>
      <c r="D10" s="268"/>
      <c r="E10" s="170"/>
    </row>
    <row r="11" spans="1:19" ht="18.75" thickTop="1" x14ac:dyDescent="0.25">
      <c r="A11" s="173" t="s">
        <v>123</v>
      </c>
      <c r="B11" s="174">
        <v>10101010</v>
      </c>
      <c r="C11" s="175"/>
      <c r="D11" s="175"/>
      <c r="E11" s="176">
        <f>C11-D11</f>
        <v>0</v>
      </c>
      <c r="F11" s="177"/>
      <c r="G11" s="202"/>
      <c r="I11" s="178"/>
      <c r="J11" s="178"/>
      <c r="K11" s="178"/>
      <c r="L11" s="178"/>
      <c r="M11" s="178"/>
      <c r="N11" s="261"/>
      <c r="O11" s="262"/>
      <c r="P11" s="274"/>
      <c r="Q11" s="275"/>
      <c r="R11" s="203"/>
      <c r="S11" s="204"/>
    </row>
    <row r="12" spans="1:19" x14ac:dyDescent="0.25">
      <c r="A12" s="179" t="s">
        <v>67</v>
      </c>
      <c r="B12" s="180">
        <v>10101020</v>
      </c>
      <c r="C12" s="181"/>
      <c r="D12" s="181"/>
      <c r="E12" s="176">
        <f t="shared" ref="E12:E75" si="0">C12-D12</f>
        <v>0</v>
      </c>
      <c r="F12" s="178"/>
      <c r="I12" s="178"/>
      <c r="J12" s="178"/>
      <c r="K12" s="178"/>
      <c r="L12" s="178"/>
      <c r="M12" s="178"/>
      <c r="P12" s="261"/>
      <c r="Q12" s="262"/>
      <c r="R12" s="205"/>
      <c r="S12" s="204"/>
    </row>
    <row r="13" spans="1:19" x14ac:dyDescent="0.25">
      <c r="A13" s="179" t="s">
        <v>226</v>
      </c>
      <c r="B13" s="180">
        <v>10102020</v>
      </c>
      <c r="C13" s="181"/>
      <c r="D13" s="181"/>
      <c r="E13" s="176">
        <f t="shared" si="0"/>
        <v>0</v>
      </c>
      <c r="F13" s="178"/>
      <c r="P13" s="274"/>
      <c r="Q13" s="274"/>
    </row>
    <row r="14" spans="1:19" x14ac:dyDescent="0.25">
      <c r="A14" s="179" t="s">
        <v>68</v>
      </c>
      <c r="B14" s="180">
        <v>10205990</v>
      </c>
      <c r="C14" s="181"/>
      <c r="D14" s="181"/>
      <c r="E14" s="176">
        <f t="shared" si="0"/>
        <v>0</v>
      </c>
      <c r="F14" s="178"/>
      <c r="I14" s="178"/>
      <c r="J14" s="178"/>
      <c r="K14" s="178"/>
      <c r="L14" s="178"/>
      <c r="M14" s="178"/>
      <c r="N14" s="261"/>
      <c r="O14" s="262"/>
      <c r="P14" s="261"/>
      <c r="Q14" s="262"/>
      <c r="R14" s="274"/>
      <c r="S14" s="275"/>
    </row>
    <row r="15" spans="1:19" x14ac:dyDescent="0.25">
      <c r="A15" s="179" t="s">
        <v>11</v>
      </c>
      <c r="B15" s="180">
        <v>10301020</v>
      </c>
      <c r="C15" s="181"/>
      <c r="D15" s="181"/>
      <c r="E15" s="176">
        <f t="shared" si="0"/>
        <v>0</v>
      </c>
    </row>
    <row r="16" spans="1:19" x14ac:dyDescent="0.25">
      <c r="A16" s="179" t="s">
        <v>133</v>
      </c>
      <c r="B16" s="180">
        <v>10303010</v>
      </c>
      <c r="C16" s="181"/>
      <c r="D16" s="181"/>
      <c r="E16" s="176">
        <f t="shared" si="0"/>
        <v>0</v>
      </c>
      <c r="P16" s="261"/>
      <c r="Q16" s="262"/>
    </row>
    <row r="17" spans="1:5" x14ac:dyDescent="0.25">
      <c r="A17" s="179" t="s">
        <v>50</v>
      </c>
      <c r="B17" s="180">
        <v>10303020</v>
      </c>
      <c r="C17" s="181"/>
      <c r="D17" s="181"/>
      <c r="E17" s="176">
        <f t="shared" si="0"/>
        <v>0</v>
      </c>
    </row>
    <row r="18" spans="1:5" x14ac:dyDescent="0.25">
      <c r="A18" s="179" t="s">
        <v>51</v>
      </c>
      <c r="B18" s="180">
        <v>10303030</v>
      </c>
      <c r="C18" s="181"/>
      <c r="D18" s="181"/>
      <c r="E18" s="176">
        <f t="shared" si="0"/>
        <v>0</v>
      </c>
    </row>
    <row r="19" spans="1:5" x14ac:dyDescent="0.25">
      <c r="A19" s="179" t="s">
        <v>12</v>
      </c>
      <c r="B19" s="180">
        <v>10304050</v>
      </c>
      <c r="C19" s="181"/>
      <c r="D19" s="181"/>
      <c r="E19" s="176">
        <f t="shared" si="0"/>
        <v>0</v>
      </c>
    </row>
    <row r="20" spans="1:5" x14ac:dyDescent="0.25">
      <c r="A20" s="179" t="s">
        <v>125</v>
      </c>
      <c r="B20" s="180">
        <v>10305010</v>
      </c>
      <c r="C20" s="181"/>
      <c r="D20" s="181"/>
      <c r="E20" s="176">
        <f t="shared" si="0"/>
        <v>0</v>
      </c>
    </row>
    <row r="21" spans="1:5" x14ac:dyDescent="0.25">
      <c r="A21" s="179" t="s">
        <v>69</v>
      </c>
      <c r="B21" s="180">
        <v>10305020</v>
      </c>
      <c r="C21" s="181"/>
      <c r="D21" s="181"/>
      <c r="E21" s="176">
        <f t="shared" si="0"/>
        <v>0</v>
      </c>
    </row>
    <row r="22" spans="1:5" x14ac:dyDescent="0.25">
      <c r="A22" s="179" t="s">
        <v>70</v>
      </c>
      <c r="B22" s="180">
        <v>10305040</v>
      </c>
      <c r="C22" s="181"/>
      <c r="D22" s="181"/>
      <c r="E22" s="176">
        <f t="shared" si="0"/>
        <v>0</v>
      </c>
    </row>
    <row r="23" spans="1:5" x14ac:dyDescent="0.25">
      <c r="A23" s="179" t="s">
        <v>124</v>
      </c>
      <c r="B23" s="180">
        <v>10306010</v>
      </c>
      <c r="C23" s="181"/>
      <c r="D23" s="181"/>
      <c r="E23" s="176">
        <f t="shared" si="0"/>
        <v>0</v>
      </c>
    </row>
    <row r="24" spans="1:5" x14ac:dyDescent="0.25">
      <c r="A24" s="179" t="s">
        <v>134</v>
      </c>
      <c r="B24" s="180">
        <v>10306020</v>
      </c>
      <c r="C24" s="181"/>
      <c r="D24" s="181"/>
      <c r="E24" s="176">
        <f t="shared" si="0"/>
        <v>0</v>
      </c>
    </row>
    <row r="25" spans="1:5" x14ac:dyDescent="0.25">
      <c r="A25" s="179" t="s">
        <v>13</v>
      </c>
      <c r="B25" s="180">
        <v>10306990</v>
      </c>
      <c r="C25" s="181"/>
      <c r="D25" s="181"/>
      <c r="E25" s="176">
        <f t="shared" si="0"/>
        <v>0</v>
      </c>
    </row>
    <row r="26" spans="1:5" x14ac:dyDescent="0.25">
      <c r="A26" s="179" t="s">
        <v>135</v>
      </c>
      <c r="B26" s="180">
        <v>10402090</v>
      </c>
      <c r="C26" s="181"/>
      <c r="D26" s="181"/>
      <c r="E26" s="176">
        <f t="shared" si="0"/>
        <v>0</v>
      </c>
    </row>
    <row r="27" spans="1:5" x14ac:dyDescent="0.25">
      <c r="A27" s="179" t="s">
        <v>65</v>
      </c>
      <c r="B27" s="180">
        <v>10404010</v>
      </c>
      <c r="C27" s="181"/>
      <c r="D27" s="181"/>
      <c r="E27" s="176">
        <f t="shared" si="0"/>
        <v>0</v>
      </c>
    </row>
    <row r="28" spans="1:5" x14ac:dyDescent="0.25">
      <c r="A28" s="179" t="s">
        <v>219</v>
      </c>
      <c r="B28" s="180">
        <v>10404060</v>
      </c>
      <c r="C28" s="181"/>
      <c r="D28" s="181"/>
      <c r="E28" s="176">
        <f t="shared" si="0"/>
        <v>0</v>
      </c>
    </row>
    <row r="29" spans="1:5" x14ac:dyDescent="0.25">
      <c r="A29" s="179" t="s">
        <v>196</v>
      </c>
      <c r="B29" s="180">
        <v>10404070</v>
      </c>
      <c r="C29" s="181"/>
      <c r="D29" s="181"/>
      <c r="E29" s="176">
        <f t="shared" si="0"/>
        <v>0</v>
      </c>
    </row>
    <row r="30" spans="1:5" x14ac:dyDescent="0.25">
      <c r="A30" s="179" t="s">
        <v>188</v>
      </c>
      <c r="B30" s="180">
        <v>10404090</v>
      </c>
      <c r="C30" s="181"/>
      <c r="D30" s="181"/>
      <c r="E30" s="176">
        <f t="shared" si="0"/>
        <v>0</v>
      </c>
    </row>
    <row r="31" spans="1:5" x14ac:dyDescent="0.25">
      <c r="A31" s="179" t="s">
        <v>71</v>
      </c>
      <c r="B31" s="180">
        <v>10404990</v>
      </c>
      <c r="C31" s="181"/>
      <c r="D31" s="181"/>
      <c r="E31" s="176">
        <f t="shared" si="0"/>
        <v>0</v>
      </c>
    </row>
    <row r="32" spans="1:5" x14ac:dyDescent="0.25">
      <c r="A32" s="179" t="s">
        <v>228</v>
      </c>
      <c r="B32" s="180">
        <v>10501010</v>
      </c>
      <c r="C32" s="181"/>
      <c r="D32" s="181"/>
      <c r="E32" s="176">
        <f t="shared" si="0"/>
        <v>0</v>
      </c>
    </row>
    <row r="33" spans="1:5" x14ac:dyDescent="0.25">
      <c r="A33" s="179" t="s">
        <v>49</v>
      </c>
      <c r="B33" s="180">
        <v>10501050</v>
      </c>
      <c r="C33" s="181"/>
      <c r="D33" s="181"/>
      <c r="E33" s="176">
        <f t="shared" si="0"/>
        <v>0</v>
      </c>
    </row>
    <row r="34" spans="1:5" x14ac:dyDescent="0.25">
      <c r="A34" s="179" t="s">
        <v>218</v>
      </c>
      <c r="B34" s="180">
        <v>10501990</v>
      </c>
      <c r="C34" s="181"/>
      <c r="D34" s="181"/>
      <c r="E34" s="176">
        <f t="shared" si="0"/>
        <v>0</v>
      </c>
    </row>
    <row r="35" spans="1:5" x14ac:dyDescent="0.25">
      <c r="A35" s="179" t="s">
        <v>136</v>
      </c>
      <c r="B35" s="180">
        <v>10601030</v>
      </c>
      <c r="C35" s="181"/>
      <c r="D35" s="181"/>
      <c r="E35" s="176">
        <f t="shared" si="0"/>
        <v>0</v>
      </c>
    </row>
    <row r="36" spans="1:5" x14ac:dyDescent="0.25">
      <c r="A36" s="179" t="s">
        <v>14</v>
      </c>
      <c r="B36" s="180">
        <v>10701010</v>
      </c>
      <c r="C36" s="181"/>
      <c r="D36" s="181"/>
      <c r="E36" s="176">
        <f t="shared" si="0"/>
        <v>0</v>
      </c>
    </row>
    <row r="37" spans="1:5" x14ac:dyDescent="0.25">
      <c r="A37" s="179" t="s">
        <v>72</v>
      </c>
      <c r="B37" s="180">
        <v>10702010</v>
      </c>
      <c r="C37" s="181"/>
      <c r="D37" s="181"/>
      <c r="E37" s="176">
        <f t="shared" si="0"/>
        <v>0</v>
      </c>
    </row>
    <row r="38" spans="1:5" x14ac:dyDescent="0.25">
      <c r="A38" s="179" t="s">
        <v>204</v>
      </c>
      <c r="B38" s="180">
        <v>10703010</v>
      </c>
      <c r="C38" s="181"/>
      <c r="D38" s="181"/>
      <c r="E38" s="176">
        <f t="shared" si="0"/>
        <v>0</v>
      </c>
    </row>
    <row r="39" spans="1:5" x14ac:dyDescent="0.25">
      <c r="A39" s="179" t="s">
        <v>231</v>
      </c>
      <c r="B39" s="180">
        <v>10703020</v>
      </c>
      <c r="C39" s="181"/>
      <c r="D39" s="181"/>
      <c r="E39" s="176">
        <f t="shared" si="0"/>
        <v>0</v>
      </c>
    </row>
    <row r="40" spans="1:5" x14ac:dyDescent="0.25">
      <c r="A40" s="179" t="s">
        <v>214</v>
      </c>
      <c r="B40" s="180">
        <v>10703040</v>
      </c>
      <c r="C40" s="181"/>
      <c r="D40" s="181"/>
      <c r="E40" s="176">
        <f t="shared" si="0"/>
        <v>0</v>
      </c>
    </row>
    <row r="41" spans="1:5" x14ac:dyDescent="0.25">
      <c r="A41" s="179" t="s">
        <v>73</v>
      </c>
      <c r="B41" s="180">
        <v>10703050</v>
      </c>
      <c r="C41" s="181"/>
      <c r="D41" s="181"/>
      <c r="E41" s="176">
        <f t="shared" si="0"/>
        <v>0</v>
      </c>
    </row>
    <row r="42" spans="1:5" x14ac:dyDescent="0.25">
      <c r="A42" s="179" t="s">
        <v>82</v>
      </c>
      <c r="B42" s="180">
        <v>10703051</v>
      </c>
      <c r="C42" s="181"/>
      <c r="D42" s="181"/>
      <c r="E42" s="176">
        <f t="shared" si="0"/>
        <v>0</v>
      </c>
    </row>
    <row r="43" spans="1:5" x14ac:dyDescent="0.25">
      <c r="A43" s="179" t="s">
        <v>74</v>
      </c>
      <c r="B43" s="180">
        <v>10704010</v>
      </c>
      <c r="C43" s="181"/>
      <c r="D43" s="181"/>
      <c r="E43" s="176">
        <f t="shared" si="0"/>
        <v>0</v>
      </c>
    </row>
    <row r="44" spans="1:5" x14ac:dyDescent="0.25">
      <c r="A44" s="179" t="s">
        <v>15</v>
      </c>
      <c r="B44" s="180">
        <v>10704020</v>
      </c>
      <c r="C44" s="181"/>
      <c r="D44" s="181"/>
      <c r="E44" s="176">
        <f t="shared" si="0"/>
        <v>0</v>
      </c>
    </row>
    <row r="45" spans="1:5" x14ac:dyDescent="0.25">
      <c r="A45" s="179" t="s">
        <v>75</v>
      </c>
      <c r="B45" s="180">
        <v>10704040</v>
      </c>
      <c r="C45" s="181"/>
      <c r="D45" s="181"/>
      <c r="E45" s="176">
        <f t="shared" si="0"/>
        <v>0</v>
      </c>
    </row>
    <row r="46" spans="1:5" x14ac:dyDescent="0.25">
      <c r="A46" s="179" t="s">
        <v>193</v>
      </c>
      <c r="B46" s="180">
        <v>10704050</v>
      </c>
      <c r="C46" s="181"/>
      <c r="D46" s="181"/>
      <c r="E46" s="176">
        <f t="shared" si="0"/>
        <v>0</v>
      </c>
    </row>
    <row r="47" spans="1:5" x14ac:dyDescent="0.25">
      <c r="A47" s="179" t="s">
        <v>209</v>
      </c>
      <c r="B47" s="180">
        <v>10704990</v>
      </c>
      <c r="C47" s="181"/>
      <c r="D47" s="181"/>
      <c r="E47" s="176">
        <f t="shared" si="0"/>
        <v>0</v>
      </c>
    </row>
    <row r="48" spans="1:5" x14ac:dyDescent="0.25">
      <c r="A48" s="179" t="s">
        <v>17</v>
      </c>
      <c r="B48" s="180">
        <v>10705010</v>
      </c>
      <c r="C48" s="181"/>
      <c r="D48" s="181"/>
      <c r="E48" s="176">
        <f t="shared" si="0"/>
        <v>0</v>
      </c>
    </row>
    <row r="49" spans="1:5" x14ac:dyDescent="0.25">
      <c r="A49" s="179" t="s">
        <v>83</v>
      </c>
      <c r="B49" s="180">
        <v>10705011</v>
      </c>
      <c r="C49" s="181"/>
      <c r="D49" s="181"/>
      <c r="E49" s="176">
        <f t="shared" si="0"/>
        <v>0</v>
      </c>
    </row>
    <row r="50" spans="1:5" x14ac:dyDescent="0.25">
      <c r="A50" s="179" t="s">
        <v>16</v>
      </c>
      <c r="B50" s="180">
        <v>10705020</v>
      </c>
      <c r="C50" s="181"/>
      <c r="D50" s="181"/>
      <c r="E50" s="176">
        <f t="shared" si="0"/>
        <v>0</v>
      </c>
    </row>
    <row r="51" spans="1:5" x14ac:dyDescent="0.25">
      <c r="A51" s="179" t="s">
        <v>84</v>
      </c>
      <c r="B51" s="180">
        <v>10705021</v>
      </c>
      <c r="C51" s="181"/>
      <c r="D51" s="181"/>
      <c r="E51" s="176">
        <f t="shared" si="0"/>
        <v>0</v>
      </c>
    </row>
    <row r="52" spans="1:5" x14ac:dyDescent="0.25">
      <c r="A52" s="179" t="s">
        <v>76</v>
      </c>
      <c r="B52" s="180">
        <v>10705030</v>
      </c>
      <c r="C52" s="181"/>
      <c r="D52" s="181"/>
      <c r="E52" s="176">
        <f t="shared" si="0"/>
        <v>0</v>
      </c>
    </row>
    <row r="53" spans="1:5" x14ac:dyDescent="0.25">
      <c r="A53" s="130" t="s">
        <v>85</v>
      </c>
      <c r="B53" s="180">
        <v>10705031</v>
      </c>
      <c r="C53" s="181"/>
      <c r="D53" s="181"/>
      <c r="E53" s="176">
        <f t="shared" si="0"/>
        <v>0</v>
      </c>
    </row>
    <row r="54" spans="1:5" x14ac:dyDescent="0.25">
      <c r="A54" s="179" t="s">
        <v>77</v>
      </c>
      <c r="B54" s="180">
        <v>10705040</v>
      </c>
      <c r="C54" s="181"/>
      <c r="D54" s="181"/>
      <c r="E54" s="176">
        <f t="shared" si="0"/>
        <v>0</v>
      </c>
    </row>
    <row r="55" spans="1:5" x14ac:dyDescent="0.25">
      <c r="A55" s="179" t="s">
        <v>86</v>
      </c>
      <c r="B55" s="180">
        <v>10705041</v>
      </c>
      <c r="C55" s="181"/>
      <c r="D55" s="181"/>
      <c r="E55" s="176">
        <f t="shared" si="0"/>
        <v>0</v>
      </c>
    </row>
    <row r="56" spans="1:5" x14ac:dyDescent="0.25">
      <c r="A56" s="179" t="s">
        <v>18</v>
      </c>
      <c r="B56" s="180">
        <v>10705070</v>
      </c>
      <c r="C56" s="181"/>
      <c r="D56" s="181"/>
      <c r="E56" s="176">
        <f t="shared" si="0"/>
        <v>0</v>
      </c>
    </row>
    <row r="57" spans="1:5" x14ac:dyDescent="0.25">
      <c r="A57" s="179" t="s">
        <v>87</v>
      </c>
      <c r="B57" s="180">
        <v>10705071</v>
      </c>
      <c r="C57" s="181"/>
      <c r="D57" s="181"/>
      <c r="E57" s="176">
        <f t="shared" si="0"/>
        <v>0</v>
      </c>
    </row>
    <row r="58" spans="1:5" x14ac:dyDescent="0.25">
      <c r="A58" s="179" t="s">
        <v>52</v>
      </c>
      <c r="B58" s="180">
        <v>10705080</v>
      </c>
      <c r="C58" s="181"/>
      <c r="D58" s="181"/>
      <c r="E58" s="176">
        <f t="shared" si="0"/>
        <v>0</v>
      </c>
    </row>
    <row r="59" spans="1:5" x14ac:dyDescent="0.25">
      <c r="A59" s="179" t="s">
        <v>88</v>
      </c>
      <c r="B59" s="180">
        <v>10705081</v>
      </c>
      <c r="C59" s="181"/>
      <c r="D59" s="181"/>
      <c r="E59" s="176">
        <f t="shared" si="0"/>
        <v>0</v>
      </c>
    </row>
    <row r="60" spans="1:5" x14ac:dyDescent="0.25">
      <c r="A60" s="179" t="s">
        <v>137</v>
      </c>
      <c r="B60" s="180">
        <v>10705090</v>
      </c>
      <c r="C60" s="181"/>
      <c r="D60" s="181"/>
      <c r="E60" s="176">
        <f t="shared" si="0"/>
        <v>0</v>
      </c>
    </row>
    <row r="61" spans="1:5" x14ac:dyDescent="0.25">
      <c r="A61" s="130" t="s">
        <v>138</v>
      </c>
      <c r="B61" s="180">
        <v>10705091</v>
      </c>
      <c r="C61" s="181"/>
      <c r="D61" s="181"/>
      <c r="E61" s="176">
        <f t="shared" si="0"/>
        <v>0</v>
      </c>
    </row>
    <row r="62" spans="1:5" x14ac:dyDescent="0.25">
      <c r="A62" s="179" t="s">
        <v>208</v>
      </c>
      <c r="B62" s="180">
        <v>10705100</v>
      </c>
      <c r="C62" s="181"/>
      <c r="D62" s="181"/>
      <c r="E62" s="176">
        <f t="shared" si="0"/>
        <v>0</v>
      </c>
    </row>
    <row r="63" spans="1:5" x14ac:dyDescent="0.25">
      <c r="A63" s="179" t="s">
        <v>221</v>
      </c>
      <c r="B63" s="180">
        <v>10705101</v>
      </c>
      <c r="C63" s="181"/>
      <c r="D63" s="181"/>
      <c r="E63" s="176">
        <f t="shared" si="0"/>
        <v>0</v>
      </c>
    </row>
    <row r="64" spans="1:5" x14ac:dyDescent="0.25">
      <c r="A64" s="179" t="s">
        <v>197</v>
      </c>
      <c r="B64" s="180">
        <v>10705110</v>
      </c>
      <c r="C64" s="181"/>
      <c r="D64" s="181"/>
      <c r="E64" s="176">
        <f t="shared" si="0"/>
        <v>0</v>
      </c>
    </row>
    <row r="65" spans="1:5" x14ac:dyDescent="0.25">
      <c r="A65" s="179" t="s">
        <v>210</v>
      </c>
      <c r="B65" s="180">
        <v>10705111</v>
      </c>
      <c r="C65" s="181"/>
      <c r="D65" s="181"/>
      <c r="E65" s="176">
        <f t="shared" si="0"/>
        <v>0</v>
      </c>
    </row>
    <row r="66" spans="1:5" x14ac:dyDescent="0.25">
      <c r="A66" s="179" t="s">
        <v>22</v>
      </c>
      <c r="B66" s="180">
        <v>10705130</v>
      </c>
      <c r="C66" s="181"/>
      <c r="D66" s="181"/>
      <c r="E66" s="176">
        <f t="shared" si="0"/>
        <v>0</v>
      </c>
    </row>
    <row r="67" spans="1:5" x14ac:dyDescent="0.25">
      <c r="A67" s="179" t="s">
        <v>61</v>
      </c>
      <c r="B67" s="180">
        <v>10705140</v>
      </c>
      <c r="C67" s="181"/>
      <c r="D67" s="181"/>
      <c r="E67" s="176">
        <f t="shared" si="0"/>
        <v>0</v>
      </c>
    </row>
    <row r="68" spans="1:5" x14ac:dyDescent="0.25">
      <c r="A68" s="179" t="s">
        <v>78</v>
      </c>
      <c r="B68" s="180">
        <v>10705990</v>
      </c>
      <c r="C68" s="181"/>
      <c r="D68" s="181"/>
      <c r="E68" s="176">
        <f t="shared" si="0"/>
        <v>0</v>
      </c>
    </row>
    <row r="69" spans="1:5" x14ac:dyDescent="0.25">
      <c r="A69" s="179" t="s">
        <v>89</v>
      </c>
      <c r="B69" s="180">
        <v>10705991</v>
      </c>
      <c r="C69" s="181"/>
      <c r="D69" s="181"/>
      <c r="E69" s="176">
        <f t="shared" si="0"/>
        <v>0</v>
      </c>
    </row>
    <row r="70" spans="1:5" x14ac:dyDescent="0.25">
      <c r="A70" s="179" t="s">
        <v>19</v>
      </c>
      <c r="B70" s="180">
        <v>10706010</v>
      </c>
      <c r="C70" s="181"/>
      <c r="D70" s="181"/>
      <c r="E70" s="176">
        <f t="shared" si="0"/>
        <v>0</v>
      </c>
    </row>
    <row r="71" spans="1:5" x14ac:dyDescent="0.25">
      <c r="A71" s="179" t="s">
        <v>90</v>
      </c>
      <c r="B71" s="180">
        <v>10706011</v>
      </c>
      <c r="C71" s="181"/>
      <c r="D71" s="181"/>
      <c r="E71" s="176">
        <f t="shared" si="0"/>
        <v>0</v>
      </c>
    </row>
    <row r="72" spans="1:5" x14ac:dyDescent="0.25">
      <c r="A72" s="179" t="s">
        <v>62</v>
      </c>
      <c r="B72" s="180">
        <v>10707010</v>
      </c>
      <c r="C72" s="181"/>
      <c r="D72" s="181"/>
      <c r="E72" s="176">
        <f t="shared" si="0"/>
        <v>0</v>
      </c>
    </row>
    <row r="73" spans="1:5" x14ac:dyDescent="0.25">
      <c r="A73" s="179" t="s">
        <v>91</v>
      </c>
      <c r="B73" s="180">
        <v>10707011</v>
      </c>
      <c r="C73" s="181"/>
      <c r="D73" s="181"/>
      <c r="E73" s="176">
        <f t="shared" si="0"/>
        <v>0</v>
      </c>
    </row>
    <row r="74" spans="1:5" x14ac:dyDescent="0.25">
      <c r="A74" s="179" t="s">
        <v>79</v>
      </c>
      <c r="B74" s="180">
        <v>10707020</v>
      </c>
      <c r="C74" s="181"/>
      <c r="D74" s="181"/>
      <c r="E74" s="176">
        <f t="shared" si="0"/>
        <v>0</v>
      </c>
    </row>
    <row r="75" spans="1:5" x14ac:dyDescent="0.25">
      <c r="A75" s="179" t="s">
        <v>223</v>
      </c>
      <c r="B75" s="180">
        <v>10710010</v>
      </c>
      <c r="C75" s="181"/>
      <c r="D75" s="181"/>
      <c r="E75" s="176">
        <f t="shared" si="0"/>
        <v>0</v>
      </c>
    </row>
    <row r="76" spans="1:5" x14ac:dyDescent="0.25">
      <c r="A76" s="179" t="s">
        <v>80</v>
      </c>
      <c r="B76" s="180">
        <v>10710020</v>
      </c>
      <c r="C76" s="181"/>
      <c r="D76" s="181"/>
      <c r="E76" s="176">
        <f t="shared" ref="E76:E82" si="1">C76-D76</f>
        <v>0</v>
      </c>
    </row>
    <row r="77" spans="1:5" x14ac:dyDescent="0.25">
      <c r="A77" s="179" t="s">
        <v>81</v>
      </c>
      <c r="B77" s="180">
        <v>10710030</v>
      </c>
      <c r="C77" s="181"/>
      <c r="D77" s="181"/>
      <c r="E77" s="176">
        <f t="shared" si="1"/>
        <v>0</v>
      </c>
    </row>
    <row r="78" spans="1:5" x14ac:dyDescent="0.25">
      <c r="A78" s="179" t="s">
        <v>207</v>
      </c>
      <c r="B78" s="180">
        <v>10707021</v>
      </c>
      <c r="C78" s="181"/>
      <c r="D78" s="181"/>
      <c r="E78" s="176">
        <f t="shared" si="1"/>
        <v>0</v>
      </c>
    </row>
    <row r="79" spans="1:5" x14ac:dyDescent="0.25">
      <c r="A79" s="179" t="s">
        <v>53</v>
      </c>
      <c r="B79" s="180">
        <v>10799990</v>
      </c>
      <c r="C79" s="181"/>
      <c r="D79" s="181"/>
      <c r="E79" s="176">
        <f t="shared" si="1"/>
        <v>0</v>
      </c>
    </row>
    <row r="80" spans="1:5" x14ac:dyDescent="0.25">
      <c r="A80" s="179" t="s">
        <v>92</v>
      </c>
      <c r="B80" s="180">
        <v>10799991</v>
      </c>
      <c r="C80" s="181"/>
      <c r="D80" s="181"/>
      <c r="E80" s="176">
        <f t="shared" si="1"/>
        <v>0</v>
      </c>
    </row>
    <row r="81" spans="1:5" x14ac:dyDescent="0.25">
      <c r="A81" s="179" t="s">
        <v>169</v>
      </c>
      <c r="B81" s="180">
        <v>10901020</v>
      </c>
      <c r="C81" s="181"/>
      <c r="D81" s="181"/>
      <c r="E81" s="176">
        <f t="shared" si="1"/>
        <v>0</v>
      </c>
    </row>
    <row r="82" spans="1:5" x14ac:dyDescent="0.25">
      <c r="A82" s="179" t="s">
        <v>166</v>
      </c>
      <c r="B82" s="180">
        <v>10901990</v>
      </c>
      <c r="C82" s="181"/>
      <c r="D82" s="181"/>
      <c r="E82" s="176">
        <f t="shared" si="1"/>
        <v>0</v>
      </c>
    </row>
    <row r="83" spans="1:5" x14ac:dyDescent="0.25">
      <c r="A83" s="179" t="s">
        <v>29</v>
      </c>
      <c r="B83" s="180">
        <v>20101020</v>
      </c>
      <c r="C83" s="181"/>
      <c r="D83" s="181"/>
      <c r="E83" s="176">
        <f>D83-C83</f>
        <v>0</v>
      </c>
    </row>
    <row r="84" spans="1:5" x14ac:dyDescent="0.25">
      <c r="A84" s="179" t="s">
        <v>34</v>
      </c>
      <c r="B84" s="180">
        <v>20102040</v>
      </c>
      <c r="C84" s="181"/>
      <c r="D84" s="181"/>
      <c r="E84" s="176">
        <f t="shared" ref="E84:E134" si="2">D84-C84</f>
        <v>0</v>
      </c>
    </row>
    <row r="85" spans="1:5" x14ac:dyDescent="0.25">
      <c r="A85" s="179" t="s">
        <v>30</v>
      </c>
      <c r="B85" s="180">
        <v>20201010</v>
      </c>
      <c r="C85" s="181"/>
      <c r="D85" s="181"/>
      <c r="E85" s="176">
        <f t="shared" si="2"/>
        <v>0</v>
      </c>
    </row>
    <row r="86" spans="1:5" x14ac:dyDescent="0.25">
      <c r="A86" s="179" t="s">
        <v>31</v>
      </c>
      <c r="B86" s="180">
        <v>20201020</v>
      </c>
      <c r="C86" s="181"/>
      <c r="D86" s="181"/>
      <c r="E86" s="176">
        <f t="shared" si="2"/>
        <v>0</v>
      </c>
    </row>
    <row r="87" spans="1:5" x14ac:dyDescent="0.25">
      <c r="A87" s="179" t="s">
        <v>54</v>
      </c>
      <c r="B87" s="180">
        <v>20201030</v>
      </c>
      <c r="C87" s="181"/>
      <c r="D87" s="181"/>
      <c r="E87" s="176">
        <f t="shared" si="2"/>
        <v>0</v>
      </c>
    </row>
    <row r="88" spans="1:5" x14ac:dyDescent="0.25">
      <c r="A88" s="179" t="s">
        <v>55</v>
      </c>
      <c r="B88" s="180">
        <v>20201040</v>
      </c>
      <c r="C88" s="181"/>
      <c r="D88" s="181"/>
      <c r="E88" s="176">
        <f t="shared" si="2"/>
        <v>0</v>
      </c>
    </row>
    <row r="89" spans="1:5" x14ac:dyDescent="0.25">
      <c r="A89" s="179" t="s">
        <v>93</v>
      </c>
      <c r="B89" s="180">
        <v>20201050</v>
      </c>
      <c r="C89" s="181"/>
      <c r="D89" s="181"/>
      <c r="E89" s="176">
        <f t="shared" si="2"/>
        <v>0</v>
      </c>
    </row>
    <row r="90" spans="1:5" x14ac:dyDescent="0.25">
      <c r="A90" s="179" t="s">
        <v>94</v>
      </c>
      <c r="B90" s="180">
        <v>20201060</v>
      </c>
      <c r="C90" s="181"/>
      <c r="D90" s="181"/>
      <c r="E90" s="176">
        <f t="shared" si="2"/>
        <v>0</v>
      </c>
    </row>
    <row r="91" spans="1:5" x14ac:dyDescent="0.25">
      <c r="A91" s="179" t="s">
        <v>56</v>
      </c>
      <c r="B91" s="180">
        <v>20201070</v>
      </c>
      <c r="C91" s="181"/>
      <c r="D91" s="181"/>
      <c r="E91" s="176">
        <f t="shared" si="2"/>
        <v>0</v>
      </c>
    </row>
    <row r="92" spans="1:5" x14ac:dyDescent="0.25">
      <c r="A92" s="179" t="s">
        <v>32</v>
      </c>
      <c r="B92" s="180">
        <v>20301010</v>
      </c>
      <c r="C92" s="181"/>
      <c r="D92" s="181"/>
      <c r="E92" s="176">
        <f t="shared" si="2"/>
        <v>0</v>
      </c>
    </row>
    <row r="93" spans="1:5" x14ac:dyDescent="0.25">
      <c r="A93" s="179" t="s">
        <v>95</v>
      </c>
      <c r="B93" s="180">
        <v>20401040</v>
      </c>
      <c r="C93" s="184"/>
      <c r="D93" s="181"/>
      <c r="E93" s="176">
        <f t="shared" si="2"/>
        <v>0</v>
      </c>
    </row>
    <row r="94" spans="1:5" x14ac:dyDescent="0.25">
      <c r="A94" s="179" t="s">
        <v>96</v>
      </c>
      <c r="B94" s="180">
        <v>20501010</v>
      </c>
      <c r="C94" s="184"/>
      <c r="D94" s="181"/>
      <c r="E94" s="176">
        <f t="shared" si="2"/>
        <v>0</v>
      </c>
    </row>
    <row r="95" spans="1:5" x14ac:dyDescent="0.25">
      <c r="A95" s="179" t="s">
        <v>33</v>
      </c>
      <c r="B95" s="180">
        <v>29999990</v>
      </c>
      <c r="C95" s="184"/>
      <c r="D95" s="181"/>
      <c r="E95" s="176">
        <f t="shared" si="2"/>
        <v>0</v>
      </c>
    </row>
    <row r="96" spans="1:5" x14ac:dyDescent="0.25">
      <c r="A96" s="179" t="s">
        <v>35</v>
      </c>
      <c r="B96" s="180">
        <v>30101010</v>
      </c>
      <c r="C96" s="184"/>
      <c r="D96" s="181"/>
      <c r="E96" s="176">
        <f t="shared" si="2"/>
        <v>0</v>
      </c>
    </row>
    <row r="97" spans="1:5" x14ac:dyDescent="0.25">
      <c r="A97" s="179" t="s">
        <v>97</v>
      </c>
      <c r="B97" s="180">
        <v>30101020</v>
      </c>
      <c r="C97" s="184"/>
      <c r="D97" s="181"/>
      <c r="E97" s="176">
        <f t="shared" si="2"/>
        <v>0</v>
      </c>
    </row>
    <row r="98" spans="1:5" x14ac:dyDescent="0.25">
      <c r="A98" s="179" t="s">
        <v>128</v>
      </c>
      <c r="B98" s="180">
        <v>40101020</v>
      </c>
      <c r="C98" s="184"/>
      <c r="D98" s="181"/>
      <c r="E98" s="176">
        <f t="shared" si="2"/>
        <v>0</v>
      </c>
    </row>
    <row r="99" spans="1:5" x14ac:dyDescent="0.25">
      <c r="A99" s="179" t="s">
        <v>37</v>
      </c>
      <c r="B99" s="180">
        <v>40101050</v>
      </c>
      <c r="C99" s="184"/>
      <c r="D99" s="181"/>
      <c r="E99" s="176">
        <f t="shared" si="2"/>
        <v>0</v>
      </c>
    </row>
    <row r="100" spans="1:5" x14ac:dyDescent="0.25">
      <c r="A100" s="179" t="s">
        <v>98</v>
      </c>
      <c r="B100" s="180">
        <v>40102040</v>
      </c>
      <c r="C100" s="184"/>
      <c r="D100" s="181"/>
      <c r="E100" s="176">
        <f t="shared" si="2"/>
        <v>0</v>
      </c>
    </row>
    <row r="101" spans="1:5" x14ac:dyDescent="0.25">
      <c r="A101" s="179" t="s">
        <v>99</v>
      </c>
      <c r="B101" s="180">
        <v>40102041</v>
      </c>
      <c r="C101" s="184"/>
      <c r="D101" s="181"/>
      <c r="E101" s="176">
        <f t="shared" si="2"/>
        <v>0</v>
      </c>
    </row>
    <row r="102" spans="1:5" x14ac:dyDescent="0.25">
      <c r="A102" s="179" t="s">
        <v>130</v>
      </c>
      <c r="B102" s="180">
        <v>40102080</v>
      </c>
      <c r="C102" s="184"/>
      <c r="D102" s="181"/>
      <c r="E102" s="176">
        <f t="shared" si="2"/>
        <v>0</v>
      </c>
    </row>
    <row r="103" spans="1:5" x14ac:dyDescent="0.25">
      <c r="A103" s="179" t="s">
        <v>36</v>
      </c>
      <c r="B103" s="180">
        <v>40103030</v>
      </c>
      <c r="C103" s="184"/>
      <c r="D103" s="181"/>
      <c r="E103" s="176">
        <f t="shared" si="2"/>
        <v>0</v>
      </c>
    </row>
    <row r="104" spans="1:5" x14ac:dyDescent="0.25">
      <c r="A104" s="179" t="s">
        <v>132</v>
      </c>
      <c r="B104" s="180">
        <v>40103040</v>
      </c>
      <c r="C104" s="184"/>
      <c r="D104" s="181"/>
      <c r="E104" s="176">
        <f t="shared" si="2"/>
        <v>0</v>
      </c>
    </row>
    <row r="105" spans="1:5" x14ac:dyDescent="0.25">
      <c r="A105" s="179" t="s">
        <v>38</v>
      </c>
      <c r="B105" s="180">
        <v>40103050</v>
      </c>
      <c r="C105" s="184"/>
      <c r="D105" s="181"/>
      <c r="E105" s="176">
        <f t="shared" si="2"/>
        <v>0</v>
      </c>
    </row>
    <row r="106" spans="1:5" x14ac:dyDescent="0.25">
      <c r="A106" s="179" t="s">
        <v>139</v>
      </c>
      <c r="B106" s="180">
        <v>40103060</v>
      </c>
      <c r="C106" s="184"/>
      <c r="D106" s="181"/>
      <c r="E106" s="176">
        <f t="shared" si="2"/>
        <v>0</v>
      </c>
    </row>
    <row r="107" spans="1:5" x14ac:dyDescent="0.25">
      <c r="A107" s="179" t="s">
        <v>126</v>
      </c>
      <c r="B107" s="180">
        <v>40103070</v>
      </c>
      <c r="C107" s="184"/>
      <c r="D107" s="181"/>
      <c r="E107" s="176">
        <f t="shared" si="2"/>
        <v>0</v>
      </c>
    </row>
    <row r="108" spans="1:5" x14ac:dyDescent="0.25">
      <c r="A108" s="179" t="s">
        <v>100</v>
      </c>
      <c r="B108" s="180">
        <v>40104990</v>
      </c>
      <c r="C108" s="184"/>
      <c r="D108" s="181"/>
      <c r="E108" s="176">
        <f t="shared" si="2"/>
        <v>0</v>
      </c>
    </row>
    <row r="109" spans="1:5" x14ac:dyDescent="0.25">
      <c r="A109" s="179" t="s">
        <v>101</v>
      </c>
      <c r="B109" s="180">
        <v>40105020</v>
      </c>
      <c r="C109" s="184"/>
      <c r="D109" s="181"/>
      <c r="E109" s="176">
        <f t="shared" si="2"/>
        <v>0</v>
      </c>
    </row>
    <row r="110" spans="1:5" x14ac:dyDescent="0.25">
      <c r="A110" s="179" t="s">
        <v>102</v>
      </c>
      <c r="B110" s="180">
        <v>40106010</v>
      </c>
      <c r="C110" s="184"/>
      <c r="D110" s="181"/>
      <c r="E110" s="176">
        <f t="shared" si="2"/>
        <v>0</v>
      </c>
    </row>
    <row r="111" spans="1:5" x14ac:dyDescent="0.25">
      <c r="A111" s="179" t="s">
        <v>192</v>
      </c>
      <c r="B111" s="180">
        <v>40106030</v>
      </c>
      <c r="C111" s="184"/>
      <c r="D111" s="181"/>
      <c r="E111" s="176">
        <f t="shared" si="2"/>
        <v>0</v>
      </c>
    </row>
    <row r="112" spans="1:5" x14ac:dyDescent="0.25">
      <c r="A112" s="179" t="s">
        <v>39</v>
      </c>
      <c r="B112" s="180">
        <v>40201010</v>
      </c>
      <c r="C112" s="184"/>
      <c r="D112" s="181"/>
      <c r="E112" s="176">
        <f t="shared" si="2"/>
        <v>0</v>
      </c>
    </row>
    <row r="113" spans="1:5" x14ac:dyDescent="0.25">
      <c r="A113" s="179" t="s">
        <v>40</v>
      </c>
      <c r="B113" s="180">
        <v>40201020</v>
      </c>
      <c r="C113" s="184"/>
      <c r="D113" s="181"/>
      <c r="E113" s="176">
        <f t="shared" si="2"/>
        <v>0</v>
      </c>
    </row>
    <row r="114" spans="1:5" x14ac:dyDescent="0.25">
      <c r="A114" s="179" t="s">
        <v>205</v>
      </c>
      <c r="B114" s="180">
        <v>40201030</v>
      </c>
      <c r="C114" s="184"/>
      <c r="D114" s="181"/>
      <c r="E114" s="176">
        <f t="shared" si="2"/>
        <v>0</v>
      </c>
    </row>
    <row r="115" spans="1:5" x14ac:dyDescent="0.25">
      <c r="A115" s="179" t="s">
        <v>41</v>
      </c>
      <c r="B115" s="180">
        <v>40201040</v>
      </c>
      <c r="C115" s="184"/>
      <c r="D115" s="181"/>
      <c r="E115" s="176">
        <f t="shared" si="2"/>
        <v>0</v>
      </c>
    </row>
    <row r="116" spans="1:5" x14ac:dyDescent="0.25">
      <c r="A116" s="179" t="s">
        <v>43</v>
      </c>
      <c r="B116" s="180">
        <v>40201100</v>
      </c>
      <c r="C116" s="184"/>
      <c r="D116" s="181"/>
      <c r="E116" s="176">
        <f t="shared" si="2"/>
        <v>0</v>
      </c>
    </row>
    <row r="117" spans="1:5" x14ac:dyDescent="0.25">
      <c r="A117" s="179" t="s">
        <v>103</v>
      </c>
      <c r="B117" s="180">
        <v>40201140</v>
      </c>
      <c r="C117" s="184"/>
      <c r="D117" s="181"/>
      <c r="E117" s="176">
        <f t="shared" si="2"/>
        <v>0</v>
      </c>
    </row>
    <row r="118" spans="1:5" x14ac:dyDescent="0.25">
      <c r="A118" s="179" t="s">
        <v>104</v>
      </c>
      <c r="B118" s="180">
        <v>40201160</v>
      </c>
      <c r="C118" s="184"/>
      <c r="D118" s="181"/>
      <c r="E118" s="176">
        <f t="shared" si="2"/>
        <v>0</v>
      </c>
    </row>
    <row r="119" spans="1:5" x14ac:dyDescent="0.25">
      <c r="A119" s="179" t="s">
        <v>127</v>
      </c>
      <c r="B119" s="180">
        <v>40201980</v>
      </c>
      <c r="C119" s="184"/>
      <c r="D119" s="181"/>
      <c r="E119" s="176">
        <f t="shared" si="2"/>
        <v>0</v>
      </c>
    </row>
    <row r="120" spans="1:5" x14ac:dyDescent="0.25">
      <c r="A120" s="179" t="s">
        <v>44</v>
      </c>
      <c r="B120" s="180">
        <v>40201990</v>
      </c>
      <c r="C120" s="184"/>
      <c r="D120" s="181"/>
      <c r="E120" s="176">
        <f t="shared" si="2"/>
        <v>0</v>
      </c>
    </row>
    <row r="121" spans="1:5" x14ac:dyDescent="0.25">
      <c r="A121" s="179" t="s">
        <v>45</v>
      </c>
      <c r="B121" s="180">
        <v>40202050</v>
      </c>
      <c r="C121" s="184"/>
      <c r="D121" s="181"/>
      <c r="E121" s="176">
        <f t="shared" si="2"/>
        <v>0</v>
      </c>
    </row>
    <row r="122" spans="1:5" x14ac:dyDescent="0.25">
      <c r="A122" s="179" t="s">
        <v>105</v>
      </c>
      <c r="B122" s="180">
        <v>40202140</v>
      </c>
      <c r="C122" s="184"/>
      <c r="D122" s="181"/>
      <c r="E122" s="176">
        <f t="shared" si="2"/>
        <v>0</v>
      </c>
    </row>
    <row r="123" spans="1:5" x14ac:dyDescent="0.25">
      <c r="A123" s="179" t="s">
        <v>106</v>
      </c>
      <c r="B123" s="180">
        <v>40202150</v>
      </c>
      <c r="C123" s="184"/>
      <c r="D123" s="181"/>
      <c r="E123" s="176">
        <f t="shared" si="2"/>
        <v>0</v>
      </c>
    </row>
    <row r="124" spans="1:5" x14ac:dyDescent="0.25">
      <c r="A124" s="179" t="s">
        <v>107</v>
      </c>
      <c r="B124" s="180">
        <v>40202160</v>
      </c>
      <c r="C124" s="184"/>
      <c r="D124" s="181"/>
      <c r="E124" s="176">
        <f t="shared" si="2"/>
        <v>0</v>
      </c>
    </row>
    <row r="125" spans="1:5" x14ac:dyDescent="0.25">
      <c r="A125" s="179" t="s">
        <v>42</v>
      </c>
      <c r="B125" s="180">
        <v>40202190</v>
      </c>
      <c r="C125" s="184"/>
      <c r="D125" s="181"/>
      <c r="E125" s="176">
        <f t="shared" si="2"/>
        <v>0</v>
      </c>
    </row>
    <row r="126" spans="1:5" x14ac:dyDescent="0.25">
      <c r="A126" s="179" t="s">
        <v>131</v>
      </c>
      <c r="B126" s="180">
        <v>40202220</v>
      </c>
      <c r="C126" s="184"/>
      <c r="D126" s="181"/>
      <c r="E126" s="176">
        <f t="shared" si="2"/>
        <v>0</v>
      </c>
    </row>
    <row r="127" spans="1:5" x14ac:dyDescent="0.25">
      <c r="A127" s="179" t="s">
        <v>222</v>
      </c>
      <c r="B127" s="180">
        <v>40202980</v>
      </c>
      <c r="C127" s="184"/>
      <c r="D127" s="181"/>
      <c r="E127" s="176">
        <f t="shared" si="2"/>
        <v>0</v>
      </c>
    </row>
    <row r="128" spans="1:5" x14ac:dyDescent="0.25">
      <c r="A128" s="179" t="s">
        <v>129</v>
      </c>
      <c r="B128" s="180">
        <v>40202990</v>
      </c>
      <c r="C128" s="184"/>
      <c r="D128" s="181"/>
      <c r="E128" s="176">
        <f t="shared" si="2"/>
        <v>0</v>
      </c>
    </row>
    <row r="129" spans="1:5" x14ac:dyDescent="0.25">
      <c r="A129" s="179" t="s">
        <v>212</v>
      </c>
      <c r="B129" s="180">
        <v>40301010</v>
      </c>
      <c r="C129" s="184"/>
      <c r="D129" s="181"/>
      <c r="E129" s="176">
        <f t="shared" si="2"/>
        <v>0</v>
      </c>
    </row>
    <row r="130" spans="1:5" x14ac:dyDescent="0.25">
      <c r="A130" s="179" t="s">
        <v>217</v>
      </c>
      <c r="B130" s="180">
        <v>40302010</v>
      </c>
      <c r="C130" s="184"/>
      <c r="D130" s="181"/>
      <c r="E130" s="176">
        <f t="shared" si="2"/>
        <v>0</v>
      </c>
    </row>
    <row r="131" spans="1:5" x14ac:dyDescent="0.25">
      <c r="A131" s="179" t="s">
        <v>108</v>
      </c>
      <c r="B131" s="180">
        <v>40401020</v>
      </c>
      <c r="C131" s="184"/>
      <c r="D131" s="181"/>
      <c r="E131" s="176">
        <f t="shared" si="2"/>
        <v>0</v>
      </c>
    </row>
    <row r="132" spans="1:5" x14ac:dyDescent="0.25">
      <c r="A132" s="179" t="s">
        <v>187</v>
      </c>
      <c r="B132" s="180">
        <v>40402010</v>
      </c>
      <c r="C132" s="184"/>
      <c r="D132" s="181"/>
      <c r="E132" s="176">
        <f t="shared" si="2"/>
        <v>0</v>
      </c>
    </row>
    <row r="133" spans="1:5" x14ac:dyDescent="0.25">
      <c r="A133" s="179" t="s">
        <v>227</v>
      </c>
      <c r="B133" s="180">
        <v>40402020</v>
      </c>
      <c r="C133" s="184"/>
      <c r="D133" s="181"/>
      <c r="E133" s="176">
        <f t="shared" si="2"/>
        <v>0</v>
      </c>
    </row>
    <row r="134" spans="1:5" x14ac:dyDescent="0.25">
      <c r="A134" s="179" t="s">
        <v>213</v>
      </c>
      <c r="B134" s="180">
        <v>40601010</v>
      </c>
      <c r="C134" s="184"/>
      <c r="D134" s="181"/>
      <c r="E134" s="176">
        <f t="shared" si="2"/>
        <v>0</v>
      </c>
    </row>
    <row r="135" spans="1:5" x14ac:dyDescent="0.25">
      <c r="A135" s="179" t="s">
        <v>109</v>
      </c>
      <c r="B135" s="180">
        <v>50101010</v>
      </c>
      <c r="C135" s="181"/>
      <c r="D135" s="181"/>
      <c r="E135" s="176">
        <f>C135-D135</f>
        <v>0</v>
      </c>
    </row>
    <row r="136" spans="1:5" x14ac:dyDescent="0.25">
      <c r="A136" s="179" t="s">
        <v>110</v>
      </c>
      <c r="B136" s="180">
        <v>50101020</v>
      </c>
      <c r="C136" s="181"/>
      <c r="D136" s="181"/>
      <c r="E136" s="176">
        <f t="shared" ref="E136:E199" si="3">C136-D136</f>
        <v>0</v>
      </c>
    </row>
    <row r="137" spans="1:5" x14ac:dyDescent="0.25">
      <c r="A137" s="179" t="s">
        <v>57</v>
      </c>
      <c r="B137" s="180">
        <v>50102010</v>
      </c>
      <c r="C137" s="181"/>
      <c r="D137" s="181"/>
      <c r="E137" s="176">
        <f t="shared" si="3"/>
        <v>0</v>
      </c>
    </row>
    <row r="138" spans="1:5" x14ac:dyDescent="0.25">
      <c r="A138" s="179" t="s">
        <v>111</v>
      </c>
      <c r="B138" s="180">
        <v>50102020</v>
      </c>
      <c r="C138" s="181"/>
      <c r="D138" s="181"/>
      <c r="E138" s="176">
        <f t="shared" si="3"/>
        <v>0</v>
      </c>
    </row>
    <row r="139" spans="1:5" x14ac:dyDescent="0.25">
      <c r="A139" s="179" t="s">
        <v>112</v>
      </c>
      <c r="B139" s="180">
        <v>50102030</v>
      </c>
      <c r="C139" s="181"/>
      <c r="D139" s="181"/>
      <c r="E139" s="176">
        <f t="shared" si="3"/>
        <v>0</v>
      </c>
    </row>
    <row r="140" spans="1:5" x14ac:dyDescent="0.25">
      <c r="A140" s="179" t="s">
        <v>58</v>
      </c>
      <c r="B140" s="180">
        <v>50102040</v>
      </c>
      <c r="C140" s="181"/>
      <c r="D140" s="181"/>
      <c r="E140" s="176">
        <f t="shared" si="3"/>
        <v>0</v>
      </c>
    </row>
    <row r="141" spans="1:5" x14ac:dyDescent="0.25">
      <c r="A141" s="179" t="s">
        <v>113</v>
      </c>
      <c r="B141" s="180">
        <v>50102050</v>
      </c>
      <c r="C141" s="181"/>
      <c r="D141" s="181"/>
      <c r="E141" s="176">
        <f t="shared" si="3"/>
        <v>0</v>
      </c>
    </row>
    <row r="142" spans="1:5" x14ac:dyDescent="0.25">
      <c r="A142" s="179" t="s">
        <v>114</v>
      </c>
      <c r="B142" s="180">
        <v>50102060</v>
      </c>
      <c r="C142" s="181"/>
      <c r="D142" s="181"/>
      <c r="E142" s="176">
        <f t="shared" si="3"/>
        <v>0</v>
      </c>
    </row>
    <row r="143" spans="1:5" x14ac:dyDescent="0.25">
      <c r="A143" s="179" t="s">
        <v>20</v>
      </c>
      <c r="B143" s="180">
        <v>50102100</v>
      </c>
      <c r="C143" s="181"/>
      <c r="D143" s="181"/>
      <c r="E143" s="176">
        <f t="shared" si="3"/>
        <v>0</v>
      </c>
    </row>
    <row r="144" spans="1:5" x14ac:dyDescent="0.25">
      <c r="A144" s="179" t="s">
        <v>21</v>
      </c>
      <c r="B144" s="180">
        <v>50102110</v>
      </c>
      <c r="C144" s="181"/>
      <c r="D144" s="181"/>
      <c r="E144" s="176">
        <f t="shared" si="3"/>
        <v>0</v>
      </c>
    </row>
    <row r="145" spans="1:5" x14ac:dyDescent="0.25">
      <c r="A145" s="179" t="s">
        <v>140</v>
      </c>
      <c r="B145" s="180">
        <v>50102130</v>
      </c>
      <c r="C145" s="181"/>
      <c r="D145" s="181"/>
      <c r="E145" s="176">
        <f t="shared" si="3"/>
        <v>0</v>
      </c>
    </row>
    <row r="146" spans="1:5" x14ac:dyDescent="0.25">
      <c r="A146" s="179" t="s">
        <v>141</v>
      </c>
      <c r="B146" s="180">
        <v>50102140</v>
      </c>
      <c r="C146" s="181"/>
      <c r="D146" s="181"/>
      <c r="E146" s="176">
        <f t="shared" si="3"/>
        <v>0</v>
      </c>
    </row>
    <row r="147" spans="1:5" x14ac:dyDescent="0.25">
      <c r="A147" s="179" t="s">
        <v>142</v>
      </c>
      <c r="B147" s="180">
        <v>50102150</v>
      </c>
      <c r="C147" s="181"/>
      <c r="D147" s="181"/>
      <c r="E147" s="176">
        <f t="shared" si="3"/>
        <v>0</v>
      </c>
    </row>
    <row r="148" spans="1:5" x14ac:dyDescent="0.25">
      <c r="A148" s="179" t="s">
        <v>143</v>
      </c>
      <c r="B148" s="180">
        <v>50102990</v>
      </c>
      <c r="C148" s="181"/>
      <c r="D148" s="181"/>
      <c r="E148" s="176">
        <f t="shared" si="3"/>
        <v>0</v>
      </c>
    </row>
    <row r="149" spans="1:5" x14ac:dyDescent="0.25">
      <c r="A149" s="179" t="s">
        <v>115</v>
      </c>
      <c r="B149" s="180">
        <v>50103010</v>
      </c>
      <c r="C149" s="181"/>
      <c r="D149" s="181"/>
      <c r="E149" s="176">
        <f t="shared" si="3"/>
        <v>0</v>
      </c>
    </row>
    <row r="150" spans="1:5" x14ac:dyDescent="0.25">
      <c r="A150" s="179" t="s">
        <v>59</v>
      </c>
      <c r="B150" s="180">
        <v>50103020</v>
      </c>
      <c r="C150" s="181"/>
      <c r="D150" s="181"/>
      <c r="E150" s="176">
        <f t="shared" si="3"/>
        <v>0</v>
      </c>
    </row>
    <row r="151" spans="1:5" x14ac:dyDescent="0.25">
      <c r="A151" s="179" t="s">
        <v>60</v>
      </c>
      <c r="B151" s="180">
        <v>50103030</v>
      </c>
      <c r="C151" s="181"/>
      <c r="D151" s="181"/>
      <c r="E151" s="176">
        <f t="shared" si="3"/>
        <v>0</v>
      </c>
    </row>
    <row r="152" spans="1:5" x14ac:dyDescent="0.25">
      <c r="A152" s="179" t="s">
        <v>116</v>
      </c>
      <c r="B152" s="180">
        <v>50103040</v>
      </c>
      <c r="C152" s="181"/>
      <c r="D152" s="181"/>
      <c r="E152" s="176">
        <f t="shared" si="3"/>
        <v>0</v>
      </c>
    </row>
    <row r="153" spans="1:5" x14ac:dyDescent="0.25">
      <c r="A153" s="179" t="s">
        <v>46</v>
      </c>
      <c r="B153" s="180">
        <v>50104030</v>
      </c>
      <c r="C153" s="181"/>
      <c r="D153" s="181"/>
      <c r="E153" s="176">
        <f t="shared" si="3"/>
        <v>0</v>
      </c>
    </row>
    <row r="154" spans="1:5" x14ac:dyDescent="0.25">
      <c r="A154" s="179" t="s">
        <v>203</v>
      </c>
      <c r="B154" s="180">
        <v>50104990</v>
      </c>
      <c r="C154" s="181"/>
      <c r="D154" s="181"/>
      <c r="E154" s="176">
        <f t="shared" si="3"/>
        <v>0</v>
      </c>
    </row>
    <row r="155" spans="1:5" x14ac:dyDescent="0.25">
      <c r="A155" s="179" t="s">
        <v>117</v>
      </c>
      <c r="B155" s="180">
        <v>50201010</v>
      </c>
      <c r="C155" s="181"/>
      <c r="D155" s="181"/>
      <c r="E155" s="176">
        <f t="shared" si="3"/>
        <v>0</v>
      </c>
    </row>
    <row r="156" spans="1:5" x14ac:dyDescent="0.25">
      <c r="A156" s="179" t="s">
        <v>47</v>
      </c>
      <c r="B156" s="180">
        <v>50202010</v>
      </c>
      <c r="C156" s="181"/>
      <c r="D156" s="181"/>
      <c r="E156" s="176">
        <f t="shared" si="3"/>
        <v>0</v>
      </c>
    </row>
    <row r="157" spans="1:5" x14ac:dyDescent="0.25">
      <c r="A157" s="179" t="s">
        <v>23</v>
      </c>
      <c r="B157" s="180">
        <v>50203010</v>
      </c>
      <c r="C157" s="181"/>
      <c r="D157" s="181"/>
      <c r="E157" s="176">
        <f t="shared" si="3"/>
        <v>0</v>
      </c>
    </row>
    <row r="158" spans="1:5" x14ac:dyDescent="0.25">
      <c r="A158" s="179" t="s">
        <v>48</v>
      </c>
      <c r="B158" s="180">
        <v>50203020</v>
      </c>
      <c r="C158" s="181"/>
      <c r="D158" s="181"/>
      <c r="E158" s="176">
        <f t="shared" si="3"/>
        <v>0</v>
      </c>
    </row>
    <row r="159" spans="1:5" x14ac:dyDescent="0.25">
      <c r="A159" s="179" t="s">
        <v>206</v>
      </c>
      <c r="B159" s="180">
        <v>50203030</v>
      </c>
      <c r="C159" s="181"/>
      <c r="D159" s="181"/>
      <c r="E159" s="176">
        <f t="shared" si="3"/>
        <v>0</v>
      </c>
    </row>
    <row r="160" spans="1:5" x14ac:dyDescent="0.25">
      <c r="A160" s="179" t="s">
        <v>198</v>
      </c>
      <c r="B160" s="180">
        <v>50203040</v>
      </c>
      <c r="C160" s="181"/>
      <c r="D160" s="181"/>
      <c r="E160" s="176">
        <f t="shared" si="3"/>
        <v>0</v>
      </c>
    </row>
    <row r="161" spans="1:5" x14ac:dyDescent="0.25">
      <c r="A161" s="179" t="s">
        <v>201</v>
      </c>
      <c r="B161" s="180">
        <v>50203050</v>
      </c>
      <c r="C161" s="181"/>
      <c r="D161" s="181"/>
      <c r="E161" s="176">
        <f t="shared" si="3"/>
        <v>0</v>
      </c>
    </row>
    <row r="162" spans="1:5" x14ac:dyDescent="0.25">
      <c r="A162" s="179" t="s">
        <v>144</v>
      </c>
      <c r="B162" s="180">
        <v>50203060</v>
      </c>
      <c r="C162" s="181"/>
      <c r="D162" s="181"/>
      <c r="E162" s="176">
        <f t="shared" si="3"/>
        <v>0</v>
      </c>
    </row>
    <row r="163" spans="1:5" x14ac:dyDescent="0.25">
      <c r="A163" s="179" t="s">
        <v>145</v>
      </c>
      <c r="B163" s="180">
        <v>50203070</v>
      </c>
      <c r="C163" s="181"/>
      <c r="D163" s="181"/>
      <c r="E163" s="176">
        <f t="shared" si="3"/>
        <v>0</v>
      </c>
    </row>
    <row r="164" spans="1:5" x14ac:dyDescent="0.25">
      <c r="A164" s="179" t="s">
        <v>146</v>
      </c>
      <c r="B164" s="180">
        <v>50203080</v>
      </c>
      <c r="C164" s="181"/>
      <c r="D164" s="181"/>
      <c r="E164" s="176">
        <f t="shared" si="3"/>
        <v>0</v>
      </c>
    </row>
    <row r="165" spans="1:5" x14ac:dyDescent="0.25">
      <c r="A165" s="179" t="s">
        <v>118</v>
      </c>
      <c r="B165" s="180">
        <v>50203090</v>
      </c>
      <c r="C165" s="181"/>
      <c r="D165" s="181"/>
      <c r="E165" s="176">
        <f t="shared" si="3"/>
        <v>0</v>
      </c>
    </row>
    <row r="166" spans="1:5" x14ac:dyDescent="0.25">
      <c r="A166" s="179" t="s">
        <v>147</v>
      </c>
      <c r="B166" s="180">
        <v>50203100</v>
      </c>
      <c r="C166" s="181"/>
      <c r="D166" s="181"/>
      <c r="E166" s="176">
        <f t="shared" si="3"/>
        <v>0</v>
      </c>
    </row>
    <row r="167" spans="1:5" x14ac:dyDescent="0.25">
      <c r="A167" s="179" t="s">
        <v>119</v>
      </c>
      <c r="B167" s="180">
        <v>50203990</v>
      </c>
      <c r="C167" s="181"/>
      <c r="D167" s="181"/>
      <c r="E167" s="176">
        <f t="shared" si="3"/>
        <v>0</v>
      </c>
    </row>
    <row r="168" spans="1:5" x14ac:dyDescent="0.25">
      <c r="A168" s="179" t="s">
        <v>25</v>
      </c>
      <c r="B168" s="180">
        <v>50204010</v>
      </c>
      <c r="C168" s="181"/>
      <c r="D168" s="181"/>
      <c r="E168" s="176">
        <f t="shared" si="3"/>
        <v>0</v>
      </c>
    </row>
    <row r="169" spans="1:5" x14ac:dyDescent="0.25">
      <c r="A169" s="185" t="s">
        <v>26</v>
      </c>
      <c r="B169" s="186">
        <v>50204020</v>
      </c>
      <c r="C169" s="181"/>
      <c r="D169" s="181"/>
      <c r="E169" s="176">
        <f t="shared" si="3"/>
        <v>0</v>
      </c>
    </row>
    <row r="170" spans="1:5" x14ac:dyDescent="0.25">
      <c r="A170" s="185" t="s">
        <v>167</v>
      </c>
      <c r="B170" s="186">
        <v>50205010</v>
      </c>
      <c r="C170" s="181"/>
      <c r="D170" s="181"/>
      <c r="E170" s="176">
        <f t="shared" si="3"/>
        <v>0</v>
      </c>
    </row>
    <row r="171" spans="1:5" x14ac:dyDescent="0.25">
      <c r="A171" s="185" t="s">
        <v>151</v>
      </c>
      <c r="B171" s="186">
        <v>50205020</v>
      </c>
      <c r="C171" s="181"/>
      <c r="D171" s="181"/>
      <c r="E171" s="176">
        <f t="shared" si="3"/>
        <v>0</v>
      </c>
    </row>
    <row r="172" spans="1:5" x14ac:dyDescent="0.25">
      <c r="A172" s="185" t="s">
        <v>148</v>
      </c>
      <c r="B172" s="186">
        <v>50205030</v>
      </c>
      <c r="C172" s="181"/>
      <c r="D172" s="181"/>
      <c r="E172" s="176">
        <f t="shared" si="3"/>
        <v>0</v>
      </c>
    </row>
    <row r="173" spans="1:5" x14ac:dyDescent="0.25">
      <c r="A173" s="185" t="s">
        <v>194</v>
      </c>
      <c r="B173" s="186">
        <v>50206010</v>
      </c>
      <c r="C173" s="181"/>
      <c r="D173" s="181"/>
      <c r="E173" s="176">
        <f t="shared" si="3"/>
        <v>0</v>
      </c>
    </row>
    <row r="174" spans="1:5" x14ac:dyDescent="0.25">
      <c r="A174" s="185" t="s">
        <v>199</v>
      </c>
      <c r="B174" s="186">
        <v>50206020</v>
      </c>
      <c r="C174" s="181"/>
      <c r="D174" s="181"/>
      <c r="E174" s="176">
        <f t="shared" si="3"/>
        <v>0</v>
      </c>
    </row>
    <row r="175" spans="1:5" x14ac:dyDescent="0.25">
      <c r="A175" s="185" t="s">
        <v>215</v>
      </c>
      <c r="B175" s="186">
        <v>50207010</v>
      </c>
      <c r="C175" s="181"/>
      <c r="D175" s="181"/>
      <c r="E175" s="176">
        <f t="shared" si="3"/>
        <v>0</v>
      </c>
    </row>
    <row r="176" spans="1:5" x14ac:dyDescent="0.25">
      <c r="A176" s="185" t="s">
        <v>185</v>
      </c>
      <c r="B176" s="186">
        <v>50207020</v>
      </c>
      <c r="C176" s="181"/>
      <c r="D176" s="181"/>
      <c r="E176" s="176">
        <f t="shared" si="3"/>
        <v>0</v>
      </c>
    </row>
    <row r="177" spans="1:5" x14ac:dyDescent="0.25">
      <c r="A177" s="185" t="s">
        <v>149</v>
      </c>
      <c r="B177" s="186">
        <v>50210030</v>
      </c>
      <c r="C177" s="181"/>
      <c r="D177" s="181"/>
      <c r="E177" s="176">
        <f t="shared" si="3"/>
        <v>0</v>
      </c>
    </row>
    <row r="178" spans="1:5" x14ac:dyDescent="0.25">
      <c r="A178" s="185" t="s">
        <v>150</v>
      </c>
      <c r="B178" s="186">
        <v>50211010</v>
      </c>
      <c r="C178" s="181"/>
      <c r="D178" s="181"/>
      <c r="E178" s="176">
        <f t="shared" si="3"/>
        <v>0</v>
      </c>
    </row>
    <row r="179" spans="1:5" x14ac:dyDescent="0.25">
      <c r="A179" s="185" t="s">
        <v>66</v>
      </c>
      <c r="B179" s="186">
        <v>50211020</v>
      </c>
      <c r="C179" s="181"/>
      <c r="D179" s="181"/>
      <c r="E179" s="176">
        <f t="shared" si="3"/>
        <v>0</v>
      </c>
    </row>
    <row r="180" spans="1:5" x14ac:dyDescent="0.25">
      <c r="A180" s="185" t="s">
        <v>27</v>
      </c>
      <c r="B180" s="186">
        <v>50211030</v>
      </c>
      <c r="C180" s="181"/>
      <c r="D180" s="181"/>
      <c r="E180" s="176">
        <f t="shared" si="3"/>
        <v>0</v>
      </c>
    </row>
    <row r="181" spans="1:5" x14ac:dyDescent="0.25">
      <c r="A181" s="185" t="s">
        <v>63</v>
      </c>
      <c r="B181" s="186">
        <v>50211990</v>
      </c>
      <c r="C181" s="181"/>
      <c r="D181" s="181"/>
      <c r="E181" s="176">
        <f t="shared" si="3"/>
        <v>0</v>
      </c>
    </row>
    <row r="182" spans="1:5" x14ac:dyDescent="0.25">
      <c r="A182" s="185" t="s">
        <v>216</v>
      </c>
      <c r="B182" s="186">
        <v>50212030</v>
      </c>
      <c r="C182" s="181"/>
      <c r="D182" s="181"/>
      <c r="E182" s="176">
        <f t="shared" si="3"/>
        <v>0</v>
      </c>
    </row>
    <row r="183" spans="1:5" x14ac:dyDescent="0.25">
      <c r="A183" s="185" t="s">
        <v>202</v>
      </c>
      <c r="B183" s="186">
        <v>50212990</v>
      </c>
      <c r="C183" s="181"/>
      <c r="D183" s="181"/>
      <c r="E183" s="176">
        <f t="shared" si="3"/>
        <v>0</v>
      </c>
    </row>
    <row r="184" spans="1:5" x14ac:dyDescent="0.25">
      <c r="A184" s="185" t="s">
        <v>224</v>
      </c>
      <c r="B184" s="186">
        <v>50213020</v>
      </c>
      <c r="C184" s="181"/>
      <c r="D184" s="181"/>
      <c r="E184" s="176">
        <f t="shared" si="3"/>
        <v>0</v>
      </c>
    </row>
    <row r="185" spans="1:5" x14ac:dyDescent="0.25">
      <c r="A185" s="185" t="s">
        <v>186</v>
      </c>
      <c r="B185" s="186">
        <v>50213030</v>
      </c>
      <c r="C185" s="181"/>
      <c r="D185" s="187"/>
      <c r="E185" s="176">
        <f t="shared" si="3"/>
        <v>0</v>
      </c>
    </row>
    <row r="186" spans="1:5" x14ac:dyDescent="0.25">
      <c r="A186" s="185" t="s">
        <v>120</v>
      </c>
      <c r="B186" s="186">
        <v>50213040</v>
      </c>
      <c r="C186" s="181"/>
      <c r="D186" s="187"/>
      <c r="E186" s="176">
        <f t="shared" si="3"/>
        <v>0</v>
      </c>
    </row>
    <row r="187" spans="1:5" x14ac:dyDescent="0.25">
      <c r="A187" s="185" t="s">
        <v>121</v>
      </c>
      <c r="B187" s="186">
        <v>50213050</v>
      </c>
      <c r="C187" s="181"/>
      <c r="D187" s="187"/>
      <c r="E187" s="176">
        <f t="shared" si="3"/>
        <v>0</v>
      </c>
    </row>
    <row r="188" spans="1:5" x14ac:dyDescent="0.25">
      <c r="A188" s="185" t="s">
        <v>122</v>
      </c>
      <c r="B188" s="186">
        <v>50213060</v>
      </c>
      <c r="C188" s="181"/>
      <c r="D188" s="187"/>
      <c r="E188" s="176">
        <f t="shared" si="3"/>
        <v>0</v>
      </c>
    </row>
    <row r="189" spans="1:5" x14ac:dyDescent="0.25">
      <c r="A189" s="185" t="s">
        <v>152</v>
      </c>
      <c r="B189" s="186">
        <v>50213070</v>
      </c>
      <c r="C189" s="181"/>
      <c r="D189" s="187"/>
      <c r="E189" s="176">
        <f t="shared" si="3"/>
        <v>0</v>
      </c>
    </row>
    <row r="190" spans="1:5" x14ac:dyDescent="0.25">
      <c r="A190" s="185" t="s">
        <v>170</v>
      </c>
      <c r="B190" s="186">
        <v>50213990</v>
      </c>
      <c r="C190" s="181"/>
      <c r="D190" s="187"/>
      <c r="E190" s="176">
        <f t="shared" si="3"/>
        <v>0</v>
      </c>
    </row>
    <row r="191" spans="1:5" x14ac:dyDescent="0.25">
      <c r="A191" s="185" t="s">
        <v>153</v>
      </c>
      <c r="B191" s="186">
        <v>50214030</v>
      </c>
      <c r="C191" s="181"/>
      <c r="D191" s="187"/>
      <c r="E191" s="176">
        <f t="shared" si="3"/>
        <v>0</v>
      </c>
    </row>
    <row r="192" spans="1:5" x14ac:dyDescent="0.25">
      <c r="A192" s="185" t="s">
        <v>220</v>
      </c>
      <c r="B192" s="186">
        <v>50214060</v>
      </c>
      <c r="C192" s="181"/>
      <c r="D192" s="187"/>
      <c r="E192" s="176">
        <f t="shared" si="3"/>
        <v>0</v>
      </c>
    </row>
    <row r="193" spans="1:5" x14ac:dyDescent="0.25">
      <c r="A193" s="185" t="s">
        <v>211</v>
      </c>
      <c r="B193" s="186">
        <v>50215020</v>
      </c>
      <c r="C193" s="181"/>
      <c r="D193" s="187"/>
      <c r="E193" s="176">
        <f t="shared" si="3"/>
        <v>0</v>
      </c>
    </row>
    <row r="194" spans="1:5" x14ac:dyDescent="0.25">
      <c r="A194" s="185" t="s">
        <v>154</v>
      </c>
      <c r="B194" s="186">
        <v>50216010</v>
      </c>
      <c r="C194" s="181"/>
      <c r="D194" s="187"/>
      <c r="E194" s="176">
        <f t="shared" si="3"/>
        <v>0</v>
      </c>
    </row>
    <row r="195" spans="1:5" x14ac:dyDescent="0.25">
      <c r="A195" s="185" t="s">
        <v>155</v>
      </c>
      <c r="B195" s="186">
        <v>50216020</v>
      </c>
      <c r="C195" s="181"/>
      <c r="D195" s="187"/>
      <c r="E195" s="176">
        <f t="shared" si="3"/>
        <v>0</v>
      </c>
    </row>
    <row r="196" spans="1:5" x14ac:dyDescent="0.25">
      <c r="A196" s="185" t="s">
        <v>156</v>
      </c>
      <c r="B196" s="186">
        <v>50216030</v>
      </c>
      <c r="C196" s="181"/>
      <c r="D196" s="187"/>
      <c r="E196" s="176">
        <f t="shared" si="3"/>
        <v>0</v>
      </c>
    </row>
    <row r="197" spans="1:5" x14ac:dyDescent="0.25">
      <c r="A197" s="185" t="s">
        <v>157</v>
      </c>
      <c r="B197" s="186">
        <v>50299010</v>
      </c>
      <c r="C197" s="181"/>
      <c r="D197" s="187"/>
      <c r="E197" s="176">
        <f t="shared" si="3"/>
        <v>0</v>
      </c>
    </row>
    <row r="198" spans="1:5" x14ac:dyDescent="0.25">
      <c r="A198" s="185" t="s">
        <v>158</v>
      </c>
      <c r="B198" s="186">
        <v>50299020</v>
      </c>
      <c r="C198" s="181"/>
      <c r="D198" s="187"/>
      <c r="E198" s="176">
        <f t="shared" si="3"/>
        <v>0</v>
      </c>
    </row>
    <row r="199" spans="1:5" x14ac:dyDescent="0.25">
      <c r="A199" s="185" t="s">
        <v>24</v>
      </c>
      <c r="B199" s="186">
        <v>50299030</v>
      </c>
      <c r="C199" s="181"/>
      <c r="D199" s="187"/>
      <c r="E199" s="176">
        <f t="shared" si="3"/>
        <v>0</v>
      </c>
    </row>
    <row r="200" spans="1:5" x14ac:dyDescent="0.25">
      <c r="A200" s="185" t="s">
        <v>159</v>
      </c>
      <c r="B200" s="186">
        <v>50299050</v>
      </c>
      <c r="C200" s="181"/>
      <c r="D200" s="187"/>
      <c r="E200" s="176">
        <f t="shared" ref="E200:E209" si="4">C200-D200</f>
        <v>0</v>
      </c>
    </row>
    <row r="201" spans="1:5" x14ac:dyDescent="0.25">
      <c r="A201" s="185" t="s">
        <v>160</v>
      </c>
      <c r="B201" s="186">
        <v>50299060</v>
      </c>
      <c r="C201" s="181"/>
      <c r="D201" s="187"/>
      <c r="E201" s="176">
        <f t="shared" si="4"/>
        <v>0</v>
      </c>
    </row>
    <row r="202" spans="1:5" x14ac:dyDescent="0.25">
      <c r="A202" s="185" t="s">
        <v>28</v>
      </c>
      <c r="B202" s="186">
        <v>50299080</v>
      </c>
      <c r="C202" s="181"/>
      <c r="D202" s="187"/>
      <c r="E202" s="176">
        <f t="shared" si="4"/>
        <v>0</v>
      </c>
    </row>
    <row r="203" spans="1:5" x14ac:dyDescent="0.25">
      <c r="A203" s="185" t="s">
        <v>168</v>
      </c>
      <c r="B203" s="186">
        <v>50299990</v>
      </c>
      <c r="C203" s="181"/>
      <c r="D203" s="187"/>
      <c r="E203" s="176">
        <f t="shared" si="4"/>
        <v>0</v>
      </c>
    </row>
    <row r="204" spans="1:5" x14ac:dyDescent="0.25">
      <c r="A204" s="185" t="s">
        <v>161</v>
      </c>
      <c r="B204" s="186">
        <v>50301990</v>
      </c>
      <c r="C204" s="181"/>
      <c r="D204" s="187"/>
      <c r="E204" s="176">
        <f t="shared" si="4"/>
        <v>0</v>
      </c>
    </row>
    <row r="205" spans="1:5" x14ac:dyDescent="0.25">
      <c r="A205" s="185" t="s">
        <v>191</v>
      </c>
      <c r="B205" s="186">
        <v>50501030</v>
      </c>
      <c r="C205" s="181"/>
      <c r="D205" s="187"/>
      <c r="E205" s="176">
        <f t="shared" si="4"/>
        <v>0</v>
      </c>
    </row>
    <row r="206" spans="1:5" x14ac:dyDescent="0.25">
      <c r="A206" s="185" t="s">
        <v>162</v>
      </c>
      <c r="B206" s="186">
        <v>50501050</v>
      </c>
      <c r="C206" s="181"/>
      <c r="D206" s="187"/>
      <c r="E206" s="176">
        <f t="shared" si="4"/>
        <v>0</v>
      </c>
    </row>
    <row r="207" spans="1:5" x14ac:dyDescent="0.25">
      <c r="A207" s="185" t="s">
        <v>163</v>
      </c>
      <c r="B207" s="186">
        <v>50501060</v>
      </c>
      <c r="C207" s="181"/>
      <c r="D207" s="187"/>
      <c r="E207" s="176">
        <f t="shared" si="4"/>
        <v>0</v>
      </c>
    </row>
    <row r="208" spans="1:5" x14ac:dyDescent="0.25">
      <c r="A208" s="185" t="s">
        <v>164</v>
      </c>
      <c r="B208" s="186">
        <v>50501070</v>
      </c>
      <c r="C208" s="181"/>
      <c r="D208" s="187"/>
      <c r="E208" s="176">
        <f t="shared" si="4"/>
        <v>0</v>
      </c>
    </row>
    <row r="209" spans="1:5" x14ac:dyDescent="0.25">
      <c r="A209" s="185" t="s">
        <v>165</v>
      </c>
      <c r="B209" s="186">
        <v>50501990</v>
      </c>
      <c r="C209" s="187"/>
      <c r="D209" s="187"/>
      <c r="E209" s="176">
        <f t="shared" si="4"/>
        <v>0</v>
      </c>
    </row>
    <row r="210" spans="1:5" x14ac:dyDescent="0.25">
      <c r="A210" s="188"/>
      <c r="B210" s="189" t="s">
        <v>6</v>
      </c>
      <c r="C210" s="190">
        <f>SUM(C11:C209)</f>
        <v>0</v>
      </c>
      <c r="D210" s="190">
        <f>SUM(D11:D209)</f>
        <v>0</v>
      </c>
      <c r="E210" s="191">
        <f>C210-D210</f>
        <v>0</v>
      </c>
    </row>
    <row r="211" spans="1:5" x14ac:dyDescent="0.25">
      <c r="A211" s="192"/>
      <c r="B211" s="193"/>
      <c r="C211" s="194"/>
      <c r="D211" s="195"/>
      <c r="E211" s="196"/>
    </row>
    <row r="212" spans="1:5" x14ac:dyDescent="0.25">
      <c r="A212" s="167" t="s">
        <v>64</v>
      </c>
      <c r="B212" s="269" t="s">
        <v>0</v>
      </c>
      <c r="C212" s="269"/>
      <c r="D212" s="269"/>
      <c r="E212" s="197"/>
    </row>
    <row r="213" spans="1:5" x14ac:dyDescent="0.25">
      <c r="A213" s="167"/>
      <c r="B213" s="164"/>
      <c r="C213" s="198"/>
      <c r="D213" s="167"/>
      <c r="E213" s="167"/>
    </row>
    <row r="214" spans="1:5" x14ac:dyDescent="0.25">
      <c r="A214" s="167"/>
      <c r="B214" s="164"/>
      <c r="C214" s="199"/>
      <c r="D214" s="167"/>
      <c r="E214" s="167"/>
    </row>
    <row r="215" spans="1:5" ht="18.75" x14ac:dyDescent="0.25">
      <c r="A215" s="200" t="s">
        <v>247</v>
      </c>
      <c r="B215" s="270" t="s">
        <v>200</v>
      </c>
      <c r="C215" s="270"/>
      <c r="D215" s="270"/>
      <c r="E215" s="200"/>
    </row>
    <row r="216" spans="1:5" ht="18.75" x14ac:dyDescent="0.25">
      <c r="A216" s="201" t="s">
        <v>246</v>
      </c>
      <c r="B216" s="265" t="s">
        <v>195</v>
      </c>
      <c r="C216" s="265"/>
      <c r="D216" s="265"/>
      <c r="E216" s="201"/>
    </row>
  </sheetData>
  <mergeCells count="21">
    <mergeCell ref="A1:D1"/>
    <mergeCell ref="A2:D2"/>
    <mergeCell ref="A3:D3"/>
    <mergeCell ref="A5:D5"/>
    <mergeCell ref="A6:D6"/>
    <mergeCell ref="A7:D7"/>
    <mergeCell ref="B216:D216"/>
    <mergeCell ref="A8:A10"/>
    <mergeCell ref="B8:B10"/>
    <mergeCell ref="C8:C10"/>
    <mergeCell ref="D8:D10"/>
    <mergeCell ref="B212:D212"/>
    <mergeCell ref="B215:D215"/>
    <mergeCell ref="P16:Q16"/>
    <mergeCell ref="R14:S14"/>
    <mergeCell ref="N11:O11"/>
    <mergeCell ref="P11:Q11"/>
    <mergeCell ref="P12:Q12"/>
    <mergeCell ref="P13:Q13"/>
    <mergeCell ref="P14:Q14"/>
    <mergeCell ref="N14:O14"/>
  </mergeCells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6"/>
  <sheetViews>
    <sheetView zoomScale="73" zoomScaleNormal="73" workbookViewId="0">
      <selection activeCell="E11" sqref="E11"/>
    </sheetView>
  </sheetViews>
  <sheetFormatPr defaultRowHeight="18" x14ac:dyDescent="0.25"/>
  <cols>
    <col min="1" max="1" width="75.7109375" style="165" customWidth="1"/>
    <col min="2" max="2" width="14" style="165" customWidth="1"/>
    <col min="3" max="3" width="19.28515625" style="165" customWidth="1"/>
    <col min="4" max="4" width="20.85546875" style="165" customWidth="1"/>
    <col min="5" max="5" width="21" style="165" customWidth="1"/>
    <col min="6" max="6" width="13.5703125" style="165" customWidth="1"/>
    <col min="7" max="7" width="11.85546875" style="165" customWidth="1"/>
    <col min="8" max="8" width="11.42578125" style="165" bestFit="1" customWidth="1"/>
    <col min="9" max="9" width="11.85546875" style="165" customWidth="1"/>
    <col min="10" max="10" width="15.42578125" style="165" customWidth="1"/>
    <col min="11" max="11" width="19.5703125" style="165" customWidth="1"/>
    <col min="12" max="12" width="16.140625" style="165" customWidth="1"/>
    <col min="13" max="13" width="12.42578125" style="165" customWidth="1"/>
    <col min="14" max="16384" width="9.140625" style="165"/>
  </cols>
  <sheetData>
    <row r="1" spans="1:17" x14ac:dyDescent="0.25">
      <c r="A1" s="271" t="s">
        <v>234</v>
      </c>
      <c r="B1" s="271"/>
      <c r="C1" s="271"/>
      <c r="D1" s="271"/>
      <c r="E1" s="164"/>
    </row>
    <row r="2" spans="1:17" x14ac:dyDescent="0.25">
      <c r="A2" s="272" t="s">
        <v>3</v>
      </c>
      <c r="B2" s="272"/>
      <c r="C2" s="272"/>
      <c r="D2" s="272"/>
      <c r="E2" s="166"/>
    </row>
    <row r="3" spans="1:17" x14ac:dyDescent="0.25">
      <c r="A3" s="271" t="s">
        <v>1</v>
      </c>
      <c r="B3" s="271"/>
      <c r="C3" s="271"/>
      <c r="D3" s="271"/>
      <c r="E3" s="164"/>
    </row>
    <row r="4" spans="1:17" x14ac:dyDescent="0.25">
      <c r="A4" s="167"/>
      <c r="B4" s="164"/>
      <c r="C4" s="168"/>
      <c r="D4" s="167"/>
      <c r="E4" s="167"/>
    </row>
    <row r="5" spans="1:17" x14ac:dyDescent="0.25">
      <c r="A5" s="272" t="s">
        <v>7</v>
      </c>
      <c r="B5" s="272"/>
      <c r="C5" s="272"/>
      <c r="D5" s="272"/>
      <c r="E5" s="166"/>
    </row>
    <row r="6" spans="1:17" x14ac:dyDescent="0.25">
      <c r="A6" s="271" t="s">
        <v>258</v>
      </c>
      <c r="B6" s="271"/>
      <c r="C6" s="271"/>
      <c r="D6" s="271"/>
      <c r="E6" s="164"/>
    </row>
    <row r="7" spans="1:17" ht="18.75" thickBot="1" x14ac:dyDescent="0.3">
      <c r="A7" s="273" t="s">
        <v>260</v>
      </c>
      <c r="B7" s="273"/>
      <c r="C7" s="273"/>
      <c r="D7" s="273"/>
      <c r="E7" s="169"/>
    </row>
    <row r="8" spans="1:17" ht="23.25" thickTop="1" x14ac:dyDescent="0.45">
      <c r="A8" s="266" t="s">
        <v>10</v>
      </c>
      <c r="B8" s="266" t="s">
        <v>9</v>
      </c>
      <c r="C8" s="266" t="s">
        <v>4</v>
      </c>
      <c r="D8" s="266" t="s">
        <v>5</v>
      </c>
      <c r="E8" s="170"/>
      <c r="F8" s="171" t="s">
        <v>235</v>
      </c>
      <c r="G8" s="171" t="s">
        <v>236</v>
      </c>
      <c r="H8" s="171" t="s">
        <v>237</v>
      </c>
      <c r="I8" s="172" t="s">
        <v>238</v>
      </c>
      <c r="J8" s="172" t="s">
        <v>239</v>
      </c>
      <c r="K8" s="171" t="s">
        <v>240</v>
      </c>
      <c r="L8" s="172" t="s">
        <v>241</v>
      </c>
      <c r="M8" s="172" t="s">
        <v>242</v>
      </c>
      <c r="N8" s="172" t="s">
        <v>243</v>
      </c>
      <c r="O8" s="172"/>
    </row>
    <row r="9" spans="1:17" x14ac:dyDescent="0.25">
      <c r="A9" s="267"/>
      <c r="B9" s="267"/>
      <c r="C9" s="267"/>
      <c r="D9" s="267"/>
      <c r="E9" s="170"/>
    </row>
    <row r="10" spans="1:17" ht="18.75" thickBot="1" x14ac:dyDescent="0.3">
      <c r="A10" s="268"/>
      <c r="B10" s="268"/>
      <c r="C10" s="268"/>
      <c r="D10" s="268"/>
      <c r="E10" s="170"/>
    </row>
    <row r="11" spans="1:17" ht="18.75" thickTop="1" x14ac:dyDescent="0.25">
      <c r="A11" s="173" t="s">
        <v>123</v>
      </c>
      <c r="B11" s="174">
        <v>10101010</v>
      </c>
      <c r="C11" s="175"/>
      <c r="D11" s="175"/>
      <c r="E11" s="176">
        <f>C11-D11</f>
        <v>0</v>
      </c>
      <c r="F11" s="177"/>
      <c r="G11" s="206"/>
      <c r="H11" s="207"/>
      <c r="I11" s="178"/>
      <c r="J11" s="178"/>
      <c r="K11" s="178"/>
      <c r="L11" s="178"/>
      <c r="M11" s="178"/>
      <c r="N11" s="261"/>
      <c r="O11" s="262"/>
      <c r="P11" s="263"/>
      <c r="Q11" s="264"/>
    </row>
    <row r="12" spans="1:17" x14ac:dyDescent="0.25">
      <c r="A12" s="179" t="s">
        <v>67</v>
      </c>
      <c r="B12" s="180">
        <v>10101020</v>
      </c>
      <c r="C12" s="181"/>
      <c r="D12" s="181"/>
      <c r="E12" s="176">
        <f t="shared" ref="E12:E75" si="0">C12-D12</f>
        <v>0</v>
      </c>
      <c r="F12" s="182"/>
      <c r="G12" s="208"/>
      <c r="H12" s="207"/>
    </row>
    <row r="13" spans="1:17" x14ac:dyDescent="0.25">
      <c r="A13" s="179" t="s">
        <v>226</v>
      </c>
      <c r="B13" s="180">
        <v>10102020</v>
      </c>
      <c r="C13" s="181"/>
      <c r="D13" s="181"/>
      <c r="E13" s="176">
        <f t="shared" si="0"/>
        <v>0</v>
      </c>
      <c r="F13" s="206"/>
      <c r="G13" s="208"/>
    </row>
    <row r="14" spans="1:17" x14ac:dyDescent="0.25">
      <c r="A14" s="179" t="s">
        <v>68</v>
      </c>
      <c r="B14" s="180">
        <v>10205990</v>
      </c>
      <c r="C14" s="181"/>
      <c r="D14" s="181"/>
      <c r="E14" s="176">
        <f t="shared" si="0"/>
        <v>0</v>
      </c>
      <c r="F14" s="177"/>
      <c r="G14" s="209"/>
    </row>
    <row r="15" spans="1:17" x14ac:dyDescent="0.25">
      <c r="A15" s="179" t="s">
        <v>11</v>
      </c>
      <c r="B15" s="180">
        <v>10301020</v>
      </c>
      <c r="C15" s="181"/>
      <c r="D15" s="181"/>
      <c r="E15" s="176">
        <f t="shared" si="0"/>
        <v>0</v>
      </c>
      <c r="F15" s="206"/>
      <c r="G15" s="210"/>
    </row>
    <row r="16" spans="1:17" x14ac:dyDescent="0.25">
      <c r="A16" s="179" t="s">
        <v>133</v>
      </c>
      <c r="B16" s="180">
        <v>10303010</v>
      </c>
      <c r="C16" s="181"/>
      <c r="D16" s="181"/>
      <c r="E16" s="176">
        <f t="shared" si="0"/>
        <v>0</v>
      </c>
      <c r="F16" s="177"/>
      <c r="G16" s="210"/>
    </row>
    <row r="17" spans="1:17" x14ac:dyDescent="0.25">
      <c r="A17" s="179" t="s">
        <v>50</v>
      </c>
      <c r="B17" s="180">
        <v>10303020</v>
      </c>
      <c r="C17" s="181"/>
      <c r="D17" s="181"/>
      <c r="E17" s="176">
        <f t="shared" si="0"/>
        <v>0</v>
      </c>
      <c r="F17" s="206"/>
      <c r="G17" s="210"/>
    </row>
    <row r="18" spans="1:17" x14ac:dyDescent="0.25">
      <c r="A18" s="179" t="s">
        <v>51</v>
      </c>
      <c r="B18" s="180">
        <v>10303030</v>
      </c>
      <c r="C18" s="181"/>
      <c r="D18" s="181"/>
      <c r="E18" s="176">
        <f t="shared" si="0"/>
        <v>0</v>
      </c>
      <c r="F18" s="208"/>
      <c r="G18" s="208"/>
    </row>
    <row r="19" spans="1:17" x14ac:dyDescent="0.25">
      <c r="A19" s="179" t="s">
        <v>12</v>
      </c>
      <c r="B19" s="180">
        <v>10304050</v>
      </c>
      <c r="C19" s="181"/>
      <c r="D19" s="181"/>
      <c r="E19" s="176">
        <f t="shared" si="0"/>
        <v>0</v>
      </c>
      <c r="F19" s="178"/>
      <c r="G19" s="178"/>
      <c r="H19" s="211"/>
      <c r="I19" s="178"/>
      <c r="J19" s="178"/>
      <c r="K19" s="178"/>
      <c r="L19" s="178"/>
      <c r="M19" s="178"/>
      <c r="N19" s="261"/>
      <c r="O19" s="262"/>
      <c r="P19" s="274"/>
      <c r="Q19" s="275"/>
    </row>
    <row r="20" spans="1:17" x14ac:dyDescent="0.25">
      <c r="A20" s="179" t="s">
        <v>125</v>
      </c>
      <c r="B20" s="180">
        <v>10305010</v>
      </c>
      <c r="C20" s="181"/>
      <c r="D20" s="181"/>
      <c r="E20" s="176">
        <f t="shared" si="0"/>
        <v>0</v>
      </c>
    </row>
    <row r="21" spans="1:17" x14ac:dyDescent="0.25">
      <c r="A21" s="179" t="s">
        <v>69</v>
      </c>
      <c r="B21" s="180">
        <v>10305020</v>
      </c>
      <c r="C21" s="181"/>
      <c r="D21" s="181"/>
      <c r="E21" s="176">
        <f t="shared" si="0"/>
        <v>0</v>
      </c>
    </row>
    <row r="22" spans="1:17" x14ac:dyDescent="0.25">
      <c r="A22" s="179" t="s">
        <v>70</v>
      </c>
      <c r="B22" s="180">
        <v>10305040</v>
      </c>
      <c r="C22" s="181"/>
      <c r="D22" s="181"/>
      <c r="E22" s="176">
        <f t="shared" si="0"/>
        <v>0</v>
      </c>
      <c r="J22" s="178"/>
      <c r="L22" s="207"/>
    </row>
    <row r="23" spans="1:17" x14ac:dyDescent="0.25">
      <c r="A23" s="179" t="s">
        <v>124</v>
      </c>
      <c r="B23" s="180">
        <v>10306010</v>
      </c>
      <c r="C23" s="181"/>
      <c r="D23" s="181"/>
      <c r="E23" s="176">
        <f t="shared" si="0"/>
        <v>0</v>
      </c>
      <c r="J23" s="178"/>
      <c r="L23" s="207"/>
    </row>
    <row r="24" spans="1:17" x14ac:dyDescent="0.25">
      <c r="A24" s="179" t="s">
        <v>134</v>
      </c>
      <c r="B24" s="180">
        <v>10306020</v>
      </c>
      <c r="C24" s="181"/>
      <c r="D24" s="181"/>
      <c r="E24" s="176">
        <f t="shared" si="0"/>
        <v>0</v>
      </c>
      <c r="J24" s="178"/>
      <c r="K24" s="207"/>
    </row>
    <row r="25" spans="1:17" x14ac:dyDescent="0.25">
      <c r="A25" s="179" t="s">
        <v>13</v>
      </c>
      <c r="B25" s="180">
        <v>10306990</v>
      </c>
      <c r="C25" s="181"/>
      <c r="D25" s="181"/>
      <c r="E25" s="176">
        <f t="shared" si="0"/>
        <v>0</v>
      </c>
      <c r="J25" s="178"/>
      <c r="K25" s="207"/>
    </row>
    <row r="26" spans="1:17" x14ac:dyDescent="0.25">
      <c r="A26" s="179" t="s">
        <v>135</v>
      </c>
      <c r="B26" s="180">
        <v>10402090</v>
      </c>
      <c r="C26" s="181"/>
      <c r="D26" s="181"/>
      <c r="E26" s="176">
        <f t="shared" si="0"/>
        <v>0</v>
      </c>
      <c r="J26" s="178"/>
    </row>
    <row r="27" spans="1:17" x14ac:dyDescent="0.25">
      <c r="A27" s="179" t="s">
        <v>65</v>
      </c>
      <c r="B27" s="180">
        <v>10404010</v>
      </c>
      <c r="C27" s="181"/>
      <c r="D27" s="181"/>
      <c r="E27" s="176">
        <f t="shared" si="0"/>
        <v>0</v>
      </c>
    </row>
    <row r="28" spans="1:17" x14ac:dyDescent="0.25">
      <c r="A28" s="179" t="s">
        <v>219</v>
      </c>
      <c r="B28" s="180">
        <v>10404060</v>
      </c>
      <c r="C28" s="181"/>
      <c r="D28" s="181"/>
      <c r="E28" s="176">
        <f t="shared" si="0"/>
        <v>0</v>
      </c>
      <c r="J28" s="178"/>
      <c r="K28" s="178"/>
    </row>
    <row r="29" spans="1:17" x14ac:dyDescent="0.25">
      <c r="A29" s="179" t="s">
        <v>196</v>
      </c>
      <c r="B29" s="180">
        <v>10404070</v>
      </c>
      <c r="C29" s="181"/>
      <c r="D29" s="181"/>
      <c r="E29" s="176">
        <f t="shared" si="0"/>
        <v>0</v>
      </c>
      <c r="J29" s="207"/>
    </row>
    <row r="30" spans="1:17" x14ac:dyDescent="0.25">
      <c r="A30" s="179" t="s">
        <v>188</v>
      </c>
      <c r="B30" s="180">
        <v>10404090</v>
      </c>
      <c r="C30" s="181"/>
      <c r="D30" s="181"/>
      <c r="E30" s="176">
        <f t="shared" si="0"/>
        <v>0</v>
      </c>
      <c r="J30" s="212"/>
    </row>
    <row r="31" spans="1:17" x14ac:dyDescent="0.25">
      <c r="A31" s="179" t="s">
        <v>71</v>
      </c>
      <c r="B31" s="180">
        <v>10404990</v>
      </c>
      <c r="C31" s="181"/>
      <c r="D31" s="181"/>
      <c r="E31" s="176">
        <f t="shared" si="0"/>
        <v>0</v>
      </c>
    </row>
    <row r="32" spans="1:17" x14ac:dyDescent="0.25">
      <c r="A32" s="179" t="s">
        <v>228</v>
      </c>
      <c r="B32" s="180">
        <v>10501010</v>
      </c>
      <c r="C32" s="181"/>
      <c r="D32" s="181"/>
      <c r="E32" s="176">
        <f t="shared" si="0"/>
        <v>0</v>
      </c>
    </row>
    <row r="33" spans="1:5" x14ac:dyDescent="0.25">
      <c r="A33" s="179" t="s">
        <v>49</v>
      </c>
      <c r="B33" s="180">
        <v>10501050</v>
      </c>
      <c r="C33" s="181"/>
      <c r="D33" s="181"/>
      <c r="E33" s="176">
        <f t="shared" si="0"/>
        <v>0</v>
      </c>
    </row>
    <row r="34" spans="1:5" x14ac:dyDescent="0.25">
      <c r="A34" s="179" t="s">
        <v>218</v>
      </c>
      <c r="B34" s="180">
        <v>10501990</v>
      </c>
      <c r="C34" s="181"/>
      <c r="D34" s="181"/>
      <c r="E34" s="176">
        <f t="shared" si="0"/>
        <v>0</v>
      </c>
    </row>
    <row r="35" spans="1:5" x14ac:dyDescent="0.25">
      <c r="A35" s="179" t="s">
        <v>136</v>
      </c>
      <c r="B35" s="180">
        <v>10601030</v>
      </c>
      <c r="C35" s="181"/>
      <c r="D35" s="181"/>
      <c r="E35" s="176">
        <f t="shared" si="0"/>
        <v>0</v>
      </c>
    </row>
    <row r="36" spans="1:5" x14ac:dyDescent="0.25">
      <c r="A36" s="179" t="s">
        <v>14</v>
      </c>
      <c r="B36" s="180">
        <v>10701010</v>
      </c>
      <c r="C36" s="181"/>
      <c r="D36" s="181"/>
      <c r="E36" s="176">
        <f t="shared" si="0"/>
        <v>0</v>
      </c>
    </row>
    <row r="37" spans="1:5" x14ac:dyDescent="0.25">
      <c r="A37" s="179" t="s">
        <v>72</v>
      </c>
      <c r="B37" s="180">
        <v>10702010</v>
      </c>
      <c r="C37" s="181"/>
      <c r="D37" s="181"/>
      <c r="E37" s="176">
        <f t="shared" si="0"/>
        <v>0</v>
      </c>
    </row>
    <row r="38" spans="1:5" x14ac:dyDescent="0.25">
      <c r="A38" s="179" t="s">
        <v>204</v>
      </c>
      <c r="B38" s="180">
        <v>10703010</v>
      </c>
      <c r="C38" s="181"/>
      <c r="D38" s="181"/>
      <c r="E38" s="176">
        <f t="shared" si="0"/>
        <v>0</v>
      </c>
    </row>
    <row r="39" spans="1:5" x14ac:dyDescent="0.25">
      <c r="A39" s="179" t="s">
        <v>231</v>
      </c>
      <c r="B39" s="180">
        <v>10703020</v>
      </c>
      <c r="C39" s="181"/>
      <c r="D39" s="181"/>
      <c r="E39" s="176">
        <f t="shared" si="0"/>
        <v>0</v>
      </c>
    </row>
    <row r="40" spans="1:5" x14ac:dyDescent="0.25">
      <c r="A40" s="179" t="s">
        <v>214</v>
      </c>
      <c r="B40" s="180">
        <v>10703040</v>
      </c>
      <c r="C40" s="181"/>
      <c r="D40" s="181"/>
      <c r="E40" s="176">
        <f t="shared" si="0"/>
        <v>0</v>
      </c>
    </row>
    <row r="41" spans="1:5" x14ac:dyDescent="0.25">
      <c r="A41" s="179" t="s">
        <v>73</v>
      </c>
      <c r="B41" s="180">
        <v>10703050</v>
      </c>
      <c r="C41" s="181"/>
      <c r="D41" s="181"/>
      <c r="E41" s="176">
        <f t="shared" si="0"/>
        <v>0</v>
      </c>
    </row>
    <row r="42" spans="1:5" x14ac:dyDescent="0.25">
      <c r="A42" s="179" t="s">
        <v>82</v>
      </c>
      <c r="B42" s="180">
        <v>10703051</v>
      </c>
      <c r="C42" s="181"/>
      <c r="D42" s="181"/>
      <c r="E42" s="176">
        <f t="shared" si="0"/>
        <v>0</v>
      </c>
    </row>
    <row r="43" spans="1:5" x14ac:dyDescent="0.25">
      <c r="A43" s="179" t="s">
        <v>74</v>
      </c>
      <c r="B43" s="180">
        <v>10704010</v>
      </c>
      <c r="C43" s="181"/>
      <c r="D43" s="181"/>
      <c r="E43" s="176">
        <f t="shared" si="0"/>
        <v>0</v>
      </c>
    </row>
    <row r="44" spans="1:5" x14ac:dyDescent="0.25">
      <c r="A44" s="179" t="s">
        <v>15</v>
      </c>
      <c r="B44" s="180">
        <v>10704020</v>
      </c>
      <c r="C44" s="181"/>
      <c r="D44" s="181"/>
      <c r="E44" s="176">
        <f t="shared" si="0"/>
        <v>0</v>
      </c>
    </row>
    <row r="45" spans="1:5" x14ac:dyDescent="0.25">
      <c r="A45" s="179" t="s">
        <v>75</v>
      </c>
      <c r="B45" s="180">
        <v>10704040</v>
      </c>
      <c r="C45" s="181"/>
      <c r="D45" s="181"/>
      <c r="E45" s="176">
        <f t="shared" si="0"/>
        <v>0</v>
      </c>
    </row>
    <row r="46" spans="1:5" x14ac:dyDescent="0.25">
      <c r="A46" s="179" t="s">
        <v>193</v>
      </c>
      <c r="B46" s="180">
        <v>10704050</v>
      </c>
      <c r="C46" s="181"/>
      <c r="D46" s="181"/>
      <c r="E46" s="176">
        <f t="shared" si="0"/>
        <v>0</v>
      </c>
    </row>
    <row r="47" spans="1:5" x14ac:dyDescent="0.25">
      <c r="A47" s="179" t="s">
        <v>209</v>
      </c>
      <c r="B47" s="180">
        <v>10704990</v>
      </c>
      <c r="C47" s="181"/>
      <c r="D47" s="181"/>
      <c r="E47" s="176">
        <f t="shared" si="0"/>
        <v>0</v>
      </c>
    </row>
    <row r="48" spans="1:5" x14ac:dyDescent="0.25">
      <c r="A48" s="179" t="s">
        <v>17</v>
      </c>
      <c r="B48" s="180">
        <v>10705010</v>
      </c>
      <c r="C48" s="181"/>
      <c r="D48" s="181"/>
      <c r="E48" s="176">
        <f t="shared" si="0"/>
        <v>0</v>
      </c>
    </row>
    <row r="49" spans="1:5" x14ac:dyDescent="0.25">
      <c r="A49" s="179" t="s">
        <v>83</v>
      </c>
      <c r="B49" s="180">
        <v>10705011</v>
      </c>
      <c r="C49" s="181"/>
      <c r="D49" s="181"/>
      <c r="E49" s="176">
        <f t="shared" si="0"/>
        <v>0</v>
      </c>
    </row>
    <row r="50" spans="1:5" x14ac:dyDescent="0.25">
      <c r="A50" s="179" t="s">
        <v>16</v>
      </c>
      <c r="B50" s="180">
        <v>10705020</v>
      </c>
      <c r="C50" s="181"/>
      <c r="D50" s="181"/>
      <c r="E50" s="176">
        <f t="shared" si="0"/>
        <v>0</v>
      </c>
    </row>
    <row r="51" spans="1:5" x14ac:dyDescent="0.25">
      <c r="A51" s="179" t="s">
        <v>84</v>
      </c>
      <c r="B51" s="180">
        <v>10705021</v>
      </c>
      <c r="C51" s="181"/>
      <c r="D51" s="181"/>
      <c r="E51" s="176">
        <f t="shared" si="0"/>
        <v>0</v>
      </c>
    </row>
    <row r="52" spans="1:5" x14ac:dyDescent="0.25">
      <c r="A52" s="179" t="s">
        <v>76</v>
      </c>
      <c r="B52" s="180">
        <v>10705030</v>
      </c>
      <c r="C52" s="181"/>
      <c r="D52" s="181"/>
      <c r="E52" s="176">
        <f t="shared" si="0"/>
        <v>0</v>
      </c>
    </row>
    <row r="53" spans="1:5" x14ac:dyDescent="0.25">
      <c r="A53" s="130" t="s">
        <v>85</v>
      </c>
      <c r="B53" s="180">
        <v>10705031</v>
      </c>
      <c r="C53" s="181"/>
      <c r="D53" s="181"/>
      <c r="E53" s="176">
        <f t="shared" si="0"/>
        <v>0</v>
      </c>
    </row>
    <row r="54" spans="1:5" x14ac:dyDescent="0.25">
      <c r="A54" s="179" t="s">
        <v>77</v>
      </c>
      <c r="B54" s="180">
        <v>10705040</v>
      </c>
      <c r="C54" s="181"/>
      <c r="D54" s="181"/>
      <c r="E54" s="176">
        <f t="shared" si="0"/>
        <v>0</v>
      </c>
    </row>
    <row r="55" spans="1:5" x14ac:dyDescent="0.25">
      <c r="A55" s="130" t="s">
        <v>86</v>
      </c>
      <c r="B55" s="180">
        <v>10705041</v>
      </c>
      <c r="C55" s="181"/>
      <c r="D55" s="181"/>
      <c r="E55" s="176">
        <f t="shared" si="0"/>
        <v>0</v>
      </c>
    </row>
    <row r="56" spans="1:5" x14ac:dyDescent="0.25">
      <c r="A56" s="179" t="s">
        <v>18</v>
      </c>
      <c r="B56" s="180">
        <v>10705070</v>
      </c>
      <c r="C56" s="181"/>
      <c r="D56" s="181"/>
      <c r="E56" s="176">
        <f t="shared" si="0"/>
        <v>0</v>
      </c>
    </row>
    <row r="57" spans="1:5" x14ac:dyDescent="0.25">
      <c r="A57" s="179" t="s">
        <v>87</v>
      </c>
      <c r="B57" s="180">
        <v>10705071</v>
      </c>
      <c r="C57" s="181"/>
      <c r="D57" s="181"/>
      <c r="E57" s="176">
        <f t="shared" si="0"/>
        <v>0</v>
      </c>
    </row>
    <row r="58" spans="1:5" x14ac:dyDescent="0.25">
      <c r="A58" s="179" t="s">
        <v>52</v>
      </c>
      <c r="B58" s="180">
        <v>10705080</v>
      </c>
      <c r="C58" s="181"/>
      <c r="D58" s="181"/>
      <c r="E58" s="176">
        <f t="shared" si="0"/>
        <v>0</v>
      </c>
    </row>
    <row r="59" spans="1:5" x14ac:dyDescent="0.25">
      <c r="A59" s="130" t="s">
        <v>88</v>
      </c>
      <c r="B59" s="180">
        <v>10705081</v>
      </c>
      <c r="C59" s="181"/>
      <c r="D59" s="181"/>
      <c r="E59" s="176">
        <f t="shared" si="0"/>
        <v>0</v>
      </c>
    </row>
    <row r="60" spans="1:5" x14ac:dyDescent="0.25">
      <c r="A60" s="179" t="s">
        <v>137</v>
      </c>
      <c r="B60" s="180">
        <v>10705090</v>
      </c>
      <c r="C60" s="181"/>
      <c r="D60" s="181"/>
      <c r="E60" s="176">
        <f t="shared" si="0"/>
        <v>0</v>
      </c>
    </row>
    <row r="61" spans="1:5" x14ac:dyDescent="0.25">
      <c r="A61" s="130" t="s">
        <v>138</v>
      </c>
      <c r="B61" s="180">
        <v>10705091</v>
      </c>
      <c r="C61" s="181"/>
      <c r="D61" s="181"/>
      <c r="E61" s="176">
        <f t="shared" si="0"/>
        <v>0</v>
      </c>
    </row>
    <row r="62" spans="1:5" x14ac:dyDescent="0.25">
      <c r="A62" s="179" t="s">
        <v>208</v>
      </c>
      <c r="B62" s="180">
        <v>10705100</v>
      </c>
      <c r="C62" s="181"/>
      <c r="D62" s="181"/>
      <c r="E62" s="176">
        <f t="shared" si="0"/>
        <v>0</v>
      </c>
    </row>
    <row r="63" spans="1:5" x14ac:dyDescent="0.25">
      <c r="A63" s="130" t="s">
        <v>221</v>
      </c>
      <c r="B63" s="180">
        <v>10705101</v>
      </c>
      <c r="C63" s="181"/>
      <c r="D63" s="181"/>
      <c r="E63" s="176">
        <f t="shared" si="0"/>
        <v>0</v>
      </c>
    </row>
    <row r="64" spans="1:5" x14ac:dyDescent="0.25">
      <c r="A64" s="179" t="s">
        <v>197</v>
      </c>
      <c r="B64" s="180">
        <v>10705110</v>
      </c>
      <c r="C64" s="181"/>
      <c r="D64" s="181"/>
      <c r="E64" s="176">
        <f t="shared" si="0"/>
        <v>0</v>
      </c>
    </row>
    <row r="65" spans="1:5" x14ac:dyDescent="0.25">
      <c r="A65" s="179" t="s">
        <v>210</v>
      </c>
      <c r="B65" s="180">
        <v>10705111</v>
      </c>
      <c r="C65" s="181"/>
      <c r="D65" s="181"/>
      <c r="E65" s="176">
        <f t="shared" si="0"/>
        <v>0</v>
      </c>
    </row>
    <row r="66" spans="1:5" x14ac:dyDescent="0.25">
      <c r="A66" s="179" t="s">
        <v>22</v>
      </c>
      <c r="B66" s="180">
        <v>10705130</v>
      </c>
      <c r="C66" s="181"/>
      <c r="D66" s="181"/>
      <c r="E66" s="176">
        <f t="shared" si="0"/>
        <v>0</v>
      </c>
    </row>
    <row r="67" spans="1:5" x14ac:dyDescent="0.25">
      <c r="A67" s="179" t="s">
        <v>61</v>
      </c>
      <c r="B67" s="180">
        <v>10705140</v>
      </c>
      <c r="C67" s="181"/>
      <c r="D67" s="181"/>
      <c r="E67" s="176">
        <f t="shared" si="0"/>
        <v>0</v>
      </c>
    </row>
    <row r="68" spans="1:5" x14ac:dyDescent="0.25">
      <c r="A68" s="179" t="s">
        <v>78</v>
      </c>
      <c r="B68" s="180">
        <v>10705990</v>
      </c>
      <c r="C68" s="181"/>
      <c r="D68" s="181"/>
      <c r="E68" s="176">
        <f t="shared" si="0"/>
        <v>0</v>
      </c>
    </row>
    <row r="69" spans="1:5" x14ac:dyDescent="0.25">
      <c r="A69" s="130" t="s">
        <v>89</v>
      </c>
      <c r="B69" s="180">
        <v>10705991</v>
      </c>
      <c r="C69" s="181"/>
      <c r="D69" s="181"/>
      <c r="E69" s="176">
        <f t="shared" si="0"/>
        <v>0</v>
      </c>
    </row>
    <row r="70" spans="1:5" x14ac:dyDescent="0.25">
      <c r="A70" s="179" t="s">
        <v>19</v>
      </c>
      <c r="B70" s="180">
        <v>10706010</v>
      </c>
      <c r="C70" s="181"/>
      <c r="D70" s="181"/>
      <c r="E70" s="176">
        <f t="shared" si="0"/>
        <v>0</v>
      </c>
    </row>
    <row r="71" spans="1:5" x14ac:dyDescent="0.25">
      <c r="A71" s="179" t="s">
        <v>90</v>
      </c>
      <c r="B71" s="180">
        <v>10706011</v>
      </c>
      <c r="C71" s="181"/>
      <c r="D71" s="181"/>
      <c r="E71" s="176">
        <f t="shared" si="0"/>
        <v>0</v>
      </c>
    </row>
    <row r="72" spans="1:5" x14ac:dyDescent="0.25">
      <c r="A72" s="179" t="s">
        <v>62</v>
      </c>
      <c r="B72" s="180">
        <v>10707010</v>
      </c>
      <c r="C72" s="181"/>
      <c r="D72" s="181"/>
      <c r="E72" s="176">
        <f t="shared" si="0"/>
        <v>0</v>
      </c>
    </row>
    <row r="73" spans="1:5" x14ac:dyDescent="0.25">
      <c r="A73" s="179" t="s">
        <v>91</v>
      </c>
      <c r="B73" s="180">
        <v>10707011</v>
      </c>
      <c r="C73" s="181"/>
      <c r="D73" s="181"/>
      <c r="E73" s="176">
        <f t="shared" si="0"/>
        <v>0</v>
      </c>
    </row>
    <row r="74" spans="1:5" x14ac:dyDescent="0.25">
      <c r="A74" s="179" t="s">
        <v>79</v>
      </c>
      <c r="B74" s="180">
        <v>10707020</v>
      </c>
      <c r="C74" s="181"/>
      <c r="D74" s="181"/>
      <c r="E74" s="176">
        <f t="shared" si="0"/>
        <v>0</v>
      </c>
    </row>
    <row r="75" spans="1:5" x14ac:dyDescent="0.25">
      <c r="A75" s="179" t="s">
        <v>223</v>
      </c>
      <c r="B75" s="180">
        <v>10710010</v>
      </c>
      <c r="C75" s="181"/>
      <c r="D75" s="181"/>
      <c r="E75" s="176">
        <f t="shared" si="0"/>
        <v>0</v>
      </c>
    </row>
    <row r="76" spans="1:5" x14ac:dyDescent="0.25">
      <c r="A76" s="179" t="s">
        <v>80</v>
      </c>
      <c r="B76" s="180">
        <v>10710020</v>
      </c>
      <c r="C76" s="181"/>
      <c r="D76" s="181"/>
      <c r="E76" s="176">
        <f t="shared" ref="E76:E82" si="1">C76-D76</f>
        <v>0</v>
      </c>
    </row>
    <row r="77" spans="1:5" x14ac:dyDescent="0.25">
      <c r="A77" s="130" t="s">
        <v>81</v>
      </c>
      <c r="B77" s="180">
        <v>10710030</v>
      </c>
      <c r="C77" s="181"/>
      <c r="D77" s="181"/>
      <c r="E77" s="176">
        <f t="shared" si="1"/>
        <v>0</v>
      </c>
    </row>
    <row r="78" spans="1:5" x14ac:dyDescent="0.25">
      <c r="A78" s="179" t="s">
        <v>207</v>
      </c>
      <c r="B78" s="180">
        <v>10707021</v>
      </c>
      <c r="C78" s="181"/>
      <c r="D78" s="181"/>
      <c r="E78" s="176">
        <f t="shared" si="1"/>
        <v>0</v>
      </c>
    </row>
    <row r="79" spans="1:5" x14ac:dyDescent="0.25">
      <c r="A79" s="179" t="s">
        <v>53</v>
      </c>
      <c r="B79" s="180">
        <v>10799990</v>
      </c>
      <c r="C79" s="181"/>
      <c r="D79" s="181"/>
      <c r="E79" s="176">
        <f t="shared" si="1"/>
        <v>0</v>
      </c>
    </row>
    <row r="80" spans="1:5" x14ac:dyDescent="0.25">
      <c r="A80" s="130" t="s">
        <v>92</v>
      </c>
      <c r="B80" s="180">
        <v>10799991</v>
      </c>
      <c r="C80" s="181"/>
      <c r="D80" s="181"/>
      <c r="E80" s="176">
        <f t="shared" si="1"/>
        <v>0</v>
      </c>
    </row>
    <row r="81" spans="1:5" x14ac:dyDescent="0.25">
      <c r="A81" s="179" t="s">
        <v>169</v>
      </c>
      <c r="B81" s="180">
        <v>10901020</v>
      </c>
      <c r="C81" s="181"/>
      <c r="D81" s="181"/>
      <c r="E81" s="176">
        <f t="shared" si="1"/>
        <v>0</v>
      </c>
    </row>
    <row r="82" spans="1:5" x14ac:dyDescent="0.25">
      <c r="A82" s="179" t="s">
        <v>166</v>
      </c>
      <c r="B82" s="180">
        <v>10901990</v>
      </c>
      <c r="C82" s="181"/>
      <c r="D82" s="181"/>
      <c r="E82" s="176">
        <f t="shared" si="1"/>
        <v>0</v>
      </c>
    </row>
    <row r="83" spans="1:5" x14ac:dyDescent="0.25">
      <c r="A83" s="179" t="s">
        <v>29</v>
      </c>
      <c r="B83" s="180">
        <v>20101020</v>
      </c>
      <c r="C83" s="181"/>
      <c r="D83" s="181"/>
      <c r="E83" s="176">
        <f>D83-C83</f>
        <v>0</v>
      </c>
    </row>
    <row r="84" spans="1:5" x14ac:dyDescent="0.25">
      <c r="A84" s="179" t="s">
        <v>34</v>
      </c>
      <c r="B84" s="180">
        <v>20102040</v>
      </c>
      <c r="C84" s="181"/>
      <c r="D84" s="181"/>
      <c r="E84" s="176">
        <f t="shared" ref="E84:E134" si="2">D84-C84</f>
        <v>0</v>
      </c>
    </row>
    <row r="85" spans="1:5" x14ac:dyDescent="0.25">
      <c r="A85" s="179" t="s">
        <v>30</v>
      </c>
      <c r="B85" s="180">
        <v>20201010</v>
      </c>
      <c r="C85" s="181"/>
      <c r="D85" s="181"/>
      <c r="E85" s="176">
        <f t="shared" si="2"/>
        <v>0</v>
      </c>
    </row>
    <row r="86" spans="1:5" x14ac:dyDescent="0.25">
      <c r="A86" s="179" t="s">
        <v>31</v>
      </c>
      <c r="B86" s="180">
        <v>20201020</v>
      </c>
      <c r="C86" s="181"/>
      <c r="D86" s="181"/>
      <c r="E86" s="176">
        <f t="shared" si="2"/>
        <v>0</v>
      </c>
    </row>
    <row r="87" spans="1:5" x14ac:dyDescent="0.25">
      <c r="A87" s="179" t="s">
        <v>54</v>
      </c>
      <c r="B87" s="180">
        <v>20201030</v>
      </c>
      <c r="C87" s="181"/>
      <c r="D87" s="181"/>
      <c r="E87" s="176">
        <f t="shared" si="2"/>
        <v>0</v>
      </c>
    </row>
    <row r="88" spans="1:5" x14ac:dyDescent="0.25">
      <c r="A88" s="179" t="s">
        <v>55</v>
      </c>
      <c r="B88" s="180">
        <v>20201040</v>
      </c>
      <c r="C88" s="181"/>
      <c r="D88" s="181"/>
      <c r="E88" s="176">
        <f t="shared" si="2"/>
        <v>0</v>
      </c>
    </row>
    <row r="89" spans="1:5" x14ac:dyDescent="0.25">
      <c r="A89" s="179" t="s">
        <v>93</v>
      </c>
      <c r="B89" s="180">
        <v>20201050</v>
      </c>
      <c r="C89" s="181"/>
      <c r="D89" s="181"/>
      <c r="E89" s="176">
        <f t="shared" si="2"/>
        <v>0</v>
      </c>
    </row>
    <row r="90" spans="1:5" x14ac:dyDescent="0.25">
      <c r="A90" s="179" t="s">
        <v>94</v>
      </c>
      <c r="B90" s="180">
        <v>20201060</v>
      </c>
      <c r="C90" s="181"/>
      <c r="D90" s="181"/>
      <c r="E90" s="176">
        <f t="shared" si="2"/>
        <v>0</v>
      </c>
    </row>
    <row r="91" spans="1:5" x14ac:dyDescent="0.25">
      <c r="A91" s="179" t="s">
        <v>56</v>
      </c>
      <c r="B91" s="180">
        <v>20201070</v>
      </c>
      <c r="C91" s="181"/>
      <c r="D91" s="181"/>
      <c r="E91" s="176">
        <f t="shared" si="2"/>
        <v>0</v>
      </c>
    </row>
    <row r="92" spans="1:5" x14ac:dyDescent="0.25">
      <c r="A92" s="179" t="s">
        <v>32</v>
      </c>
      <c r="B92" s="180">
        <v>20301010</v>
      </c>
      <c r="C92" s="181"/>
      <c r="D92" s="181"/>
      <c r="E92" s="176">
        <f t="shared" si="2"/>
        <v>0</v>
      </c>
    </row>
    <row r="93" spans="1:5" x14ac:dyDescent="0.25">
      <c r="A93" s="179" t="s">
        <v>95</v>
      </c>
      <c r="B93" s="180">
        <v>20401040</v>
      </c>
      <c r="C93" s="184"/>
      <c r="D93" s="181"/>
      <c r="E93" s="176">
        <f t="shared" si="2"/>
        <v>0</v>
      </c>
    </row>
    <row r="94" spans="1:5" x14ac:dyDescent="0.25">
      <c r="A94" s="179" t="s">
        <v>96</v>
      </c>
      <c r="B94" s="180">
        <v>20501010</v>
      </c>
      <c r="C94" s="184"/>
      <c r="D94" s="181"/>
      <c r="E94" s="176">
        <f t="shared" si="2"/>
        <v>0</v>
      </c>
    </row>
    <row r="95" spans="1:5" x14ac:dyDescent="0.25">
      <c r="A95" s="179" t="s">
        <v>33</v>
      </c>
      <c r="B95" s="180">
        <v>29999990</v>
      </c>
      <c r="C95" s="184"/>
      <c r="D95" s="181"/>
      <c r="E95" s="176">
        <f t="shared" si="2"/>
        <v>0</v>
      </c>
    </row>
    <row r="96" spans="1:5" x14ac:dyDescent="0.25">
      <c r="A96" s="179" t="s">
        <v>35</v>
      </c>
      <c r="B96" s="180">
        <v>30101010</v>
      </c>
      <c r="C96" s="184"/>
      <c r="D96" s="181"/>
      <c r="E96" s="176">
        <f t="shared" si="2"/>
        <v>0</v>
      </c>
    </row>
    <row r="97" spans="1:5" x14ac:dyDescent="0.25">
      <c r="A97" s="179" t="s">
        <v>97</v>
      </c>
      <c r="B97" s="180">
        <v>30101020</v>
      </c>
      <c r="C97" s="184"/>
      <c r="D97" s="181"/>
      <c r="E97" s="176">
        <f t="shared" si="2"/>
        <v>0</v>
      </c>
    </row>
    <row r="98" spans="1:5" x14ac:dyDescent="0.25">
      <c r="A98" s="179" t="s">
        <v>128</v>
      </c>
      <c r="B98" s="180">
        <v>40101020</v>
      </c>
      <c r="C98" s="184"/>
      <c r="D98" s="181"/>
      <c r="E98" s="176">
        <f t="shared" si="2"/>
        <v>0</v>
      </c>
    </row>
    <row r="99" spans="1:5" x14ac:dyDescent="0.25">
      <c r="A99" s="179" t="s">
        <v>37</v>
      </c>
      <c r="B99" s="180">
        <v>40101050</v>
      </c>
      <c r="C99" s="184"/>
      <c r="D99" s="181"/>
      <c r="E99" s="176">
        <f t="shared" si="2"/>
        <v>0</v>
      </c>
    </row>
    <row r="100" spans="1:5" x14ac:dyDescent="0.25">
      <c r="A100" s="179" t="s">
        <v>98</v>
      </c>
      <c r="B100" s="180">
        <v>40102040</v>
      </c>
      <c r="C100" s="184"/>
      <c r="D100" s="181"/>
      <c r="E100" s="176">
        <f t="shared" si="2"/>
        <v>0</v>
      </c>
    </row>
    <row r="101" spans="1:5" x14ac:dyDescent="0.25">
      <c r="A101" s="179" t="s">
        <v>99</v>
      </c>
      <c r="B101" s="180">
        <v>40102041</v>
      </c>
      <c r="C101" s="184"/>
      <c r="D101" s="181"/>
      <c r="E101" s="176">
        <f t="shared" si="2"/>
        <v>0</v>
      </c>
    </row>
    <row r="102" spans="1:5" x14ac:dyDescent="0.25">
      <c r="A102" s="179" t="s">
        <v>130</v>
      </c>
      <c r="B102" s="180">
        <v>40102080</v>
      </c>
      <c r="C102" s="184"/>
      <c r="D102" s="181"/>
      <c r="E102" s="176">
        <f t="shared" si="2"/>
        <v>0</v>
      </c>
    </row>
    <row r="103" spans="1:5" x14ac:dyDescent="0.25">
      <c r="A103" s="179" t="s">
        <v>36</v>
      </c>
      <c r="B103" s="180">
        <v>40103030</v>
      </c>
      <c r="C103" s="184"/>
      <c r="D103" s="181"/>
      <c r="E103" s="176">
        <f t="shared" si="2"/>
        <v>0</v>
      </c>
    </row>
    <row r="104" spans="1:5" x14ac:dyDescent="0.25">
      <c r="A104" s="179" t="s">
        <v>132</v>
      </c>
      <c r="B104" s="180">
        <v>40103040</v>
      </c>
      <c r="C104" s="184"/>
      <c r="D104" s="181"/>
      <c r="E104" s="176">
        <f t="shared" si="2"/>
        <v>0</v>
      </c>
    </row>
    <row r="105" spans="1:5" x14ac:dyDescent="0.25">
      <c r="A105" s="179" t="s">
        <v>38</v>
      </c>
      <c r="B105" s="180">
        <v>40103050</v>
      </c>
      <c r="C105" s="184"/>
      <c r="D105" s="181"/>
      <c r="E105" s="176">
        <f t="shared" si="2"/>
        <v>0</v>
      </c>
    </row>
    <row r="106" spans="1:5" x14ac:dyDescent="0.25">
      <c r="A106" s="179" t="s">
        <v>139</v>
      </c>
      <c r="B106" s="180">
        <v>40103060</v>
      </c>
      <c r="C106" s="184"/>
      <c r="D106" s="181"/>
      <c r="E106" s="176">
        <f t="shared" si="2"/>
        <v>0</v>
      </c>
    </row>
    <row r="107" spans="1:5" x14ac:dyDescent="0.25">
      <c r="A107" s="179" t="s">
        <v>126</v>
      </c>
      <c r="B107" s="180">
        <v>40103070</v>
      </c>
      <c r="C107" s="184"/>
      <c r="D107" s="181"/>
      <c r="E107" s="176">
        <f t="shared" si="2"/>
        <v>0</v>
      </c>
    </row>
    <row r="108" spans="1:5" x14ac:dyDescent="0.25">
      <c r="A108" s="179" t="s">
        <v>100</v>
      </c>
      <c r="B108" s="180">
        <v>40104990</v>
      </c>
      <c r="C108" s="184"/>
      <c r="D108" s="181"/>
      <c r="E108" s="176">
        <f t="shared" si="2"/>
        <v>0</v>
      </c>
    </row>
    <row r="109" spans="1:5" x14ac:dyDescent="0.25">
      <c r="A109" s="179" t="s">
        <v>101</v>
      </c>
      <c r="B109" s="180">
        <v>40105020</v>
      </c>
      <c r="C109" s="184"/>
      <c r="D109" s="181"/>
      <c r="E109" s="176">
        <f t="shared" si="2"/>
        <v>0</v>
      </c>
    </row>
    <row r="110" spans="1:5" x14ac:dyDescent="0.25">
      <c r="A110" s="179" t="s">
        <v>102</v>
      </c>
      <c r="B110" s="180">
        <v>40106010</v>
      </c>
      <c r="C110" s="184"/>
      <c r="D110" s="181"/>
      <c r="E110" s="176">
        <f t="shared" si="2"/>
        <v>0</v>
      </c>
    </row>
    <row r="111" spans="1:5" x14ac:dyDescent="0.25">
      <c r="A111" s="179" t="s">
        <v>192</v>
      </c>
      <c r="B111" s="180">
        <v>40106030</v>
      </c>
      <c r="C111" s="184"/>
      <c r="D111" s="181"/>
      <c r="E111" s="176">
        <f t="shared" si="2"/>
        <v>0</v>
      </c>
    </row>
    <row r="112" spans="1:5" x14ac:dyDescent="0.25">
      <c r="A112" s="179" t="s">
        <v>39</v>
      </c>
      <c r="B112" s="180">
        <v>40201010</v>
      </c>
      <c r="C112" s="184"/>
      <c r="D112" s="181"/>
      <c r="E112" s="176">
        <f t="shared" si="2"/>
        <v>0</v>
      </c>
    </row>
    <row r="113" spans="1:5" x14ac:dyDescent="0.25">
      <c r="A113" s="179" t="s">
        <v>40</v>
      </c>
      <c r="B113" s="180">
        <v>40201020</v>
      </c>
      <c r="C113" s="184"/>
      <c r="D113" s="181"/>
      <c r="E113" s="176">
        <f t="shared" si="2"/>
        <v>0</v>
      </c>
    </row>
    <row r="114" spans="1:5" x14ac:dyDescent="0.25">
      <c r="A114" s="179" t="s">
        <v>205</v>
      </c>
      <c r="B114" s="180">
        <v>40201030</v>
      </c>
      <c r="C114" s="184"/>
      <c r="D114" s="181"/>
      <c r="E114" s="176">
        <f t="shared" si="2"/>
        <v>0</v>
      </c>
    </row>
    <row r="115" spans="1:5" x14ac:dyDescent="0.25">
      <c r="A115" s="179" t="s">
        <v>41</v>
      </c>
      <c r="B115" s="180">
        <v>40201040</v>
      </c>
      <c r="C115" s="184"/>
      <c r="D115" s="181"/>
      <c r="E115" s="176">
        <f t="shared" si="2"/>
        <v>0</v>
      </c>
    </row>
    <row r="116" spans="1:5" x14ac:dyDescent="0.25">
      <c r="A116" s="179" t="s">
        <v>43</v>
      </c>
      <c r="B116" s="180">
        <v>40201100</v>
      </c>
      <c r="C116" s="184"/>
      <c r="D116" s="181"/>
      <c r="E116" s="176">
        <f t="shared" si="2"/>
        <v>0</v>
      </c>
    </row>
    <row r="117" spans="1:5" x14ac:dyDescent="0.25">
      <c r="A117" s="179" t="s">
        <v>103</v>
      </c>
      <c r="B117" s="180">
        <v>40201140</v>
      </c>
      <c r="C117" s="184"/>
      <c r="D117" s="181"/>
      <c r="E117" s="176">
        <f t="shared" si="2"/>
        <v>0</v>
      </c>
    </row>
    <row r="118" spans="1:5" x14ac:dyDescent="0.25">
      <c r="A118" s="130" t="s">
        <v>104</v>
      </c>
      <c r="B118" s="180">
        <v>40201160</v>
      </c>
      <c r="C118" s="184"/>
      <c r="D118" s="181"/>
      <c r="E118" s="176">
        <f t="shared" si="2"/>
        <v>0</v>
      </c>
    </row>
    <row r="119" spans="1:5" x14ac:dyDescent="0.25">
      <c r="A119" s="179" t="s">
        <v>127</v>
      </c>
      <c r="B119" s="180">
        <v>40201980</v>
      </c>
      <c r="C119" s="184"/>
      <c r="D119" s="181"/>
      <c r="E119" s="176">
        <f t="shared" si="2"/>
        <v>0</v>
      </c>
    </row>
    <row r="120" spans="1:5" x14ac:dyDescent="0.25">
      <c r="A120" s="179" t="s">
        <v>44</v>
      </c>
      <c r="B120" s="180">
        <v>40201990</v>
      </c>
      <c r="C120" s="184"/>
      <c r="D120" s="181"/>
      <c r="E120" s="176">
        <f t="shared" si="2"/>
        <v>0</v>
      </c>
    </row>
    <row r="121" spans="1:5" x14ac:dyDescent="0.25">
      <c r="A121" s="179" t="s">
        <v>45</v>
      </c>
      <c r="B121" s="180">
        <v>40202050</v>
      </c>
      <c r="C121" s="184"/>
      <c r="D121" s="181"/>
      <c r="E121" s="176">
        <f t="shared" si="2"/>
        <v>0</v>
      </c>
    </row>
    <row r="122" spans="1:5" x14ac:dyDescent="0.25">
      <c r="A122" s="179" t="s">
        <v>105</v>
      </c>
      <c r="B122" s="180">
        <v>40202140</v>
      </c>
      <c r="C122" s="184"/>
      <c r="D122" s="181"/>
      <c r="E122" s="176">
        <f t="shared" si="2"/>
        <v>0</v>
      </c>
    </row>
    <row r="123" spans="1:5" x14ac:dyDescent="0.25">
      <c r="A123" s="179" t="s">
        <v>106</v>
      </c>
      <c r="B123" s="180">
        <v>40202150</v>
      </c>
      <c r="C123" s="184"/>
      <c r="D123" s="181"/>
      <c r="E123" s="176">
        <f t="shared" si="2"/>
        <v>0</v>
      </c>
    </row>
    <row r="124" spans="1:5" x14ac:dyDescent="0.25">
      <c r="A124" s="179" t="s">
        <v>107</v>
      </c>
      <c r="B124" s="180">
        <v>40202160</v>
      </c>
      <c r="C124" s="184"/>
      <c r="D124" s="181"/>
      <c r="E124" s="176">
        <f t="shared" si="2"/>
        <v>0</v>
      </c>
    </row>
    <row r="125" spans="1:5" x14ac:dyDescent="0.25">
      <c r="A125" s="179" t="s">
        <v>42</v>
      </c>
      <c r="B125" s="180">
        <v>40202190</v>
      </c>
      <c r="C125" s="184"/>
      <c r="D125" s="181"/>
      <c r="E125" s="176">
        <f t="shared" si="2"/>
        <v>0</v>
      </c>
    </row>
    <row r="126" spans="1:5" x14ac:dyDescent="0.25">
      <c r="A126" s="179" t="s">
        <v>131</v>
      </c>
      <c r="B126" s="180">
        <v>40202220</v>
      </c>
      <c r="C126" s="184"/>
      <c r="D126" s="181"/>
      <c r="E126" s="176">
        <f t="shared" si="2"/>
        <v>0</v>
      </c>
    </row>
    <row r="127" spans="1:5" x14ac:dyDescent="0.25">
      <c r="A127" s="179" t="s">
        <v>222</v>
      </c>
      <c r="B127" s="180">
        <v>40202980</v>
      </c>
      <c r="C127" s="184"/>
      <c r="D127" s="181"/>
      <c r="E127" s="176">
        <f t="shared" si="2"/>
        <v>0</v>
      </c>
    </row>
    <row r="128" spans="1:5" x14ac:dyDescent="0.25">
      <c r="A128" s="179" t="s">
        <v>129</v>
      </c>
      <c r="B128" s="180">
        <v>40202990</v>
      </c>
      <c r="C128" s="184"/>
      <c r="D128" s="181"/>
      <c r="E128" s="176">
        <f t="shared" si="2"/>
        <v>0</v>
      </c>
    </row>
    <row r="129" spans="1:5" x14ac:dyDescent="0.25">
      <c r="A129" s="130" t="s">
        <v>212</v>
      </c>
      <c r="B129" s="180">
        <v>40301010</v>
      </c>
      <c r="C129" s="184"/>
      <c r="D129" s="181"/>
      <c r="E129" s="176">
        <f t="shared" si="2"/>
        <v>0</v>
      </c>
    </row>
    <row r="130" spans="1:5" x14ac:dyDescent="0.25">
      <c r="A130" s="179" t="s">
        <v>217</v>
      </c>
      <c r="B130" s="180">
        <v>40302010</v>
      </c>
      <c r="C130" s="184"/>
      <c r="D130" s="181"/>
      <c r="E130" s="176">
        <f t="shared" si="2"/>
        <v>0</v>
      </c>
    </row>
    <row r="131" spans="1:5" x14ac:dyDescent="0.25">
      <c r="A131" s="179" t="s">
        <v>108</v>
      </c>
      <c r="B131" s="180">
        <v>40401020</v>
      </c>
      <c r="C131" s="184"/>
      <c r="D131" s="181"/>
      <c r="E131" s="176">
        <f t="shared" si="2"/>
        <v>0</v>
      </c>
    </row>
    <row r="132" spans="1:5" x14ac:dyDescent="0.25">
      <c r="A132" s="179" t="s">
        <v>187</v>
      </c>
      <c r="B132" s="180">
        <v>40402010</v>
      </c>
      <c r="C132" s="184"/>
      <c r="D132" s="181"/>
      <c r="E132" s="176">
        <f t="shared" si="2"/>
        <v>0</v>
      </c>
    </row>
    <row r="133" spans="1:5" x14ac:dyDescent="0.25">
      <c r="A133" s="179" t="s">
        <v>227</v>
      </c>
      <c r="B133" s="180">
        <v>40402020</v>
      </c>
      <c r="C133" s="184"/>
      <c r="D133" s="181"/>
      <c r="E133" s="176">
        <f t="shared" si="2"/>
        <v>0</v>
      </c>
    </row>
    <row r="134" spans="1:5" x14ac:dyDescent="0.25">
      <c r="A134" s="179" t="s">
        <v>213</v>
      </c>
      <c r="B134" s="180">
        <v>40601010</v>
      </c>
      <c r="C134" s="184"/>
      <c r="D134" s="181"/>
      <c r="E134" s="176">
        <f t="shared" si="2"/>
        <v>0</v>
      </c>
    </row>
    <row r="135" spans="1:5" x14ac:dyDescent="0.25">
      <c r="A135" s="179" t="s">
        <v>109</v>
      </c>
      <c r="B135" s="180">
        <v>50101010</v>
      </c>
      <c r="C135" s="181"/>
      <c r="D135" s="181"/>
      <c r="E135" s="176">
        <f>C135-D135</f>
        <v>0</v>
      </c>
    </row>
    <row r="136" spans="1:5" x14ac:dyDescent="0.25">
      <c r="A136" s="179" t="s">
        <v>110</v>
      </c>
      <c r="B136" s="180">
        <v>50101020</v>
      </c>
      <c r="C136" s="181"/>
      <c r="D136" s="181"/>
      <c r="E136" s="176">
        <f t="shared" ref="E136:E199" si="3">C136-D136</f>
        <v>0</v>
      </c>
    </row>
    <row r="137" spans="1:5" x14ac:dyDescent="0.25">
      <c r="A137" s="179" t="s">
        <v>57</v>
      </c>
      <c r="B137" s="180">
        <v>50102010</v>
      </c>
      <c r="C137" s="181"/>
      <c r="D137" s="181"/>
      <c r="E137" s="176">
        <f t="shared" si="3"/>
        <v>0</v>
      </c>
    </row>
    <row r="138" spans="1:5" x14ac:dyDescent="0.25">
      <c r="A138" s="179" t="s">
        <v>111</v>
      </c>
      <c r="B138" s="180">
        <v>50102020</v>
      </c>
      <c r="C138" s="181"/>
      <c r="D138" s="181"/>
      <c r="E138" s="176">
        <f t="shared" si="3"/>
        <v>0</v>
      </c>
    </row>
    <row r="139" spans="1:5" x14ac:dyDescent="0.25">
      <c r="A139" s="179" t="s">
        <v>112</v>
      </c>
      <c r="B139" s="180">
        <v>50102030</v>
      </c>
      <c r="C139" s="181"/>
      <c r="D139" s="181"/>
      <c r="E139" s="176">
        <f t="shared" si="3"/>
        <v>0</v>
      </c>
    </row>
    <row r="140" spans="1:5" x14ac:dyDescent="0.25">
      <c r="A140" s="179" t="s">
        <v>58</v>
      </c>
      <c r="B140" s="180">
        <v>50102040</v>
      </c>
      <c r="C140" s="181"/>
      <c r="D140" s="181"/>
      <c r="E140" s="176">
        <f t="shared" si="3"/>
        <v>0</v>
      </c>
    </row>
    <row r="141" spans="1:5" x14ac:dyDescent="0.25">
      <c r="A141" s="179" t="s">
        <v>113</v>
      </c>
      <c r="B141" s="180">
        <v>50102050</v>
      </c>
      <c r="C141" s="181"/>
      <c r="D141" s="181"/>
      <c r="E141" s="176">
        <f t="shared" si="3"/>
        <v>0</v>
      </c>
    </row>
    <row r="142" spans="1:5" x14ac:dyDescent="0.25">
      <c r="A142" s="179" t="s">
        <v>114</v>
      </c>
      <c r="B142" s="180">
        <v>50102060</v>
      </c>
      <c r="C142" s="181"/>
      <c r="D142" s="181"/>
      <c r="E142" s="176">
        <f t="shared" si="3"/>
        <v>0</v>
      </c>
    </row>
    <row r="143" spans="1:5" x14ac:dyDescent="0.25">
      <c r="A143" s="179" t="s">
        <v>20</v>
      </c>
      <c r="B143" s="180">
        <v>50102100</v>
      </c>
      <c r="C143" s="181"/>
      <c r="D143" s="181"/>
      <c r="E143" s="176">
        <f t="shared" si="3"/>
        <v>0</v>
      </c>
    </row>
    <row r="144" spans="1:5" x14ac:dyDescent="0.25">
      <c r="A144" s="179" t="s">
        <v>21</v>
      </c>
      <c r="B144" s="180">
        <v>50102110</v>
      </c>
      <c r="C144" s="181"/>
      <c r="D144" s="181"/>
      <c r="E144" s="176">
        <f t="shared" si="3"/>
        <v>0</v>
      </c>
    </row>
    <row r="145" spans="1:5" x14ac:dyDescent="0.25">
      <c r="A145" s="179" t="s">
        <v>140</v>
      </c>
      <c r="B145" s="180">
        <v>50102130</v>
      </c>
      <c r="C145" s="181"/>
      <c r="D145" s="181"/>
      <c r="E145" s="176">
        <f t="shared" si="3"/>
        <v>0</v>
      </c>
    </row>
    <row r="146" spans="1:5" x14ac:dyDescent="0.25">
      <c r="A146" s="179" t="s">
        <v>141</v>
      </c>
      <c r="B146" s="180">
        <v>50102140</v>
      </c>
      <c r="C146" s="181"/>
      <c r="D146" s="181"/>
      <c r="E146" s="176">
        <f t="shared" si="3"/>
        <v>0</v>
      </c>
    </row>
    <row r="147" spans="1:5" x14ac:dyDescent="0.25">
      <c r="A147" s="179" t="s">
        <v>142</v>
      </c>
      <c r="B147" s="180">
        <v>50102150</v>
      </c>
      <c r="C147" s="181"/>
      <c r="D147" s="181"/>
      <c r="E147" s="176">
        <f t="shared" si="3"/>
        <v>0</v>
      </c>
    </row>
    <row r="148" spans="1:5" x14ac:dyDescent="0.25">
      <c r="A148" s="179" t="s">
        <v>143</v>
      </c>
      <c r="B148" s="180">
        <v>50102990</v>
      </c>
      <c r="C148" s="181"/>
      <c r="D148" s="181"/>
      <c r="E148" s="176">
        <f t="shared" si="3"/>
        <v>0</v>
      </c>
    </row>
    <row r="149" spans="1:5" x14ac:dyDescent="0.25">
      <c r="A149" s="179" t="s">
        <v>115</v>
      </c>
      <c r="B149" s="180">
        <v>50103010</v>
      </c>
      <c r="C149" s="181"/>
      <c r="D149" s="181"/>
      <c r="E149" s="176">
        <f t="shared" si="3"/>
        <v>0</v>
      </c>
    </row>
    <row r="150" spans="1:5" x14ac:dyDescent="0.25">
      <c r="A150" s="179" t="s">
        <v>59</v>
      </c>
      <c r="B150" s="180">
        <v>50103020</v>
      </c>
      <c r="C150" s="181"/>
      <c r="D150" s="181"/>
      <c r="E150" s="176">
        <f t="shared" si="3"/>
        <v>0</v>
      </c>
    </row>
    <row r="151" spans="1:5" x14ac:dyDescent="0.25">
      <c r="A151" s="179" t="s">
        <v>60</v>
      </c>
      <c r="B151" s="180">
        <v>50103030</v>
      </c>
      <c r="C151" s="181"/>
      <c r="D151" s="181"/>
      <c r="E151" s="176">
        <f t="shared" si="3"/>
        <v>0</v>
      </c>
    </row>
    <row r="152" spans="1:5" x14ac:dyDescent="0.25">
      <c r="A152" s="179" t="s">
        <v>116</v>
      </c>
      <c r="B152" s="180">
        <v>50103040</v>
      </c>
      <c r="C152" s="181"/>
      <c r="D152" s="181"/>
      <c r="E152" s="176">
        <f t="shared" si="3"/>
        <v>0</v>
      </c>
    </row>
    <row r="153" spans="1:5" x14ac:dyDescent="0.25">
      <c r="A153" s="179" t="s">
        <v>46</v>
      </c>
      <c r="B153" s="180">
        <v>50104030</v>
      </c>
      <c r="C153" s="181"/>
      <c r="D153" s="181"/>
      <c r="E153" s="176">
        <f t="shared" si="3"/>
        <v>0</v>
      </c>
    </row>
    <row r="154" spans="1:5" x14ac:dyDescent="0.25">
      <c r="A154" s="179" t="s">
        <v>203</v>
      </c>
      <c r="B154" s="180">
        <v>50104990</v>
      </c>
      <c r="C154" s="181"/>
      <c r="D154" s="181"/>
      <c r="E154" s="176">
        <f t="shared" si="3"/>
        <v>0</v>
      </c>
    </row>
    <row r="155" spans="1:5" x14ac:dyDescent="0.25">
      <c r="A155" s="179" t="s">
        <v>117</v>
      </c>
      <c r="B155" s="180">
        <v>50201010</v>
      </c>
      <c r="C155" s="181"/>
      <c r="D155" s="181"/>
      <c r="E155" s="176">
        <f t="shared" si="3"/>
        <v>0</v>
      </c>
    </row>
    <row r="156" spans="1:5" x14ac:dyDescent="0.25">
      <c r="A156" s="179" t="s">
        <v>47</v>
      </c>
      <c r="B156" s="180">
        <v>50202010</v>
      </c>
      <c r="C156" s="181"/>
      <c r="D156" s="181"/>
      <c r="E156" s="176">
        <f t="shared" si="3"/>
        <v>0</v>
      </c>
    </row>
    <row r="157" spans="1:5" x14ac:dyDescent="0.25">
      <c r="A157" s="179" t="s">
        <v>23</v>
      </c>
      <c r="B157" s="180">
        <v>50203010</v>
      </c>
      <c r="C157" s="181"/>
      <c r="D157" s="181"/>
      <c r="E157" s="176">
        <f t="shared" si="3"/>
        <v>0</v>
      </c>
    </row>
    <row r="158" spans="1:5" x14ac:dyDescent="0.25">
      <c r="A158" s="179" t="s">
        <v>48</v>
      </c>
      <c r="B158" s="180">
        <v>50203020</v>
      </c>
      <c r="C158" s="181"/>
      <c r="D158" s="181"/>
      <c r="E158" s="176">
        <f t="shared" si="3"/>
        <v>0</v>
      </c>
    </row>
    <row r="159" spans="1:5" x14ac:dyDescent="0.25">
      <c r="A159" s="179" t="s">
        <v>206</v>
      </c>
      <c r="B159" s="180">
        <v>50203030</v>
      </c>
      <c r="C159" s="181"/>
      <c r="D159" s="181"/>
      <c r="E159" s="176">
        <f t="shared" si="3"/>
        <v>0</v>
      </c>
    </row>
    <row r="160" spans="1:5" x14ac:dyDescent="0.25">
      <c r="A160" s="179" t="s">
        <v>198</v>
      </c>
      <c r="B160" s="180">
        <v>50203040</v>
      </c>
      <c r="C160" s="181"/>
      <c r="D160" s="181"/>
      <c r="E160" s="176">
        <f t="shared" si="3"/>
        <v>0</v>
      </c>
    </row>
    <row r="161" spans="1:5" x14ac:dyDescent="0.25">
      <c r="A161" s="179" t="s">
        <v>201</v>
      </c>
      <c r="B161" s="180">
        <v>50203050</v>
      </c>
      <c r="C161" s="181"/>
      <c r="D161" s="181"/>
      <c r="E161" s="176">
        <f t="shared" si="3"/>
        <v>0</v>
      </c>
    </row>
    <row r="162" spans="1:5" x14ac:dyDescent="0.25">
      <c r="A162" s="179" t="s">
        <v>144</v>
      </c>
      <c r="B162" s="180">
        <v>50203060</v>
      </c>
      <c r="C162" s="181"/>
      <c r="D162" s="181"/>
      <c r="E162" s="176">
        <f t="shared" si="3"/>
        <v>0</v>
      </c>
    </row>
    <row r="163" spans="1:5" x14ac:dyDescent="0.25">
      <c r="A163" s="179" t="s">
        <v>145</v>
      </c>
      <c r="B163" s="180">
        <v>50203070</v>
      </c>
      <c r="C163" s="181"/>
      <c r="D163" s="181"/>
      <c r="E163" s="176">
        <f t="shared" si="3"/>
        <v>0</v>
      </c>
    </row>
    <row r="164" spans="1:5" x14ac:dyDescent="0.25">
      <c r="A164" s="179" t="s">
        <v>146</v>
      </c>
      <c r="B164" s="180">
        <v>50203080</v>
      </c>
      <c r="C164" s="181"/>
      <c r="D164" s="181"/>
      <c r="E164" s="176">
        <f t="shared" si="3"/>
        <v>0</v>
      </c>
    </row>
    <row r="165" spans="1:5" x14ac:dyDescent="0.25">
      <c r="A165" s="179" t="s">
        <v>118</v>
      </c>
      <c r="B165" s="180">
        <v>50203090</v>
      </c>
      <c r="C165" s="181"/>
      <c r="D165" s="181"/>
      <c r="E165" s="176">
        <f t="shared" si="3"/>
        <v>0</v>
      </c>
    </row>
    <row r="166" spans="1:5" x14ac:dyDescent="0.25">
      <c r="A166" s="179" t="s">
        <v>147</v>
      </c>
      <c r="B166" s="180">
        <v>50203100</v>
      </c>
      <c r="C166" s="181"/>
      <c r="D166" s="181"/>
      <c r="E166" s="176">
        <f t="shared" si="3"/>
        <v>0</v>
      </c>
    </row>
    <row r="167" spans="1:5" x14ac:dyDescent="0.25">
      <c r="A167" s="179" t="s">
        <v>119</v>
      </c>
      <c r="B167" s="180">
        <v>50203990</v>
      </c>
      <c r="C167" s="181"/>
      <c r="D167" s="181"/>
      <c r="E167" s="176">
        <f t="shared" si="3"/>
        <v>0</v>
      </c>
    </row>
    <row r="168" spans="1:5" x14ac:dyDescent="0.25">
      <c r="A168" s="179" t="s">
        <v>25</v>
      </c>
      <c r="B168" s="180">
        <v>50204010</v>
      </c>
      <c r="C168" s="181"/>
      <c r="D168" s="181"/>
      <c r="E168" s="213"/>
    </row>
    <row r="169" spans="1:5" x14ac:dyDescent="0.25">
      <c r="A169" s="185" t="s">
        <v>26</v>
      </c>
      <c r="B169" s="186">
        <v>50204020</v>
      </c>
      <c r="C169" s="181"/>
      <c r="D169" s="181"/>
      <c r="E169" s="176">
        <f t="shared" si="3"/>
        <v>0</v>
      </c>
    </row>
    <row r="170" spans="1:5" x14ac:dyDescent="0.25">
      <c r="A170" s="185" t="s">
        <v>167</v>
      </c>
      <c r="B170" s="186">
        <v>50205010</v>
      </c>
      <c r="C170" s="181"/>
      <c r="D170" s="181"/>
      <c r="E170" s="176">
        <f t="shared" si="3"/>
        <v>0</v>
      </c>
    </row>
    <row r="171" spans="1:5" x14ac:dyDescent="0.25">
      <c r="A171" s="185" t="s">
        <v>151</v>
      </c>
      <c r="B171" s="186">
        <v>50205020</v>
      </c>
      <c r="C171" s="181"/>
      <c r="D171" s="181"/>
      <c r="E171" s="176">
        <f t="shared" si="3"/>
        <v>0</v>
      </c>
    </row>
    <row r="172" spans="1:5" x14ac:dyDescent="0.25">
      <c r="A172" s="185" t="s">
        <v>148</v>
      </c>
      <c r="B172" s="186">
        <v>50205030</v>
      </c>
      <c r="C172" s="181"/>
      <c r="D172" s="181"/>
      <c r="E172" s="176">
        <f t="shared" si="3"/>
        <v>0</v>
      </c>
    </row>
    <row r="173" spans="1:5" x14ac:dyDescent="0.25">
      <c r="A173" s="185" t="s">
        <v>194</v>
      </c>
      <c r="B173" s="186">
        <v>50206010</v>
      </c>
      <c r="C173" s="181"/>
      <c r="D173" s="181"/>
      <c r="E173" s="176">
        <f t="shared" si="3"/>
        <v>0</v>
      </c>
    </row>
    <row r="174" spans="1:5" x14ac:dyDescent="0.25">
      <c r="A174" s="185" t="s">
        <v>199</v>
      </c>
      <c r="B174" s="186">
        <v>50206020</v>
      </c>
      <c r="C174" s="181"/>
      <c r="D174" s="181"/>
      <c r="E174" s="176">
        <f t="shared" si="3"/>
        <v>0</v>
      </c>
    </row>
    <row r="175" spans="1:5" x14ac:dyDescent="0.25">
      <c r="A175" s="185" t="s">
        <v>215</v>
      </c>
      <c r="B175" s="186">
        <v>50207010</v>
      </c>
      <c r="C175" s="181"/>
      <c r="D175" s="181"/>
      <c r="E175" s="176">
        <f t="shared" si="3"/>
        <v>0</v>
      </c>
    </row>
    <row r="176" spans="1:5" x14ac:dyDescent="0.25">
      <c r="A176" s="185" t="s">
        <v>185</v>
      </c>
      <c r="B176" s="186">
        <v>50207020</v>
      </c>
      <c r="C176" s="181"/>
      <c r="D176" s="181"/>
      <c r="E176" s="176">
        <f t="shared" si="3"/>
        <v>0</v>
      </c>
    </row>
    <row r="177" spans="1:5" x14ac:dyDescent="0.25">
      <c r="A177" s="185" t="s">
        <v>149</v>
      </c>
      <c r="B177" s="186">
        <v>50210030</v>
      </c>
      <c r="C177" s="181"/>
      <c r="D177" s="181"/>
      <c r="E177" s="176">
        <f t="shared" si="3"/>
        <v>0</v>
      </c>
    </row>
    <row r="178" spans="1:5" x14ac:dyDescent="0.25">
      <c r="A178" s="185" t="s">
        <v>150</v>
      </c>
      <c r="B178" s="186">
        <v>50211010</v>
      </c>
      <c r="C178" s="181"/>
      <c r="D178" s="181"/>
      <c r="E178" s="176">
        <f t="shared" si="3"/>
        <v>0</v>
      </c>
    </row>
    <row r="179" spans="1:5" x14ac:dyDescent="0.25">
      <c r="A179" s="185" t="s">
        <v>66</v>
      </c>
      <c r="B179" s="186">
        <v>50211020</v>
      </c>
      <c r="C179" s="181"/>
      <c r="D179" s="181"/>
      <c r="E179" s="176">
        <f t="shared" si="3"/>
        <v>0</v>
      </c>
    </row>
    <row r="180" spans="1:5" x14ac:dyDescent="0.25">
      <c r="A180" s="185" t="s">
        <v>27</v>
      </c>
      <c r="B180" s="186">
        <v>50211030</v>
      </c>
      <c r="C180" s="181"/>
      <c r="D180" s="181"/>
      <c r="E180" s="176">
        <f t="shared" si="3"/>
        <v>0</v>
      </c>
    </row>
    <row r="181" spans="1:5" x14ac:dyDescent="0.25">
      <c r="A181" s="185" t="s">
        <v>63</v>
      </c>
      <c r="B181" s="186">
        <v>50211990</v>
      </c>
      <c r="C181" s="181"/>
      <c r="D181" s="181"/>
      <c r="E181" s="176">
        <f t="shared" si="3"/>
        <v>0</v>
      </c>
    </row>
    <row r="182" spans="1:5" x14ac:dyDescent="0.25">
      <c r="A182" s="185" t="s">
        <v>216</v>
      </c>
      <c r="B182" s="186">
        <v>50212030</v>
      </c>
      <c r="C182" s="181"/>
      <c r="D182" s="181"/>
      <c r="E182" s="176">
        <f t="shared" si="3"/>
        <v>0</v>
      </c>
    </row>
    <row r="183" spans="1:5" x14ac:dyDescent="0.25">
      <c r="A183" s="185" t="s">
        <v>202</v>
      </c>
      <c r="B183" s="186">
        <v>50212990</v>
      </c>
      <c r="C183" s="181"/>
      <c r="D183" s="181"/>
      <c r="E183" s="176">
        <f t="shared" si="3"/>
        <v>0</v>
      </c>
    </row>
    <row r="184" spans="1:5" x14ac:dyDescent="0.25">
      <c r="A184" s="185" t="s">
        <v>224</v>
      </c>
      <c r="B184" s="186">
        <v>50213020</v>
      </c>
      <c r="C184" s="181"/>
      <c r="D184" s="181"/>
      <c r="E184" s="176">
        <f t="shared" si="3"/>
        <v>0</v>
      </c>
    </row>
    <row r="185" spans="1:5" x14ac:dyDescent="0.25">
      <c r="A185" s="185" t="s">
        <v>186</v>
      </c>
      <c r="B185" s="186">
        <v>50213030</v>
      </c>
      <c r="C185" s="181"/>
      <c r="D185" s="187"/>
      <c r="E185" s="176">
        <f t="shared" si="3"/>
        <v>0</v>
      </c>
    </row>
    <row r="186" spans="1:5" x14ac:dyDescent="0.25">
      <c r="A186" s="137" t="s">
        <v>120</v>
      </c>
      <c r="B186" s="186">
        <v>50213040</v>
      </c>
      <c r="C186" s="181"/>
      <c r="D186" s="187"/>
      <c r="E186" s="176">
        <f t="shared" si="3"/>
        <v>0</v>
      </c>
    </row>
    <row r="187" spans="1:5" x14ac:dyDescent="0.25">
      <c r="A187" s="185" t="s">
        <v>121</v>
      </c>
      <c r="B187" s="186">
        <v>50213050</v>
      </c>
      <c r="C187" s="181"/>
      <c r="D187" s="187"/>
      <c r="E187" s="176">
        <f t="shared" si="3"/>
        <v>0</v>
      </c>
    </row>
    <row r="188" spans="1:5" x14ac:dyDescent="0.25">
      <c r="A188" s="137" t="s">
        <v>122</v>
      </c>
      <c r="B188" s="186">
        <v>50213060</v>
      </c>
      <c r="C188" s="181"/>
      <c r="D188" s="187"/>
      <c r="E188" s="176">
        <f t="shared" si="3"/>
        <v>0</v>
      </c>
    </row>
    <row r="189" spans="1:5" x14ac:dyDescent="0.25">
      <c r="A189" s="185" t="s">
        <v>152</v>
      </c>
      <c r="B189" s="186">
        <v>50213070</v>
      </c>
      <c r="C189" s="181"/>
      <c r="D189" s="187"/>
      <c r="E189" s="176">
        <f t="shared" si="3"/>
        <v>0</v>
      </c>
    </row>
    <row r="190" spans="1:5" x14ac:dyDescent="0.25">
      <c r="A190" s="185" t="s">
        <v>170</v>
      </c>
      <c r="B190" s="186">
        <v>50213990</v>
      </c>
      <c r="C190" s="181"/>
      <c r="D190" s="187"/>
      <c r="E190" s="176">
        <f t="shared" si="3"/>
        <v>0</v>
      </c>
    </row>
    <row r="191" spans="1:5" x14ac:dyDescent="0.25">
      <c r="A191" s="185" t="s">
        <v>153</v>
      </c>
      <c r="B191" s="186">
        <v>50214030</v>
      </c>
      <c r="C191" s="181"/>
      <c r="D191" s="187"/>
      <c r="E191" s="176">
        <f t="shared" si="3"/>
        <v>0</v>
      </c>
    </row>
    <row r="192" spans="1:5" x14ac:dyDescent="0.25">
      <c r="A192" s="185" t="s">
        <v>220</v>
      </c>
      <c r="B192" s="186">
        <v>50214060</v>
      </c>
      <c r="C192" s="181"/>
      <c r="D192" s="187"/>
      <c r="E192" s="176">
        <f t="shared" si="3"/>
        <v>0</v>
      </c>
    </row>
    <row r="193" spans="1:5" x14ac:dyDescent="0.25">
      <c r="A193" s="185" t="s">
        <v>211</v>
      </c>
      <c r="B193" s="186">
        <v>50215020</v>
      </c>
      <c r="C193" s="181"/>
      <c r="D193" s="187"/>
      <c r="E193" s="176">
        <f t="shared" si="3"/>
        <v>0</v>
      </c>
    </row>
    <row r="194" spans="1:5" x14ac:dyDescent="0.25">
      <c r="A194" s="185" t="s">
        <v>154</v>
      </c>
      <c r="B194" s="186">
        <v>50216010</v>
      </c>
      <c r="C194" s="181"/>
      <c r="D194" s="187"/>
      <c r="E194" s="176">
        <f t="shared" si="3"/>
        <v>0</v>
      </c>
    </row>
    <row r="195" spans="1:5" x14ac:dyDescent="0.25">
      <c r="A195" s="185" t="s">
        <v>155</v>
      </c>
      <c r="B195" s="186">
        <v>50216020</v>
      </c>
      <c r="C195" s="181"/>
      <c r="D195" s="187"/>
      <c r="E195" s="176">
        <f t="shared" si="3"/>
        <v>0</v>
      </c>
    </row>
    <row r="196" spans="1:5" x14ac:dyDescent="0.25">
      <c r="A196" s="185" t="s">
        <v>156</v>
      </c>
      <c r="B196" s="186">
        <v>50216030</v>
      </c>
      <c r="C196" s="181"/>
      <c r="D196" s="187"/>
      <c r="E196" s="176">
        <f t="shared" si="3"/>
        <v>0</v>
      </c>
    </row>
    <row r="197" spans="1:5" x14ac:dyDescent="0.25">
      <c r="A197" s="185" t="s">
        <v>157</v>
      </c>
      <c r="B197" s="186">
        <v>50299010</v>
      </c>
      <c r="C197" s="181"/>
      <c r="D197" s="187"/>
      <c r="E197" s="176">
        <f t="shared" si="3"/>
        <v>0</v>
      </c>
    </row>
    <row r="198" spans="1:5" x14ac:dyDescent="0.25">
      <c r="A198" s="185" t="s">
        <v>158</v>
      </c>
      <c r="B198" s="186">
        <v>50299020</v>
      </c>
      <c r="C198" s="181"/>
      <c r="D198" s="187"/>
      <c r="E198" s="176">
        <f t="shared" si="3"/>
        <v>0</v>
      </c>
    </row>
    <row r="199" spans="1:5" x14ac:dyDescent="0.25">
      <c r="A199" s="185" t="s">
        <v>24</v>
      </c>
      <c r="B199" s="186">
        <v>50299030</v>
      </c>
      <c r="C199" s="181"/>
      <c r="D199" s="187"/>
      <c r="E199" s="176">
        <f t="shared" si="3"/>
        <v>0</v>
      </c>
    </row>
    <row r="200" spans="1:5" x14ac:dyDescent="0.25">
      <c r="A200" s="185" t="s">
        <v>159</v>
      </c>
      <c r="B200" s="186">
        <v>50299050</v>
      </c>
      <c r="C200" s="181"/>
      <c r="D200" s="187"/>
      <c r="E200" s="176">
        <f t="shared" ref="E200:E209" si="4">C200-D200</f>
        <v>0</v>
      </c>
    </row>
    <row r="201" spans="1:5" x14ac:dyDescent="0.25">
      <c r="A201" s="185" t="s">
        <v>160</v>
      </c>
      <c r="B201" s="186">
        <v>50299060</v>
      </c>
      <c r="C201" s="181"/>
      <c r="D201" s="187"/>
      <c r="E201" s="176">
        <f t="shared" si="4"/>
        <v>0</v>
      </c>
    </row>
    <row r="202" spans="1:5" x14ac:dyDescent="0.25">
      <c r="A202" s="185" t="s">
        <v>28</v>
      </c>
      <c r="B202" s="186">
        <v>50299080</v>
      </c>
      <c r="C202" s="181"/>
      <c r="D202" s="187"/>
      <c r="E202" s="176">
        <f t="shared" si="4"/>
        <v>0</v>
      </c>
    </row>
    <row r="203" spans="1:5" x14ac:dyDescent="0.25">
      <c r="A203" s="185" t="s">
        <v>168</v>
      </c>
      <c r="B203" s="186">
        <v>50299990</v>
      </c>
      <c r="C203" s="181"/>
      <c r="D203" s="187"/>
      <c r="E203" s="176">
        <f t="shared" si="4"/>
        <v>0</v>
      </c>
    </row>
    <row r="204" spans="1:5" x14ac:dyDescent="0.25">
      <c r="A204" s="185" t="s">
        <v>161</v>
      </c>
      <c r="B204" s="186">
        <v>50301990</v>
      </c>
      <c r="C204" s="181"/>
      <c r="D204" s="187"/>
      <c r="E204" s="176">
        <f t="shared" si="4"/>
        <v>0</v>
      </c>
    </row>
    <row r="205" spans="1:5" x14ac:dyDescent="0.25">
      <c r="A205" s="185" t="s">
        <v>191</v>
      </c>
      <c r="B205" s="186">
        <v>50501030</v>
      </c>
      <c r="C205" s="181"/>
      <c r="D205" s="187"/>
      <c r="E205" s="176">
        <f t="shared" si="4"/>
        <v>0</v>
      </c>
    </row>
    <row r="206" spans="1:5" x14ac:dyDescent="0.25">
      <c r="A206" s="185" t="s">
        <v>162</v>
      </c>
      <c r="B206" s="186">
        <v>50501050</v>
      </c>
      <c r="C206" s="181"/>
      <c r="D206" s="187"/>
      <c r="E206" s="176">
        <f t="shared" si="4"/>
        <v>0</v>
      </c>
    </row>
    <row r="207" spans="1:5" x14ac:dyDescent="0.25">
      <c r="A207" s="185" t="s">
        <v>163</v>
      </c>
      <c r="B207" s="186">
        <v>50501060</v>
      </c>
      <c r="C207" s="181"/>
      <c r="D207" s="187"/>
      <c r="E207" s="176">
        <f t="shared" si="4"/>
        <v>0</v>
      </c>
    </row>
    <row r="208" spans="1:5" x14ac:dyDescent="0.25">
      <c r="A208" s="185" t="s">
        <v>164</v>
      </c>
      <c r="B208" s="186">
        <v>50501070</v>
      </c>
      <c r="C208" s="181"/>
      <c r="D208" s="187"/>
      <c r="E208" s="176">
        <f t="shared" si="4"/>
        <v>0</v>
      </c>
    </row>
    <row r="209" spans="1:5" x14ac:dyDescent="0.25">
      <c r="A209" s="185" t="s">
        <v>165</v>
      </c>
      <c r="B209" s="186">
        <v>50501990</v>
      </c>
      <c r="C209" s="187"/>
      <c r="D209" s="187"/>
      <c r="E209" s="176">
        <f t="shared" si="4"/>
        <v>0</v>
      </c>
    </row>
    <row r="210" spans="1:5" x14ac:dyDescent="0.25">
      <c r="A210" s="188"/>
      <c r="B210" s="189" t="s">
        <v>6</v>
      </c>
      <c r="C210" s="190">
        <f>SUM(C11:C209)</f>
        <v>0</v>
      </c>
      <c r="D210" s="190">
        <f>SUM(D11:D204)</f>
        <v>0</v>
      </c>
      <c r="E210" s="191"/>
    </row>
    <row r="211" spans="1:5" x14ac:dyDescent="0.25">
      <c r="A211" s="192"/>
      <c r="B211" s="193"/>
      <c r="C211" s="194"/>
      <c r="D211" s="195"/>
      <c r="E211" s="196"/>
    </row>
    <row r="212" spans="1:5" x14ac:dyDescent="0.25">
      <c r="A212" s="167" t="s">
        <v>64</v>
      </c>
      <c r="B212" s="269" t="s">
        <v>0</v>
      </c>
      <c r="C212" s="269"/>
      <c r="D212" s="269"/>
      <c r="E212" s="197"/>
    </row>
    <row r="213" spans="1:5" x14ac:dyDescent="0.25">
      <c r="A213" s="167"/>
      <c r="B213" s="164"/>
      <c r="C213" s="198"/>
      <c r="D213" s="167"/>
      <c r="E213" s="167"/>
    </row>
    <row r="214" spans="1:5" x14ac:dyDescent="0.25">
      <c r="A214" s="167"/>
      <c r="B214" s="164"/>
      <c r="C214" s="199"/>
      <c r="D214" s="167"/>
      <c r="E214" s="167"/>
    </row>
    <row r="215" spans="1:5" ht="18.75" x14ac:dyDescent="0.25">
      <c r="A215" s="200" t="s">
        <v>247</v>
      </c>
      <c r="B215" s="270" t="s">
        <v>200</v>
      </c>
      <c r="C215" s="270"/>
      <c r="D215" s="270"/>
      <c r="E215" s="200"/>
    </row>
    <row r="216" spans="1:5" ht="18.75" x14ac:dyDescent="0.25">
      <c r="A216" s="201" t="s">
        <v>246</v>
      </c>
      <c r="B216" s="265" t="s">
        <v>195</v>
      </c>
      <c r="C216" s="265"/>
      <c r="D216" s="265"/>
      <c r="E216" s="201"/>
    </row>
  </sheetData>
  <mergeCells count="17">
    <mergeCell ref="B215:D215"/>
    <mergeCell ref="A1:D1"/>
    <mergeCell ref="A2:D2"/>
    <mergeCell ref="A3:D3"/>
    <mergeCell ref="A5:D5"/>
    <mergeCell ref="A6:D6"/>
    <mergeCell ref="A7:D7"/>
    <mergeCell ref="N11:O11"/>
    <mergeCell ref="P11:Q11"/>
    <mergeCell ref="N19:O19"/>
    <mergeCell ref="P19:Q19"/>
    <mergeCell ref="B216:D216"/>
    <mergeCell ref="A8:A10"/>
    <mergeCell ref="B8:B10"/>
    <mergeCell ref="C8:C10"/>
    <mergeCell ref="D8:D10"/>
    <mergeCell ref="B212:D2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0"/>
  <sheetViews>
    <sheetView tabSelected="1" view="pageLayout" zoomScaleNormal="100" workbookViewId="0">
      <selection activeCell="B203" sqref="B203"/>
    </sheetView>
  </sheetViews>
  <sheetFormatPr defaultRowHeight="12.75" x14ac:dyDescent="0.2"/>
  <cols>
    <col min="1" max="1" width="64.85546875" customWidth="1"/>
    <col min="2" max="2" width="12.5703125" customWidth="1"/>
    <col min="3" max="3" width="16.5703125" customWidth="1"/>
    <col min="4" max="4" width="16.85546875" customWidth="1"/>
    <col min="5" max="5" width="13.85546875" customWidth="1"/>
  </cols>
  <sheetData>
    <row r="1" spans="1:5" ht="14.25" x14ac:dyDescent="0.2">
      <c r="A1" s="235" t="s">
        <v>2</v>
      </c>
      <c r="B1" s="235"/>
      <c r="C1" s="235"/>
      <c r="D1" s="235"/>
    </row>
    <row r="2" spans="1:5" ht="15" x14ac:dyDescent="0.2">
      <c r="A2" s="236" t="s">
        <v>3</v>
      </c>
      <c r="B2" s="236"/>
      <c r="C2" s="236"/>
      <c r="D2" s="236"/>
    </row>
    <row r="3" spans="1:5" ht="14.25" x14ac:dyDescent="0.2">
      <c r="A3" s="235" t="s">
        <v>1</v>
      </c>
      <c r="B3" s="235"/>
      <c r="C3" s="235"/>
      <c r="D3" s="235"/>
    </row>
    <row r="4" spans="1:5" ht="14.25" x14ac:dyDescent="0.2">
      <c r="A4" s="235"/>
      <c r="B4" s="235"/>
      <c r="C4" s="235"/>
      <c r="D4" s="235"/>
    </row>
    <row r="5" spans="1:5" ht="15" x14ac:dyDescent="0.2">
      <c r="A5" s="236" t="s">
        <v>7</v>
      </c>
      <c r="B5" s="236"/>
      <c r="C5" s="236"/>
      <c r="D5" s="236"/>
    </row>
    <row r="6" spans="1:5" ht="14.25" x14ac:dyDescent="0.2">
      <c r="A6" s="235"/>
      <c r="B6" s="235"/>
      <c r="C6" s="235"/>
      <c r="D6" s="235"/>
    </row>
    <row r="7" spans="1:5" ht="15.75" thickBot="1" x14ac:dyDescent="0.25">
      <c r="A7" s="254" t="s">
        <v>8</v>
      </c>
      <c r="B7" s="254"/>
      <c r="C7" s="254"/>
      <c r="D7" s="254"/>
    </row>
    <row r="8" spans="1:5" ht="13.5" thickTop="1" x14ac:dyDescent="0.2">
      <c r="A8" s="229" t="s">
        <v>10</v>
      </c>
      <c r="B8" s="229" t="s">
        <v>9</v>
      </c>
      <c r="C8" s="229" t="s">
        <v>4</v>
      </c>
      <c r="D8" s="229" t="s">
        <v>5</v>
      </c>
    </row>
    <row r="9" spans="1:5" x14ac:dyDescent="0.2">
      <c r="A9" s="230"/>
      <c r="B9" s="230"/>
      <c r="C9" s="230"/>
      <c r="D9" s="230"/>
    </row>
    <row r="10" spans="1:5" ht="13.5" thickBot="1" x14ac:dyDescent="0.25">
      <c r="A10" s="231"/>
      <c r="B10" s="231"/>
      <c r="C10" s="231"/>
      <c r="D10" s="231"/>
    </row>
    <row r="11" spans="1:5" ht="15.75" thickTop="1" thickBot="1" x14ac:dyDescent="0.25">
      <c r="A11" s="34"/>
      <c r="B11" s="35"/>
      <c r="C11" s="50"/>
      <c r="D11" s="50"/>
      <c r="E11" s="90"/>
    </row>
    <row r="12" spans="1:5" ht="15.75" thickTop="1" thickBot="1" x14ac:dyDescent="0.25">
      <c r="A12" s="56"/>
      <c r="B12" s="57"/>
      <c r="C12" s="50"/>
      <c r="D12" s="50"/>
    </row>
    <row r="13" spans="1:5" ht="15.75" thickTop="1" thickBot="1" x14ac:dyDescent="0.25">
      <c r="A13" s="56"/>
      <c r="B13" s="57"/>
      <c r="C13" s="50"/>
      <c r="D13" s="50"/>
      <c r="E13" s="100"/>
    </row>
    <row r="14" spans="1:5" ht="15.75" thickTop="1" thickBot="1" x14ac:dyDescent="0.25">
      <c r="A14" s="56"/>
      <c r="B14" s="57"/>
      <c r="C14" s="50"/>
      <c r="D14" s="50"/>
    </row>
    <row r="15" spans="1:5" ht="15.75" thickTop="1" thickBot="1" x14ac:dyDescent="0.25">
      <c r="A15" s="56"/>
      <c r="B15" s="57"/>
      <c r="C15" s="50"/>
      <c r="D15" s="50"/>
    </row>
    <row r="16" spans="1:5" ht="15.75" thickTop="1" thickBot="1" x14ac:dyDescent="0.25">
      <c r="A16" s="56"/>
      <c r="B16" s="57"/>
      <c r="C16" s="50"/>
      <c r="D16" s="50"/>
    </row>
    <row r="17" spans="1:4" ht="15.75" thickTop="1" thickBot="1" x14ac:dyDescent="0.25">
      <c r="A17" s="56"/>
      <c r="B17" s="57"/>
      <c r="C17" s="50"/>
      <c r="D17" s="50"/>
    </row>
    <row r="18" spans="1:4" ht="15.75" thickTop="1" thickBot="1" x14ac:dyDescent="0.25">
      <c r="A18" s="56"/>
      <c r="B18" s="57"/>
      <c r="C18" s="50"/>
      <c r="D18" s="50"/>
    </row>
    <row r="19" spans="1:4" ht="15.75" thickTop="1" thickBot="1" x14ac:dyDescent="0.25">
      <c r="A19" s="56"/>
      <c r="B19" s="57"/>
      <c r="C19" s="50"/>
      <c r="D19" s="50"/>
    </row>
    <row r="20" spans="1:4" ht="15.75" thickTop="1" thickBot="1" x14ac:dyDescent="0.25">
      <c r="A20" s="56"/>
      <c r="B20" s="57"/>
      <c r="C20" s="50"/>
      <c r="D20" s="50"/>
    </row>
    <row r="21" spans="1:4" ht="15.75" thickTop="1" thickBot="1" x14ac:dyDescent="0.25">
      <c r="A21" s="56"/>
      <c r="B21" s="57"/>
      <c r="C21" s="50"/>
      <c r="D21" s="50"/>
    </row>
    <row r="22" spans="1:4" ht="15.75" thickTop="1" thickBot="1" x14ac:dyDescent="0.25">
      <c r="A22" s="56"/>
      <c r="B22" s="57"/>
      <c r="C22" s="50"/>
      <c r="D22" s="50"/>
    </row>
    <row r="23" spans="1:4" ht="15.75" thickTop="1" thickBot="1" x14ac:dyDescent="0.25">
      <c r="A23" s="56"/>
      <c r="B23" s="57"/>
      <c r="C23" s="50"/>
      <c r="D23" s="50"/>
    </row>
    <row r="24" spans="1:4" ht="15.75" thickTop="1" thickBot="1" x14ac:dyDescent="0.25">
      <c r="A24" s="56"/>
      <c r="B24" s="57"/>
      <c r="C24" s="50"/>
      <c r="D24" s="50"/>
    </row>
    <row r="25" spans="1:4" ht="15.75" thickTop="1" thickBot="1" x14ac:dyDescent="0.25">
      <c r="A25" s="56"/>
      <c r="B25" s="57"/>
      <c r="C25" s="50"/>
      <c r="D25" s="50"/>
    </row>
    <row r="26" spans="1:4" ht="15.75" thickTop="1" thickBot="1" x14ac:dyDescent="0.25">
      <c r="A26" s="56"/>
      <c r="B26" s="57"/>
      <c r="C26" s="50"/>
      <c r="D26" s="50"/>
    </row>
    <row r="27" spans="1:4" ht="15.75" thickTop="1" thickBot="1" x14ac:dyDescent="0.25">
      <c r="A27" s="56"/>
      <c r="B27" s="57"/>
      <c r="C27" s="50"/>
      <c r="D27" s="50"/>
    </row>
    <row r="28" spans="1:4" ht="15.75" thickTop="1" thickBot="1" x14ac:dyDescent="0.25">
      <c r="A28" s="56"/>
      <c r="B28" s="57"/>
      <c r="C28" s="50"/>
      <c r="D28" s="50"/>
    </row>
    <row r="29" spans="1:4" ht="15.75" thickTop="1" thickBot="1" x14ac:dyDescent="0.25">
      <c r="A29" s="56"/>
      <c r="B29" s="57"/>
      <c r="C29" s="50"/>
      <c r="D29" s="50"/>
    </row>
    <row r="30" spans="1:4" ht="15.75" thickTop="1" thickBot="1" x14ac:dyDescent="0.25">
      <c r="A30" s="56"/>
      <c r="B30" s="57"/>
      <c r="C30" s="50"/>
      <c r="D30" s="50"/>
    </row>
    <row r="31" spans="1:4" ht="15.75" thickTop="1" thickBot="1" x14ac:dyDescent="0.25">
      <c r="A31" s="56"/>
      <c r="B31" s="57"/>
      <c r="C31" s="50"/>
      <c r="D31" s="50"/>
    </row>
    <row r="32" spans="1:4" ht="15.75" thickTop="1" thickBot="1" x14ac:dyDescent="0.25">
      <c r="A32" s="56"/>
      <c r="B32" s="57"/>
      <c r="C32" s="50"/>
      <c r="D32" s="50"/>
    </row>
    <row r="33" spans="1:4" ht="15.75" thickTop="1" thickBot="1" x14ac:dyDescent="0.25">
      <c r="A33" s="56"/>
      <c r="B33" s="57"/>
      <c r="C33" s="50"/>
      <c r="D33" s="50"/>
    </row>
    <row r="34" spans="1:4" ht="15.75" thickTop="1" thickBot="1" x14ac:dyDescent="0.25">
      <c r="A34" s="56"/>
      <c r="B34" s="57"/>
      <c r="C34" s="50"/>
      <c r="D34" s="50"/>
    </row>
    <row r="35" spans="1:4" ht="15.75" thickTop="1" thickBot="1" x14ac:dyDescent="0.25">
      <c r="A35" s="56"/>
      <c r="B35" s="57"/>
      <c r="C35" s="50"/>
      <c r="D35" s="50"/>
    </row>
    <row r="36" spans="1:4" ht="15.75" thickTop="1" thickBot="1" x14ac:dyDescent="0.25">
      <c r="A36" s="56"/>
      <c r="B36" s="57"/>
      <c r="C36" s="50"/>
      <c r="D36" s="50"/>
    </row>
    <row r="37" spans="1:4" ht="15.75" thickTop="1" thickBot="1" x14ac:dyDescent="0.25">
      <c r="A37" s="56"/>
      <c r="B37" s="57"/>
      <c r="C37" s="50"/>
      <c r="D37" s="50"/>
    </row>
    <row r="38" spans="1:4" ht="15.75" thickTop="1" thickBot="1" x14ac:dyDescent="0.25">
      <c r="A38" s="56"/>
      <c r="B38" s="57"/>
      <c r="C38" s="50"/>
      <c r="D38" s="50"/>
    </row>
    <row r="39" spans="1:4" ht="15.75" thickTop="1" thickBot="1" x14ac:dyDescent="0.25">
      <c r="A39" s="56"/>
      <c r="B39" s="57"/>
      <c r="C39" s="50"/>
      <c r="D39" s="50"/>
    </row>
    <row r="40" spans="1:4" ht="15.75" thickTop="1" thickBot="1" x14ac:dyDescent="0.25">
      <c r="A40" s="56"/>
      <c r="B40" s="57"/>
      <c r="C40" s="50"/>
      <c r="D40" s="50"/>
    </row>
    <row r="41" spans="1:4" ht="15.75" thickTop="1" thickBot="1" x14ac:dyDescent="0.25">
      <c r="A41" s="56"/>
      <c r="B41" s="57"/>
      <c r="C41" s="50"/>
      <c r="D41" s="50"/>
    </row>
    <row r="42" spans="1:4" ht="15.75" thickTop="1" thickBot="1" x14ac:dyDescent="0.25">
      <c r="A42" s="56"/>
      <c r="B42" s="57"/>
      <c r="C42" s="50"/>
      <c r="D42" s="50"/>
    </row>
    <row r="43" spans="1:4" ht="15.75" thickTop="1" thickBot="1" x14ac:dyDescent="0.25">
      <c r="A43" s="56"/>
      <c r="B43" s="57"/>
      <c r="C43" s="50"/>
      <c r="D43" s="50"/>
    </row>
    <row r="44" spans="1:4" ht="15.75" thickTop="1" thickBot="1" x14ac:dyDescent="0.25">
      <c r="A44" s="56"/>
      <c r="B44" s="57"/>
      <c r="C44" s="50"/>
      <c r="D44" s="50"/>
    </row>
    <row r="45" spans="1:4" ht="15.75" thickTop="1" thickBot="1" x14ac:dyDescent="0.25">
      <c r="A45" s="56"/>
      <c r="B45" s="57"/>
      <c r="C45" s="50"/>
      <c r="D45" s="50"/>
    </row>
    <row r="46" spans="1:4" ht="15.75" thickTop="1" thickBot="1" x14ac:dyDescent="0.25">
      <c r="A46" s="56"/>
      <c r="B46" s="57"/>
      <c r="C46" s="50"/>
      <c r="D46" s="50"/>
    </row>
    <row r="47" spans="1:4" ht="15.75" thickTop="1" thickBot="1" x14ac:dyDescent="0.25">
      <c r="A47" s="56"/>
      <c r="B47" s="57"/>
      <c r="C47" s="50"/>
      <c r="D47" s="50"/>
    </row>
    <row r="48" spans="1:4" ht="15.75" thickTop="1" thickBot="1" x14ac:dyDescent="0.25">
      <c r="A48" s="56"/>
      <c r="B48" s="57"/>
      <c r="C48" s="50"/>
      <c r="D48" s="50"/>
    </row>
    <row r="49" spans="1:5" ht="15.75" thickTop="1" thickBot="1" x14ac:dyDescent="0.25">
      <c r="A49" s="56"/>
      <c r="B49" s="57"/>
      <c r="C49" s="50"/>
      <c r="D49" s="50"/>
    </row>
    <row r="50" spans="1:5" ht="15.75" thickTop="1" thickBot="1" x14ac:dyDescent="0.25">
      <c r="A50" s="56"/>
      <c r="B50" s="57"/>
      <c r="C50" s="50"/>
      <c r="D50" s="50"/>
    </row>
    <row r="51" spans="1:5" ht="15.75" thickTop="1" thickBot="1" x14ac:dyDescent="0.25">
      <c r="A51" s="56"/>
      <c r="B51" s="57"/>
      <c r="C51" s="50"/>
      <c r="D51" s="50"/>
    </row>
    <row r="52" spans="1:5" ht="15.75" thickTop="1" thickBot="1" x14ac:dyDescent="0.25">
      <c r="A52" s="56"/>
      <c r="B52" s="57"/>
      <c r="C52" s="50"/>
      <c r="D52" s="50"/>
    </row>
    <row r="53" spans="1:5" ht="15.75" thickTop="1" thickBot="1" x14ac:dyDescent="0.25">
      <c r="A53" s="67"/>
      <c r="B53" s="57"/>
      <c r="C53" s="50"/>
      <c r="D53" s="50"/>
    </row>
    <row r="54" spans="1:5" ht="15.75" thickTop="1" thickBot="1" x14ac:dyDescent="0.25">
      <c r="A54" s="56"/>
      <c r="B54" s="57"/>
      <c r="C54" s="50"/>
      <c r="D54" s="50"/>
    </row>
    <row r="55" spans="1:5" ht="15.75" thickTop="1" thickBot="1" x14ac:dyDescent="0.25">
      <c r="A55" s="68"/>
      <c r="B55" s="57"/>
      <c r="C55" s="50"/>
      <c r="D55" s="50"/>
    </row>
    <row r="56" spans="1:5" ht="15.75" thickTop="1" thickBot="1" x14ac:dyDescent="0.25">
      <c r="A56" s="56"/>
      <c r="B56" s="57"/>
      <c r="C56" s="50"/>
      <c r="D56" s="50"/>
      <c r="E56" s="105"/>
    </row>
    <row r="57" spans="1:5" ht="15.75" thickTop="1" thickBot="1" x14ac:dyDescent="0.25">
      <c r="A57" s="56"/>
      <c r="B57" s="57"/>
      <c r="C57" s="50"/>
      <c r="D57" s="50"/>
    </row>
    <row r="58" spans="1:5" ht="15.75" thickTop="1" thickBot="1" x14ac:dyDescent="0.25">
      <c r="A58" s="56"/>
      <c r="B58" s="57"/>
      <c r="C58" s="50"/>
      <c r="D58" s="50"/>
    </row>
    <row r="59" spans="1:5" ht="15.75" thickTop="1" thickBot="1" x14ac:dyDescent="0.25">
      <c r="A59" s="68"/>
      <c r="B59" s="57"/>
      <c r="C59" s="50"/>
      <c r="D59" s="50"/>
    </row>
    <row r="60" spans="1:5" ht="15.75" thickTop="1" thickBot="1" x14ac:dyDescent="0.25">
      <c r="A60" s="68"/>
      <c r="B60" s="57"/>
      <c r="C60" s="50"/>
      <c r="D60" s="50"/>
    </row>
    <row r="61" spans="1:5" ht="15.75" thickTop="1" thickBot="1" x14ac:dyDescent="0.25">
      <c r="A61" s="69"/>
      <c r="B61" s="57"/>
      <c r="C61" s="50"/>
      <c r="D61" s="50"/>
    </row>
    <row r="62" spans="1:5" ht="15.75" thickTop="1" thickBot="1" x14ac:dyDescent="0.25">
      <c r="A62" s="56"/>
      <c r="B62" s="57"/>
      <c r="C62" s="50"/>
      <c r="D62" s="50"/>
    </row>
    <row r="63" spans="1:5" ht="15.75" thickTop="1" thickBot="1" x14ac:dyDescent="0.25">
      <c r="A63" s="69"/>
      <c r="B63" s="57"/>
      <c r="C63" s="50"/>
      <c r="D63" s="50"/>
    </row>
    <row r="64" spans="1:5" ht="15.75" thickTop="1" thickBot="1" x14ac:dyDescent="0.25">
      <c r="A64" s="56"/>
      <c r="B64" s="57"/>
      <c r="C64" s="50"/>
      <c r="D64" s="50"/>
    </row>
    <row r="65" spans="1:4" ht="15.75" thickTop="1" thickBot="1" x14ac:dyDescent="0.25">
      <c r="A65" s="68"/>
      <c r="B65" s="57"/>
      <c r="C65" s="50"/>
      <c r="D65" s="50"/>
    </row>
    <row r="66" spans="1:4" ht="15.75" thickTop="1" thickBot="1" x14ac:dyDescent="0.25">
      <c r="A66" s="56"/>
      <c r="B66" s="57"/>
      <c r="C66" s="50"/>
      <c r="D66" s="50"/>
    </row>
    <row r="67" spans="1:4" ht="15.75" thickTop="1" thickBot="1" x14ac:dyDescent="0.25">
      <c r="A67" s="56"/>
      <c r="B67" s="57"/>
      <c r="C67" s="50"/>
      <c r="D67" s="50"/>
    </row>
    <row r="68" spans="1:4" ht="15.75" thickTop="1" thickBot="1" x14ac:dyDescent="0.25">
      <c r="A68" s="56"/>
      <c r="B68" s="57"/>
      <c r="C68" s="50"/>
      <c r="D68" s="50"/>
    </row>
    <row r="69" spans="1:4" ht="15.75" thickTop="1" thickBot="1" x14ac:dyDescent="0.25">
      <c r="A69" s="68"/>
      <c r="B69" s="57"/>
      <c r="C69" s="50"/>
      <c r="D69" s="50"/>
    </row>
    <row r="70" spans="1:4" ht="15.75" thickTop="1" thickBot="1" x14ac:dyDescent="0.25">
      <c r="A70" s="56"/>
      <c r="B70" s="57"/>
      <c r="C70" s="50"/>
      <c r="D70" s="50"/>
    </row>
    <row r="71" spans="1:4" ht="15.75" thickTop="1" thickBot="1" x14ac:dyDescent="0.25">
      <c r="A71" s="56"/>
      <c r="B71" s="57"/>
      <c r="C71" s="50"/>
      <c r="D71" s="50"/>
    </row>
    <row r="72" spans="1:4" ht="15.75" thickTop="1" thickBot="1" x14ac:dyDescent="0.25">
      <c r="A72" s="56"/>
      <c r="B72" s="57"/>
      <c r="C72" s="50"/>
      <c r="D72" s="50"/>
    </row>
    <row r="73" spans="1:4" ht="15.75" thickTop="1" thickBot="1" x14ac:dyDescent="0.25">
      <c r="A73" s="56"/>
      <c r="B73" s="57"/>
      <c r="C73" s="50"/>
      <c r="D73" s="50"/>
    </row>
    <row r="74" spans="1:4" ht="15.75" thickTop="1" thickBot="1" x14ac:dyDescent="0.25">
      <c r="A74" s="56"/>
      <c r="B74" s="57"/>
      <c r="C74" s="50"/>
      <c r="D74" s="50"/>
    </row>
    <row r="75" spans="1:4" ht="15.75" thickTop="1" thickBot="1" x14ac:dyDescent="0.25">
      <c r="A75" s="56"/>
      <c r="B75" s="57"/>
      <c r="C75" s="50"/>
      <c r="D75" s="50"/>
    </row>
    <row r="76" spans="1:4" ht="15.75" thickTop="1" thickBot="1" x14ac:dyDescent="0.25">
      <c r="A76" s="56"/>
      <c r="B76" s="57"/>
      <c r="C76" s="50"/>
      <c r="D76" s="50"/>
    </row>
    <row r="77" spans="1:4" ht="15.75" thickTop="1" thickBot="1" x14ac:dyDescent="0.25">
      <c r="A77" s="56"/>
      <c r="B77" s="57"/>
      <c r="C77" s="50"/>
      <c r="D77" s="50"/>
    </row>
    <row r="78" spans="1:4" ht="15.75" thickTop="1" thickBot="1" x14ac:dyDescent="0.25">
      <c r="A78" s="68"/>
      <c r="B78" s="57"/>
      <c r="C78" s="50"/>
      <c r="D78" s="50"/>
    </row>
    <row r="79" spans="1:4" ht="15.75" thickTop="1" thickBot="1" x14ac:dyDescent="0.25">
      <c r="A79" s="56"/>
      <c r="B79" s="57"/>
      <c r="C79" s="50"/>
      <c r="D79" s="50"/>
    </row>
    <row r="80" spans="1:4" ht="15.75" thickTop="1" thickBot="1" x14ac:dyDescent="0.25">
      <c r="A80" s="68"/>
      <c r="B80" s="57"/>
      <c r="C80" s="50"/>
      <c r="D80" s="50"/>
    </row>
    <row r="81" spans="1:4" ht="15.75" thickTop="1" thickBot="1" x14ac:dyDescent="0.25">
      <c r="A81" s="56"/>
      <c r="B81" s="57"/>
      <c r="C81" s="50"/>
      <c r="D81" s="50"/>
    </row>
    <row r="82" spans="1:4" ht="15.75" thickTop="1" thickBot="1" x14ac:dyDescent="0.25">
      <c r="A82" s="56"/>
      <c r="B82" s="57"/>
      <c r="C82" s="50"/>
      <c r="D82" s="50"/>
    </row>
    <row r="83" spans="1:4" ht="15.75" thickTop="1" thickBot="1" x14ac:dyDescent="0.25">
      <c r="A83" s="56"/>
      <c r="B83" s="57"/>
      <c r="C83" s="50"/>
      <c r="D83" s="50"/>
    </row>
    <row r="84" spans="1:4" ht="15.75" thickTop="1" thickBot="1" x14ac:dyDescent="0.25">
      <c r="A84" s="56"/>
      <c r="B84" s="57"/>
      <c r="C84" s="50"/>
      <c r="D84" s="50"/>
    </row>
    <row r="85" spans="1:4" ht="15.75" thickTop="1" thickBot="1" x14ac:dyDescent="0.25">
      <c r="A85" s="56"/>
      <c r="B85" s="57"/>
      <c r="C85" s="50"/>
      <c r="D85" s="50"/>
    </row>
    <row r="86" spans="1:4" ht="15.75" thickTop="1" thickBot="1" x14ac:dyDescent="0.25">
      <c r="A86" s="56"/>
      <c r="B86" s="57"/>
      <c r="C86" s="50"/>
      <c r="D86" s="50"/>
    </row>
    <row r="87" spans="1:4" ht="15.75" thickTop="1" thickBot="1" x14ac:dyDescent="0.25">
      <c r="A87" s="56"/>
      <c r="B87" s="57"/>
      <c r="C87" s="50"/>
      <c r="D87" s="50"/>
    </row>
    <row r="88" spans="1:4" ht="15.75" thickTop="1" thickBot="1" x14ac:dyDescent="0.25">
      <c r="A88" s="56"/>
      <c r="B88" s="57"/>
      <c r="C88" s="50"/>
      <c r="D88" s="50"/>
    </row>
    <row r="89" spans="1:4" ht="15.75" thickTop="1" thickBot="1" x14ac:dyDescent="0.25">
      <c r="A89" s="56"/>
      <c r="B89" s="57"/>
      <c r="C89" s="50"/>
      <c r="D89" s="50"/>
    </row>
    <row r="90" spans="1:4" ht="15.75" thickTop="1" thickBot="1" x14ac:dyDescent="0.25">
      <c r="A90" s="56"/>
      <c r="B90" s="57"/>
      <c r="C90" s="50"/>
      <c r="D90" s="50"/>
    </row>
    <row r="91" spans="1:4" ht="15.75" thickTop="1" thickBot="1" x14ac:dyDescent="0.25">
      <c r="A91" s="56"/>
      <c r="B91" s="57"/>
      <c r="C91" s="50"/>
      <c r="D91" s="50"/>
    </row>
    <row r="92" spans="1:4" ht="15.75" thickTop="1" thickBot="1" x14ac:dyDescent="0.25">
      <c r="A92" s="56"/>
      <c r="B92" s="57"/>
      <c r="C92" s="50"/>
      <c r="D92" s="50"/>
    </row>
    <row r="93" spans="1:4" ht="15.75" thickTop="1" thickBot="1" x14ac:dyDescent="0.25">
      <c r="A93" s="56"/>
      <c r="B93" s="57"/>
      <c r="C93" s="50"/>
      <c r="D93" s="50"/>
    </row>
    <row r="94" spans="1:4" ht="15.75" thickTop="1" thickBot="1" x14ac:dyDescent="0.25">
      <c r="A94" s="56"/>
      <c r="B94" s="57"/>
      <c r="C94" s="50"/>
      <c r="D94" s="50"/>
    </row>
    <row r="95" spans="1:4" ht="15.75" thickTop="1" thickBot="1" x14ac:dyDescent="0.25">
      <c r="A95" s="56"/>
      <c r="B95" s="57"/>
      <c r="C95" s="50"/>
      <c r="D95" s="50"/>
    </row>
    <row r="96" spans="1:4" ht="15.75" thickTop="1" thickBot="1" x14ac:dyDescent="0.25">
      <c r="A96" s="56"/>
      <c r="B96" s="57"/>
      <c r="C96" s="50"/>
      <c r="D96" s="50"/>
    </row>
    <row r="97" spans="1:4" ht="15.75" thickTop="1" thickBot="1" x14ac:dyDescent="0.25">
      <c r="A97" s="56"/>
      <c r="B97" s="57"/>
      <c r="C97" s="50"/>
      <c r="D97" s="50"/>
    </row>
    <row r="98" spans="1:4" ht="15.75" thickTop="1" thickBot="1" x14ac:dyDescent="0.25">
      <c r="A98" s="56"/>
      <c r="B98" s="57"/>
      <c r="C98" s="50"/>
      <c r="D98" s="50"/>
    </row>
    <row r="99" spans="1:4" ht="15.75" thickTop="1" thickBot="1" x14ac:dyDescent="0.25">
      <c r="A99" s="56"/>
      <c r="B99" s="57"/>
      <c r="C99" s="50"/>
      <c r="D99" s="50"/>
    </row>
    <row r="100" spans="1:4" ht="15.75" thickTop="1" thickBot="1" x14ac:dyDescent="0.25">
      <c r="A100" s="56"/>
      <c r="B100" s="57"/>
      <c r="C100" s="50"/>
      <c r="D100" s="50"/>
    </row>
    <row r="101" spans="1:4" ht="15.75" thickTop="1" thickBot="1" x14ac:dyDescent="0.25">
      <c r="A101" s="56"/>
      <c r="B101" s="57"/>
      <c r="C101" s="50"/>
      <c r="D101" s="50"/>
    </row>
    <row r="102" spans="1:4" ht="15.75" thickTop="1" thickBot="1" x14ac:dyDescent="0.25">
      <c r="A102" s="56"/>
      <c r="B102" s="57"/>
      <c r="C102" s="50"/>
      <c r="D102" s="50"/>
    </row>
    <row r="103" spans="1:4" ht="15.75" thickTop="1" thickBot="1" x14ac:dyDescent="0.25">
      <c r="A103" s="56"/>
      <c r="B103" s="57"/>
      <c r="C103" s="50"/>
      <c r="D103" s="50"/>
    </row>
    <row r="104" spans="1:4" ht="15.75" thickTop="1" thickBot="1" x14ac:dyDescent="0.25">
      <c r="A104" s="56"/>
      <c r="B104" s="57"/>
      <c r="C104" s="50"/>
      <c r="D104" s="50"/>
    </row>
    <row r="105" spans="1:4" ht="15.75" thickTop="1" thickBot="1" x14ac:dyDescent="0.25">
      <c r="A105" s="56"/>
      <c r="B105" s="57"/>
      <c r="C105" s="50"/>
      <c r="D105" s="50"/>
    </row>
    <row r="106" spans="1:4" ht="15.75" thickTop="1" thickBot="1" x14ac:dyDescent="0.25">
      <c r="A106" s="56"/>
      <c r="B106" s="57"/>
      <c r="C106" s="50"/>
      <c r="D106" s="50"/>
    </row>
    <row r="107" spans="1:4" ht="15.75" thickTop="1" thickBot="1" x14ac:dyDescent="0.25">
      <c r="A107" s="56"/>
      <c r="B107" s="57"/>
      <c r="C107" s="50"/>
      <c r="D107" s="50"/>
    </row>
    <row r="108" spans="1:4" ht="15.75" thickTop="1" thickBot="1" x14ac:dyDescent="0.25">
      <c r="A108" s="56"/>
      <c r="B108" s="57"/>
      <c r="C108" s="50"/>
      <c r="D108" s="50"/>
    </row>
    <row r="109" spans="1:4" ht="15.75" thickTop="1" thickBot="1" x14ac:dyDescent="0.25">
      <c r="A109" s="56"/>
      <c r="B109" s="57"/>
      <c r="C109" s="50"/>
      <c r="D109" s="50"/>
    </row>
    <row r="110" spans="1:4" ht="15.75" thickTop="1" thickBot="1" x14ac:dyDescent="0.25">
      <c r="A110" s="56"/>
      <c r="B110" s="57"/>
      <c r="C110" s="50"/>
      <c r="D110" s="50"/>
    </row>
    <row r="111" spans="1:4" ht="15.75" thickTop="1" thickBot="1" x14ac:dyDescent="0.25">
      <c r="A111" s="56"/>
      <c r="B111" s="57"/>
      <c r="C111" s="50"/>
      <c r="D111" s="50"/>
    </row>
    <row r="112" spans="1:4" ht="15.75" thickTop="1" thickBot="1" x14ac:dyDescent="0.25">
      <c r="A112" s="56"/>
      <c r="B112" s="57"/>
      <c r="C112" s="50"/>
      <c r="D112" s="50"/>
    </row>
    <row r="113" spans="1:4" ht="15.75" thickTop="1" thickBot="1" x14ac:dyDescent="0.25">
      <c r="A113" s="56"/>
      <c r="B113" s="57"/>
      <c r="C113" s="50"/>
      <c r="D113" s="50"/>
    </row>
    <row r="114" spans="1:4" ht="15.75" thickTop="1" thickBot="1" x14ac:dyDescent="0.25">
      <c r="A114" s="56"/>
      <c r="B114" s="57"/>
      <c r="C114" s="50"/>
      <c r="D114" s="50"/>
    </row>
    <row r="115" spans="1:4" ht="15.75" thickTop="1" thickBot="1" x14ac:dyDescent="0.25">
      <c r="A115" s="56"/>
      <c r="B115" s="57"/>
      <c r="C115" s="50"/>
      <c r="D115" s="50"/>
    </row>
    <row r="116" spans="1:4" ht="15.75" thickTop="1" thickBot="1" x14ac:dyDescent="0.25">
      <c r="A116" s="56"/>
      <c r="B116" s="57"/>
      <c r="C116" s="50"/>
      <c r="D116" s="50"/>
    </row>
    <row r="117" spans="1:4" ht="15.75" thickTop="1" thickBot="1" x14ac:dyDescent="0.25">
      <c r="A117" s="56"/>
      <c r="B117" s="57"/>
      <c r="C117" s="50"/>
      <c r="D117" s="50"/>
    </row>
    <row r="118" spans="1:4" ht="15.75" thickTop="1" thickBot="1" x14ac:dyDescent="0.25">
      <c r="A118" s="56"/>
      <c r="B118" s="57"/>
      <c r="C118" s="50"/>
      <c r="D118" s="50"/>
    </row>
    <row r="119" spans="1:4" ht="15.75" thickTop="1" thickBot="1" x14ac:dyDescent="0.25">
      <c r="A119" s="56"/>
      <c r="B119" s="57"/>
      <c r="C119" s="50"/>
      <c r="D119" s="50"/>
    </row>
    <row r="120" spans="1:4" ht="15.75" thickTop="1" thickBot="1" x14ac:dyDescent="0.25">
      <c r="A120" s="56"/>
      <c r="B120" s="57"/>
      <c r="C120" s="50"/>
      <c r="D120" s="50"/>
    </row>
    <row r="121" spans="1:4" ht="15.75" thickTop="1" thickBot="1" x14ac:dyDescent="0.25">
      <c r="A121" s="56"/>
      <c r="B121" s="57"/>
      <c r="C121" s="50"/>
      <c r="D121" s="50"/>
    </row>
    <row r="122" spans="1:4" ht="15.75" thickTop="1" thickBot="1" x14ac:dyDescent="0.25">
      <c r="A122" s="56"/>
      <c r="B122" s="57"/>
      <c r="C122" s="50"/>
      <c r="D122" s="50"/>
    </row>
    <row r="123" spans="1:4" ht="15.75" thickTop="1" thickBot="1" x14ac:dyDescent="0.25">
      <c r="A123" s="56"/>
      <c r="B123" s="57"/>
      <c r="C123" s="50"/>
      <c r="D123" s="50"/>
    </row>
    <row r="124" spans="1:4" ht="15.75" thickTop="1" thickBot="1" x14ac:dyDescent="0.25">
      <c r="A124" s="56"/>
      <c r="B124" s="57"/>
      <c r="C124" s="50"/>
      <c r="D124" s="50"/>
    </row>
    <row r="125" spans="1:4" ht="15.75" thickTop="1" thickBot="1" x14ac:dyDescent="0.25">
      <c r="A125" s="56"/>
      <c r="B125" s="57"/>
      <c r="C125" s="50"/>
      <c r="D125" s="50"/>
    </row>
    <row r="126" spans="1:4" ht="15.75" thickTop="1" thickBot="1" x14ac:dyDescent="0.25">
      <c r="A126" s="56"/>
      <c r="B126" s="57"/>
      <c r="C126" s="50"/>
      <c r="D126" s="50"/>
    </row>
    <row r="127" spans="1:4" ht="15.75" thickTop="1" thickBot="1" x14ac:dyDescent="0.25">
      <c r="A127" s="56"/>
      <c r="B127" s="57"/>
      <c r="C127" s="50"/>
      <c r="D127" s="50"/>
    </row>
    <row r="128" spans="1:4" ht="15.75" thickTop="1" thickBot="1" x14ac:dyDescent="0.25">
      <c r="A128" s="56"/>
      <c r="B128" s="57"/>
      <c r="C128" s="50"/>
      <c r="D128" s="50"/>
    </row>
    <row r="129" spans="1:4" ht="15.75" thickTop="1" thickBot="1" x14ac:dyDescent="0.25">
      <c r="A129" s="56"/>
      <c r="B129" s="57"/>
      <c r="C129" s="50"/>
      <c r="D129" s="50"/>
    </row>
    <row r="130" spans="1:4" ht="15.75" thickTop="1" thickBot="1" x14ac:dyDescent="0.25">
      <c r="A130" s="56"/>
      <c r="B130" s="57"/>
      <c r="C130" s="50"/>
      <c r="D130" s="50"/>
    </row>
    <row r="131" spans="1:4" ht="15.75" thickTop="1" thickBot="1" x14ac:dyDescent="0.25">
      <c r="A131" s="56"/>
      <c r="B131" s="57"/>
      <c r="C131" s="50"/>
      <c r="D131" s="50"/>
    </row>
    <row r="132" spans="1:4" ht="15.75" thickTop="1" thickBot="1" x14ac:dyDescent="0.25">
      <c r="A132" s="56"/>
      <c r="B132" s="57"/>
      <c r="C132" s="50"/>
      <c r="D132" s="50"/>
    </row>
    <row r="133" spans="1:4" ht="15.75" thickTop="1" thickBot="1" x14ac:dyDescent="0.25">
      <c r="A133" s="56"/>
      <c r="B133" s="57"/>
      <c r="C133" s="50"/>
      <c r="D133" s="50"/>
    </row>
    <row r="134" spans="1:4" ht="15.75" thickTop="1" thickBot="1" x14ac:dyDescent="0.25">
      <c r="A134" s="56"/>
      <c r="B134" s="57"/>
      <c r="C134" s="50"/>
      <c r="D134" s="50"/>
    </row>
    <row r="135" spans="1:4" ht="15.75" thickTop="1" thickBot="1" x14ac:dyDescent="0.25">
      <c r="A135" s="56"/>
      <c r="B135" s="57"/>
      <c r="C135" s="50"/>
      <c r="D135" s="50"/>
    </row>
    <row r="136" spans="1:4" ht="15.75" thickTop="1" thickBot="1" x14ac:dyDescent="0.25">
      <c r="A136" s="56"/>
      <c r="B136" s="57"/>
      <c r="C136" s="50"/>
      <c r="D136" s="50"/>
    </row>
    <row r="137" spans="1:4" ht="15.75" thickTop="1" thickBot="1" x14ac:dyDescent="0.25">
      <c r="A137" s="56"/>
      <c r="B137" s="57"/>
      <c r="C137" s="50"/>
      <c r="D137" s="50"/>
    </row>
    <row r="138" spans="1:4" ht="15.75" thickTop="1" thickBot="1" x14ac:dyDescent="0.25">
      <c r="A138" s="56"/>
      <c r="B138" s="57"/>
      <c r="C138" s="50"/>
      <c r="D138" s="50"/>
    </row>
    <row r="139" spans="1:4" ht="15.75" thickTop="1" thickBot="1" x14ac:dyDescent="0.25">
      <c r="A139" s="56"/>
      <c r="B139" s="57"/>
      <c r="C139" s="50"/>
      <c r="D139" s="50"/>
    </row>
    <row r="140" spans="1:4" ht="15.75" thickTop="1" thickBot="1" x14ac:dyDescent="0.25">
      <c r="A140" s="56"/>
      <c r="B140" s="57"/>
      <c r="C140" s="50"/>
      <c r="D140" s="50"/>
    </row>
    <row r="141" spans="1:4" ht="15.75" thickTop="1" thickBot="1" x14ac:dyDescent="0.25">
      <c r="A141" s="56"/>
      <c r="B141" s="57"/>
      <c r="C141" s="50"/>
      <c r="D141" s="50"/>
    </row>
    <row r="142" spans="1:4" ht="15.75" thickTop="1" thickBot="1" x14ac:dyDescent="0.25">
      <c r="A142" s="56"/>
      <c r="B142" s="57"/>
      <c r="C142" s="50"/>
      <c r="D142" s="50"/>
    </row>
    <row r="143" spans="1:4" ht="15.75" thickTop="1" thickBot="1" x14ac:dyDescent="0.25">
      <c r="A143" s="56"/>
      <c r="B143" s="57"/>
      <c r="C143" s="50"/>
      <c r="D143" s="50"/>
    </row>
    <row r="144" spans="1:4" ht="15.75" thickTop="1" thickBot="1" x14ac:dyDescent="0.25">
      <c r="A144" s="56"/>
      <c r="B144" s="57"/>
      <c r="C144" s="50"/>
      <c r="D144" s="50"/>
    </row>
    <row r="145" spans="1:4" ht="15.75" thickTop="1" thickBot="1" x14ac:dyDescent="0.25">
      <c r="A145" s="56"/>
      <c r="B145" s="57"/>
      <c r="C145" s="50"/>
      <c r="D145" s="50"/>
    </row>
    <row r="146" spans="1:4" ht="15.75" thickTop="1" thickBot="1" x14ac:dyDescent="0.25">
      <c r="A146" s="56"/>
      <c r="B146" s="57"/>
      <c r="C146" s="50"/>
      <c r="D146" s="50"/>
    </row>
    <row r="147" spans="1:4" ht="15.75" thickTop="1" thickBot="1" x14ac:dyDescent="0.25">
      <c r="A147" s="56"/>
      <c r="B147" s="57"/>
      <c r="C147" s="50"/>
      <c r="D147" s="50"/>
    </row>
    <row r="148" spans="1:4" ht="15.75" thickTop="1" thickBot="1" x14ac:dyDescent="0.25">
      <c r="A148" s="56"/>
      <c r="B148" s="57"/>
      <c r="C148" s="50"/>
      <c r="D148" s="50"/>
    </row>
    <row r="149" spans="1:4" ht="15.75" thickTop="1" thickBot="1" x14ac:dyDescent="0.25">
      <c r="A149" s="56"/>
      <c r="B149" s="57"/>
      <c r="C149" s="50"/>
      <c r="D149" s="50"/>
    </row>
    <row r="150" spans="1:4" ht="15.75" thickTop="1" thickBot="1" x14ac:dyDescent="0.25">
      <c r="A150" s="56"/>
      <c r="B150" s="57"/>
      <c r="C150" s="50"/>
      <c r="D150" s="50"/>
    </row>
    <row r="151" spans="1:4" ht="15.75" thickTop="1" thickBot="1" x14ac:dyDescent="0.25">
      <c r="A151" s="56"/>
      <c r="B151" s="57"/>
      <c r="C151" s="50"/>
      <c r="D151" s="50"/>
    </row>
    <row r="152" spans="1:4" ht="15.75" thickTop="1" thickBot="1" x14ac:dyDescent="0.25">
      <c r="A152" s="56"/>
      <c r="B152" s="57"/>
      <c r="C152" s="50"/>
      <c r="D152" s="50"/>
    </row>
    <row r="153" spans="1:4" ht="15.75" thickTop="1" thickBot="1" x14ac:dyDescent="0.25">
      <c r="A153" s="56"/>
      <c r="B153" s="57"/>
      <c r="C153" s="50"/>
      <c r="D153" s="50"/>
    </row>
    <row r="154" spans="1:4" ht="15.75" thickTop="1" thickBot="1" x14ac:dyDescent="0.25">
      <c r="A154" s="56"/>
      <c r="B154" s="57"/>
      <c r="C154" s="50"/>
      <c r="D154" s="50"/>
    </row>
    <row r="155" spans="1:4" ht="15.75" thickTop="1" thickBot="1" x14ac:dyDescent="0.25">
      <c r="A155" s="56"/>
      <c r="B155" s="57"/>
      <c r="C155" s="50"/>
      <c r="D155" s="50"/>
    </row>
    <row r="156" spans="1:4" ht="15.75" thickTop="1" thickBot="1" x14ac:dyDescent="0.25">
      <c r="A156" s="56"/>
      <c r="B156" s="57"/>
      <c r="C156" s="50"/>
      <c r="D156" s="50"/>
    </row>
    <row r="157" spans="1:4" ht="15.75" thickTop="1" thickBot="1" x14ac:dyDescent="0.25">
      <c r="A157" s="56"/>
      <c r="B157" s="57"/>
      <c r="C157" s="50"/>
      <c r="D157" s="50"/>
    </row>
    <row r="158" spans="1:4" ht="15.75" thickTop="1" thickBot="1" x14ac:dyDescent="0.25">
      <c r="A158" s="56"/>
      <c r="B158" s="57"/>
      <c r="C158" s="50"/>
      <c r="D158" s="50"/>
    </row>
    <row r="159" spans="1:4" ht="15.75" thickTop="1" thickBot="1" x14ac:dyDescent="0.25">
      <c r="A159" s="56"/>
      <c r="B159" s="57"/>
      <c r="C159" s="50"/>
      <c r="D159" s="50"/>
    </row>
    <row r="160" spans="1:4" ht="15.75" thickTop="1" thickBot="1" x14ac:dyDescent="0.25">
      <c r="A160" s="56"/>
      <c r="B160" s="57"/>
      <c r="C160" s="50"/>
      <c r="D160" s="50"/>
    </row>
    <row r="161" spans="1:4" ht="15.75" thickTop="1" thickBot="1" x14ac:dyDescent="0.25">
      <c r="A161" s="56"/>
      <c r="B161" s="57"/>
      <c r="C161" s="50"/>
      <c r="D161" s="50"/>
    </row>
    <row r="162" spans="1:4" ht="15.75" thickTop="1" thickBot="1" x14ac:dyDescent="0.25">
      <c r="A162" s="56"/>
      <c r="B162" s="57"/>
      <c r="C162" s="50"/>
      <c r="D162" s="50"/>
    </row>
    <row r="163" spans="1:4" ht="15.75" thickTop="1" thickBot="1" x14ac:dyDescent="0.25">
      <c r="A163" s="56"/>
      <c r="B163" s="57"/>
      <c r="C163" s="50"/>
      <c r="D163" s="50"/>
    </row>
    <row r="164" spans="1:4" ht="15.75" thickTop="1" thickBot="1" x14ac:dyDescent="0.25">
      <c r="A164" s="56"/>
      <c r="B164" s="57"/>
      <c r="C164" s="50"/>
      <c r="D164" s="50"/>
    </row>
    <row r="165" spans="1:4" ht="15.75" thickTop="1" thickBot="1" x14ac:dyDescent="0.25">
      <c r="A165" s="56"/>
      <c r="B165" s="57"/>
      <c r="C165" s="50"/>
      <c r="D165" s="50"/>
    </row>
    <row r="166" spans="1:4" ht="15.75" thickTop="1" thickBot="1" x14ac:dyDescent="0.25">
      <c r="A166" s="56"/>
      <c r="B166" s="57"/>
      <c r="C166" s="50"/>
      <c r="D166" s="50"/>
    </row>
    <row r="167" spans="1:4" ht="15.75" thickTop="1" thickBot="1" x14ac:dyDescent="0.25">
      <c r="A167" s="56"/>
      <c r="B167" s="57"/>
      <c r="C167" s="50"/>
      <c r="D167" s="50"/>
    </row>
    <row r="168" spans="1:4" ht="15.75" thickTop="1" thickBot="1" x14ac:dyDescent="0.25">
      <c r="A168" s="56"/>
      <c r="B168" s="57"/>
      <c r="C168" s="50"/>
      <c r="D168" s="50"/>
    </row>
    <row r="169" spans="1:4" ht="15.75" thickTop="1" thickBot="1" x14ac:dyDescent="0.25">
      <c r="A169" s="14"/>
      <c r="B169" s="15"/>
      <c r="C169" s="50"/>
      <c r="D169" s="50"/>
    </row>
    <row r="170" spans="1:4" ht="15.75" thickTop="1" thickBot="1" x14ac:dyDescent="0.25">
      <c r="A170" s="14"/>
      <c r="B170" s="15"/>
      <c r="C170" s="50"/>
      <c r="D170" s="50"/>
    </row>
    <row r="171" spans="1:4" ht="15.75" thickTop="1" thickBot="1" x14ac:dyDescent="0.25">
      <c r="A171" s="14"/>
      <c r="B171" s="15"/>
      <c r="C171" s="50"/>
      <c r="D171" s="50"/>
    </row>
    <row r="172" spans="1:4" ht="15.75" thickTop="1" thickBot="1" x14ac:dyDescent="0.25">
      <c r="A172" s="14"/>
      <c r="B172" s="15"/>
      <c r="C172" s="50"/>
      <c r="D172" s="50"/>
    </row>
    <row r="173" spans="1:4" ht="15.75" thickTop="1" thickBot="1" x14ac:dyDescent="0.25">
      <c r="A173" s="14"/>
      <c r="B173" s="15"/>
      <c r="C173" s="50"/>
      <c r="D173" s="50"/>
    </row>
    <row r="174" spans="1:4" ht="15.75" thickTop="1" thickBot="1" x14ac:dyDescent="0.25">
      <c r="A174" s="14"/>
      <c r="B174" s="15"/>
      <c r="C174" s="50"/>
      <c r="D174" s="50"/>
    </row>
    <row r="175" spans="1:4" ht="15.75" thickTop="1" thickBot="1" x14ac:dyDescent="0.25">
      <c r="A175" s="14"/>
      <c r="B175" s="15"/>
      <c r="C175" s="50"/>
      <c r="D175" s="50"/>
    </row>
    <row r="176" spans="1:4" ht="15.75" thickTop="1" thickBot="1" x14ac:dyDescent="0.25">
      <c r="A176" s="14"/>
      <c r="B176" s="15"/>
      <c r="C176" s="50"/>
      <c r="D176" s="50"/>
    </row>
    <row r="177" spans="1:4" ht="15.75" thickTop="1" thickBot="1" x14ac:dyDescent="0.25">
      <c r="A177" s="14"/>
      <c r="B177" s="15"/>
      <c r="C177" s="50"/>
      <c r="D177" s="50"/>
    </row>
    <row r="178" spans="1:4" ht="15.75" thickTop="1" thickBot="1" x14ac:dyDescent="0.25">
      <c r="A178" s="14"/>
      <c r="B178" s="15"/>
      <c r="C178" s="50"/>
      <c r="D178" s="50"/>
    </row>
    <row r="179" spans="1:4" ht="15.75" thickTop="1" thickBot="1" x14ac:dyDescent="0.25">
      <c r="A179" s="14"/>
      <c r="B179" s="15"/>
      <c r="C179" s="50"/>
      <c r="D179" s="50"/>
    </row>
    <row r="180" spans="1:4" ht="15.75" thickTop="1" thickBot="1" x14ac:dyDescent="0.25">
      <c r="A180" s="14"/>
      <c r="B180" s="15"/>
      <c r="C180" s="50"/>
      <c r="D180" s="50"/>
    </row>
    <row r="181" spans="1:4" ht="15.75" thickTop="1" thickBot="1" x14ac:dyDescent="0.25">
      <c r="A181" s="14"/>
      <c r="B181" s="15"/>
      <c r="C181" s="50"/>
      <c r="D181" s="50"/>
    </row>
    <row r="182" spans="1:4" ht="15.75" thickTop="1" thickBot="1" x14ac:dyDescent="0.25">
      <c r="A182" s="14"/>
      <c r="B182" s="15"/>
      <c r="C182" s="50"/>
      <c r="D182" s="50"/>
    </row>
    <row r="183" spans="1:4" ht="15.75" thickTop="1" thickBot="1" x14ac:dyDescent="0.25">
      <c r="A183" s="14"/>
      <c r="B183" s="15"/>
      <c r="C183" s="50"/>
      <c r="D183" s="50"/>
    </row>
    <row r="184" spans="1:4" ht="15.75" thickTop="1" thickBot="1" x14ac:dyDescent="0.25">
      <c r="A184" s="14"/>
      <c r="B184" s="15"/>
      <c r="C184" s="50"/>
      <c r="D184" s="50"/>
    </row>
    <row r="185" spans="1:4" ht="15.75" thickTop="1" thickBot="1" x14ac:dyDescent="0.25">
      <c r="A185" s="14"/>
      <c r="B185" s="15"/>
      <c r="C185" s="50"/>
      <c r="D185" s="50"/>
    </row>
    <row r="186" spans="1:4" ht="15.75" thickTop="1" thickBot="1" x14ac:dyDescent="0.25">
      <c r="A186" s="14"/>
      <c r="B186" s="15"/>
      <c r="C186" s="50"/>
      <c r="D186" s="50"/>
    </row>
    <row r="187" spans="1:4" ht="15.75" thickTop="1" thickBot="1" x14ac:dyDescent="0.25">
      <c r="A187" s="14"/>
      <c r="B187" s="15"/>
      <c r="C187" s="50"/>
      <c r="D187" s="50"/>
    </row>
    <row r="188" spans="1:4" ht="15.75" thickTop="1" thickBot="1" x14ac:dyDescent="0.25">
      <c r="A188" s="14"/>
      <c r="B188" s="15"/>
      <c r="C188" s="50"/>
      <c r="D188" s="50"/>
    </row>
    <row r="189" spans="1:4" ht="15.75" thickTop="1" thickBot="1" x14ac:dyDescent="0.25">
      <c r="A189" s="14"/>
      <c r="B189" s="15"/>
      <c r="C189" s="50"/>
      <c r="D189" s="50"/>
    </row>
    <row r="190" spans="1:4" ht="15.75" thickTop="1" thickBot="1" x14ac:dyDescent="0.25">
      <c r="A190" s="14"/>
      <c r="B190" s="15"/>
      <c r="C190" s="50"/>
      <c r="D190" s="50"/>
    </row>
    <row r="191" spans="1:4" ht="15.75" thickTop="1" thickBot="1" x14ac:dyDescent="0.25">
      <c r="A191" s="14"/>
      <c r="B191" s="15"/>
      <c r="C191" s="50"/>
      <c r="D191" s="50"/>
    </row>
    <row r="192" spans="1:4" ht="15.75" thickTop="1" thickBot="1" x14ac:dyDescent="0.25">
      <c r="A192" s="14"/>
      <c r="B192" s="15"/>
      <c r="C192" s="50"/>
      <c r="D192" s="50"/>
    </row>
    <row r="193" spans="1:4" ht="15.75" thickTop="1" thickBot="1" x14ac:dyDescent="0.25">
      <c r="A193" s="14"/>
      <c r="B193" s="15"/>
      <c r="C193" s="50"/>
      <c r="D193" s="50"/>
    </row>
    <row r="194" spans="1:4" ht="15.75" thickTop="1" thickBot="1" x14ac:dyDescent="0.25">
      <c r="A194" s="14"/>
      <c r="B194" s="15"/>
      <c r="C194" s="50"/>
      <c r="D194" s="50"/>
    </row>
    <row r="195" spans="1:4" ht="15.75" thickTop="1" thickBot="1" x14ac:dyDescent="0.25">
      <c r="A195" s="14"/>
      <c r="B195" s="15"/>
      <c r="C195" s="50"/>
      <c r="D195" s="50"/>
    </row>
    <row r="196" spans="1:4" ht="15.75" thickTop="1" thickBot="1" x14ac:dyDescent="0.25">
      <c r="A196" s="14"/>
      <c r="B196" s="15"/>
      <c r="C196" s="50"/>
      <c r="D196" s="50"/>
    </row>
    <row r="197" spans="1:4" ht="15.75" thickTop="1" thickBot="1" x14ac:dyDescent="0.25">
      <c r="A197" s="14"/>
      <c r="B197" s="15"/>
      <c r="C197" s="50"/>
      <c r="D197" s="50"/>
    </row>
    <row r="198" spans="1:4" ht="15.75" thickTop="1" thickBot="1" x14ac:dyDescent="0.25">
      <c r="A198" s="14"/>
      <c r="B198" s="15"/>
      <c r="C198" s="50"/>
      <c r="D198" s="50"/>
    </row>
    <row r="199" spans="1:4" ht="15.75" thickTop="1" thickBot="1" x14ac:dyDescent="0.25">
      <c r="A199" s="14"/>
      <c r="B199" s="15"/>
      <c r="C199" s="50"/>
      <c r="D199" s="50"/>
    </row>
    <row r="200" spans="1:4" ht="15.75" thickTop="1" thickBot="1" x14ac:dyDescent="0.25">
      <c r="A200" s="14"/>
      <c r="B200" s="15"/>
      <c r="C200" s="50"/>
      <c r="D200" s="50"/>
    </row>
    <row r="201" spans="1:4" ht="15.75" thickTop="1" thickBot="1" x14ac:dyDescent="0.25">
      <c r="A201" s="14"/>
      <c r="B201" s="15"/>
      <c r="C201" s="50"/>
      <c r="D201" s="50"/>
    </row>
    <row r="202" spans="1:4" ht="15.75" thickTop="1" thickBot="1" x14ac:dyDescent="0.25">
      <c r="A202" s="14"/>
      <c r="B202" s="15"/>
      <c r="C202" s="50"/>
      <c r="D202" s="50"/>
    </row>
    <row r="203" spans="1:4" ht="15.75" thickTop="1" thickBot="1" x14ac:dyDescent="0.25">
      <c r="A203" s="14"/>
      <c r="B203" s="15"/>
      <c r="C203" s="50"/>
      <c r="D203" s="50"/>
    </row>
    <row r="204" spans="1:4" ht="15.75" thickTop="1" thickBot="1" x14ac:dyDescent="0.25">
      <c r="A204" s="14"/>
      <c r="B204" s="15"/>
      <c r="C204" s="50"/>
      <c r="D204" s="50"/>
    </row>
    <row r="205" spans="1:4" ht="15.75" thickTop="1" thickBot="1" x14ac:dyDescent="0.25">
      <c r="A205" s="14"/>
      <c r="B205" s="15"/>
      <c r="C205" s="50"/>
      <c r="D205" s="50"/>
    </row>
    <row r="206" spans="1:4" ht="15.75" thickTop="1" thickBot="1" x14ac:dyDescent="0.25">
      <c r="A206" s="14"/>
      <c r="B206" s="15"/>
      <c r="C206" s="50"/>
      <c r="D206" s="50"/>
    </row>
    <row r="207" spans="1:4" ht="15.75" thickTop="1" thickBot="1" x14ac:dyDescent="0.25">
      <c r="A207" s="14"/>
      <c r="B207" s="15"/>
      <c r="C207" s="50"/>
      <c r="D207" s="50"/>
    </row>
    <row r="208" spans="1:4" ht="15.75" thickTop="1" thickBot="1" x14ac:dyDescent="0.25">
      <c r="A208" s="14"/>
      <c r="B208" s="15"/>
      <c r="C208" s="50"/>
      <c r="D208" s="50"/>
    </row>
    <row r="209" spans="1:4" ht="15" thickTop="1" x14ac:dyDescent="0.2">
      <c r="A209" s="14"/>
      <c r="B209" s="15"/>
      <c r="C209" s="50"/>
      <c r="D209" s="50"/>
    </row>
    <row r="210" spans="1:4" ht="14.25" x14ac:dyDescent="0.2">
      <c r="A210" s="11"/>
      <c r="B210" s="12"/>
      <c r="C210" s="43"/>
      <c r="D210" s="13"/>
    </row>
  </sheetData>
  <mergeCells count="11">
    <mergeCell ref="A1:D1"/>
    <mergeCell ref="A2:D2"/>
    <mergeCell ref="A3:D3"/>
    <mergeCell ref="A5:D5"/>
    <mergeCell ref="A6:D6"/>
    <mergeCell ref="A7:D7"/>
    <mergeCell ref="A4:D4"/>
    <mergeCell ref="A8:A10"/>
    <mergeCell ref="B8:B10"/>
    <mergeCell ref="C8:C10"/>
    <mergeCell ref="D8:D10"/>
  </mergeCells>
  <pageMargins left="0.7" right="0.7" top="0.75" bottom="0.75" header="0.3" footer="0.3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JANUARY</vt:lpstr>
      <vt:lpstr>FEBRUARY</vt:lpstr>
      <vt:lpstr>MARCH</vt:lpstr>
      <vt:lpstr>JAN</vt:lpstr>
      <vt:lpstr>FEB</vt:lpstr>
      <vt:lpstr>MAR</vt:lpstr>
      <vt:lpstr>APR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akon</dc:creator>
  <cp:lastModifiedBy>Christian Flores</cp:lastModifiedBy>
  <cp:lastPrinted>2022-01-16T01:27:27Z</cp:lastPrinted>
  <dcterms:created xsi:type="dcterms:W3CDTF">2008-08-27T08:23:12Z</dcterms:created>
  <dcterms:modified xsi:type="dcterms:W3CDTF">2024-01-14T01:46:48Z</dcterms:modified>
</cp:coreProperties>
</file>