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jev-jaro\assets\templates\"/>
    </mc:Choice>
  </mc:AlternateContent>
  <xr:revisionPtr revIDLastSave="0" documentId="13_ncr:1_{9967ACB4-8704-4255-8501-8DAF7E6C91A7}" xr6:coauthVersionLast="47" xr6:coauthVersionMax="47" xr10:uidLastSave="{00000000-0000-0000-0000-000000000000}"/>
  <bookViews>
    <workbookView xWindow="-120" yWindow="-120" windowWidth="29040" windowHeight="15840" tabRatio="883" firstSheet="5" activeTab="5" xr2:uid="{00000000-000D-0000-FFFF-FFFF00000000}"/>
  </bookViews>
  <sheets>
    <sheet name="Stmt of Changes in Ass" sheetId="49" state="hidden" r:id="rId1"/>
    <sheet name="Schedule FP" sheetId="15" state="hidden" r:id="rId2"/>
    <sheet name="Stmt. of Fin'l. Performance" sheetId="45" state="hidden" r:id="rId3"/>
    <sheet name="Income Statement" sheetId="12" state="hidden" r:id="rId4"/>
    <sheet name="Schedule Balance Sheet" sheetId="14" state="hidden" r:id="rId5"/>
    <sheet name="Sched. fin'l. Position" sheetId="47" r:id="rId6"/>
    <sheet name="Detailed Fin'L Position " sheetId="51" state="hidden" r:id="rId7"/>
    <sheet name="Stmt. of Fin'l. Position" sheetId="46" state="hidden" r:id="rId8"/>
    <sheet name="CASH FLOW" sheetId="52" state="hidden" r:id="rId9"/>
    <sheet name="Balance Sheet" sheetId="11" state="hidden" r:id="rId10"/>
    <sheet name="Subsidiary Schedule" sheetId="48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August">#REF!</definedName>
    <definedName name="July">#REF!</definedName>
    <definedName name="May">#REF!</definedName>
    <definedName name="November">#REF!</definedName>
    <definedName name="October">#REF!</definedName>
    <definedName name="_xlnm.Print_Area" localSheetId="9">'Balance Sheet'!$A$1:$I$241</definedName>
    <definedName name="_xlnm.Print_Area" localSheetId="3">'Income Statement'!$A$1:$J$318</definedName>
    <definedName name="_xlnm.Print_Area" localSheetId="5">'Sched. fin''l. Position'!$A$1:$F$432</definedName>
    <definedName name="_xlnm.Print_Area" localSheetId="1">'Schedule FP'!$A$1:$F$321</definedName>
    <definedName name="_xlnm.Print_Area" localSheetId="0">'Stmt of Changes in Ass'!$A$1:$H$32</definedName>
    <definedName name="_xlnm.Print_Area" localSheetId="7">'Stmt. of Fin''l. Position'!$A$1:$F$51</definedName>
    <definedName name="_xlnm.Print_Area" localSheetId="10">'Subsidiary Schedule'!$A$1:$E$507</definedName>
    <definedName name="_xlnm.Print_Titles" localSheetId="5">'Sched. fin''l. Position'!$9:$10</definedName>
    <definedName name="_xlnm.Print_Titles" localSheetId="1">'Schedule FP'!$9:$10</definedName>
    <definedName name="_xlnm.Print_Titles" localSheetId="10">'Subsidiary Schedule'!$9:$9</definedName>
    <definedName name="Septemb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0" i="51" l="1"/>
  <c r="O88" i="51"/>
  <c r="O92" i="51"/>
  <c r="O97" i="51"/>
  <c r="O126" i="51"/>
  <c r="O134" i="51"/>
  <c r="O139" i="51"/>
  <c r="O147" i="51"/>
  <c r="D15" i="46"/>
  <c r="O251" i="51"/>
  <c r="O267" i="51"/>
  <c r="O270" i="51"/>
  <c r="O298" i="51"/>
  <c r="O311" i="51"/>
  <c r="Q312" i="51"/>
  <c r="O317" i="51"/>
  <c r="O329" i="51"/>
  <c r="Q330" i="51"/>
  <c r="O335" i="51"/>
  <c r="Q336" i="51"/>
  <c r="O341" i="51"/>
  <c r="Q342" i="51"/>
  <c r="O353" i="51"/>
  <c r="O374" i="51"/>
  <c r="Q375" i="51"/>
  <c r="O405" i="51"/>
  <c r="O406" i="51"/>
  <c r="Q419" i="51"/>
  <c r="O437" i="51"/>
  <c r="O453" i="51"/>
  <c r="S470" i="51" s="1"/>
  <c r="O474" i="51"/>
  <c r="O476" i="51"/>
  <c r="O478" i="51"/>
  <c r="D32" i="46"/>
  <c r="D33" i="46"/>
  <c r="F415" i="47"/>
  <c r="S15" i="51"/>
  <c r="F26" i="15"/>
  <c r="I54" i="52"/>
  <c r="I17" i="52"/>
  <c r="F24" i="45"/>
  <c r="F17" i="45"/>
  <c r="F16" i="45"/>
  <c r="F18" i="45"/>
  <c r="F25" i="45" s="1"/>
  <c r="F29" i="45" s="1"/>
  <c r="O419" i="51"/>
  <c r="O373" i="51"/>
  <c r="Q147" i="51"/>
  <c r="O132" i="51"/>
  <c r="F29" i="15"/>
  <c r="F25" i="15"/>
  <c r="F23" i="15"/>
  <c r="O495" i="51"/>
  <c r="O483" i="51"/>
  <c r="S486" i="51" s="1"/>
  <c r="O477" i="51"/>
  <c r="O475" i="51"/>
  <c r="O528" i="51"/>
  <c r="S531" i="51" s="1"/>
  <c r="O434" i="51"/>
  <c r="O418" i="51"/>
  <c r="O407" i="51"/>
  <c r="Q377" i="51"/>
  <c r="O376" i="51"/>
  <c r="Q358" i="51"/>
  <c r="O357" i="51"/>
  <c r="Q354" i="51"/>
  <c r="O350" i="51"/>
  <c r="Q339" i="51"/>
  <c r="Q333" i="51"/>
  <c r="O332" i="51"/>
  <c r="Q321" i="51"/>
  <c r="O320" i="51"/>
  <c r="O314" i="51"/>
  <c r="O301" i="51"/>
  <c r="O292" i="51"/>
  <c r="Q271" i="51"/>
  <c r="O148" i="51"/>
  <c r="O143" i="51"/>
  <c r="O131" i="51"/>
  <c r="O234" i="51"/>
  <c r="O99" i="51"/>
  <c r="O212" i="51"/>
  <c r="O57" i="51"/>
  <c r="D23" i="45"/>
  <c r="F41" i="46"/>
  <c r="F17" i="46"/>
  <c r="J18" i="49"/>
  <c r="J24" i="49" s="1"/>
  <c r="J22" i="49"/>
  <c r="F35" i="46"/>
  <c r="F19" i="46"/>
  <c r="F26" i="46" s="1"/>
  <c r="F27" i="46" s="1"/>
  <c r="E314" i="48"/>
  <c r="L10" i="48" s="1"/>
  <c r="E312" i="48"/>
  <c r="L11" i="48" s="1"/>
  <c r="E309" i="48"/>
  <c r="E308" i="48"/>
  <c r="E310" i="48" s="1"/>
  <c r="E305" i="48"/>
  <c r="E303" i="48"/>
  <c r="E300" i="48"/>
  <c r="E299" i="48"/>
  <c r="E298" i="48"/>
  <c r="E297" i="48"/>
  <c r="E296" i="48"/>
  <c r="E295" i="48"/>
  <c r="E291" i="48"/>
  <c r="E290" i="48"/>
  <c r="E286" i="48"/>
  <c r="E285" i="48"/>
  <c r="E287" i="48" s="1"/>
  <c r="E284" i="48"/>
  <c r="E283" i="48"/>
  <c r="E282" i="48"/>
  <c r="E278" i="48"/>
  <c r="E277" i="48"/>
  <c r="E276" i="48"/>
  <c r="E275" i="48"/>
  <c r="E274" i="48"/>
  <c r="E279" i="48" s="1"/>
  <c r="E273" i="48"/>
  <c r="E272" i="48"/>
  <c r="E268" i="48"/>
  <c r="E267" i="48"/>
  <c r="E269" i="48" s="1"/>
  <c r="E262" i="48"/>
  <c r="E261" i="48"/>
  <c r="E257" i="48"/>
  <c r="E256" i="48"/>
  <c r="E255" i="48"/>
  <c r="E254" i="48"/>
  <c r="E253" i="48"/>
  <c r="E252" i="48"/>
  <c r="E249" i="48"/>
  <c r="E248" i="48"/>
  <c r="E247" i="48"/>
  <c r="E238" i="48"/>
  <c r="E242" i="48"/>
  <c r="E240" i="48"/>
  <c r="E239" i="48"/>
  <c r="E251" i="48"/>
  <c r="E258" i="48" s="1"/>
  <c r="V258" i="48" s="1"/>
  <c r="E263" i="48"/>
  <c r="E235" i="48"/>
  <c r="E232" i="48"/>
  <c r="E231" i="48"/>
  <c r="E233" i="48" s="1"/>
  <c r="E230" i="48"/>
  <c r="E229" i="48"/>
  <c r="E226" i="48"/>
  <c r="E224" i="48"/>
  <c r="E222" i="48"/>
  <c r="E220" i="48"/>
  <c r="E218" i="48"/>
  <c r="E216" i="48"/>
  <c r="E214" i="48"/>
  <c r="E212" i="48"/>
  <c r="E210" i="48"/>
  <c r="E208" i="48"/>
  <c r="E206" i="48"/>
  <c r="E204" i="48"/>
  <c r="E202" i="48"/>
  <c r="E200" i="48"/>
  <c r="E198" i="48"/>
  <c r="E196" i="48"/>
  <c r="E194" i="48"/>
  <c r="E192" i="48"/>
  <c r="E190" i="48"/>
  <c r="E188" i="48"/>
  <c r="E186" i="48"/>
  <c r="E184" i="48"/>
  <c r="E182" i="48"/>
  <c r="E180" i="48"/>
  <c r="E178" i="48"/>
  <c r="E176" i="48"/>
  <c r="E174" i="48"/>
  <c r="E172" i="48"/>
  <c r="E170" i="48"/>
  <c r="E168" i="48"/>
  <c r="E166" i="48"/>
  <c r="E164" i="48"/>
  <c r="E162" i="48"/>
  <c r="E160" i="48"/>
  <c r="E158" i="48"/>
  <c r="E156" i="48"/>
  <c r="E154" i="48"/>
  <c r="E152" i="48"/>
  <c r="E150" i="48"/>
  <c r="E148" i="48"/>
  <c r="E146" i="48"/>
  <c r="E144" i="48"/>
  <c r="E142" i="48"/>
  <c r="E140" i="48"/>
  <c r="E138" i="48"/>
  <c r="E136" i="48"/>
  <c r="E134" i="48"/>
  <c r="E132" i="48"/>
  <c r="E130" i="48"/>
  <c r="E112" i="48"/>
  <c r="E111" i="48"/>
  <c r="E110" i="48"/>
  <c r="E109" i="48"/>
  <c r="E108" i="48"/>
  <c r="E107" i="48"/>
  <c r="E106" i="48"/>
  <c r="E105" i="48"/>
  <c r="E104" i="48"/>
  <c r="E103" i="48"/>
  <c r="E102" i="48"/>
  <c r="E101" i="48"/>
  <c r="E100" i="48"/>
  <c r="E99" i="48"/>
  <c r="E98" i="48"/>
  <c r="E97" i="48"/>
  <c r="E96" i="48"/>
  <c r="E95" i="48"/>
  <c r="E94" i="48"/>
  <c r="E93" i="48"/>
  <c r="E92" i="48"/>
  <c r="E91" i="48"/>
  <c r="E90" i="48"/>
  <c r="E89" i="48"/>
  <c r="E88" i="48"/>
  <c r="E87" i="48"/>
  <c r="E86" i="48"/>
  <c r="E85" i="48"/>
  <c r="E84" i="48"/>
  <c r="E83" i="48"/>
  <c r="E82" i="48"/>
  <c r="E81" i="48"/>
  <c r="E80" i="48"/>
  <c r="E79" i="48"/>
  <c r="E78" i="48"/>
  <c r="E77" i="48"/>
  <c r="E76" i="48"/>
  <c r="E75" i="48"/>
  <c r="E74" i="48"/>
  <c r="E73" i="48"/>
  <c r="E72" i="48"/>
  <c r="E71" i="48"/>
  <c r="E70" i="48"/>
  <c r="E69" i="48"/>
  <c r="E68" i="48"/>
  <c r="E67" i="48"/>
  <c r="E66" i="48"/>
  <c r="E65" i="48"/>
  <c r="E64" i="48"/>
  <c r="E63" i="48"/>
  <c r="E62" i="48"/>
  <c r="E61" i="48"/>
  <c r="E60" i="48"/>
  <c r="E59" i="48"/>
  <c r="E58" i="48"/>
  <c r="E57" i="48"/>
  <c r="E56" i="48"/>
  <c r="E128" i="48" s="1"/>
  <c r="E55" i="48"/>
  <c r="E52" i="48"/>
  <c r="E50" i="48"/>
  <c r="E47" i="48"/>
  <c r="E46" i="48"/>
  <c r="E45" i="48"/>
  <c r="E44" i="48"/>
  <c r="E43" i="48"/>
  <c r="E42" i="48"/>
  <c r="E41" i="48"/>
  <c r="E40" i="48"/>
  <c r="E39" i="48"/>
  <c r="E48" i="48" s="1"/>
  <c r="E38" i="48"/>
  <c r="E37" i="48"/>
  <c r="E34" i="48"/>
  <c r="E32" i="48"/>
  <c r="E30" i="48"/>
  <c r="E28" i="48"/>
  <c r="E26" i="48"/>
  <c r="E23" i="48"/>
  <c r="E22" i="48"/>
  <c r="E21" i="48"/>
  <c r="E20" i="48"/>
  <c r="E19" i="48"/>
  <c r="E18" i="48"/>
  <c r="E17" i="48"/>
  <c r="E13" i="48"/>
  <c r="E12" i="48"/>
  <c r="E14" i="48" s="1"/>
  <c r="E10" i="48"/>
  <c r="O12" i="48"/>
  <c r="E500" i="48"/>
  <c r="E498" i="48"/>
  <c r="E496" i="48"/>
  <c r="E494" i="48"/>
  <c r="E492" i="48"/>
  <c r="E490" i="48"/>
  <c r="E488" i="48"/>
  <c r="E486" i="48"/>
  <c r="E484" i="48"/>
  <c r="E482" i="48"/>
  <c r="E480" i="48"/>
  <c r="E478" i="48"/>
  <c r="E476" i="48"/>
  <c r="E474" i="48"/>
  <c r="E472" i="48"/>
  <c r="E470" i="48"/>
  <c r="E468" i="48"/>
  <c r="E466" i="48"/>
  <c r="E464" i="48"/>
  <c r="E462" i="48"/>
  <c r="E460" i="48"/>
  <c r="E458" i="48"/>
  <c r="E456" i="48"/>
  <c r="E454" i="48"/>
  <c r="E452" i="48"/>
  <c r="E450" i="48"/>
  <c r="E448" i="48"/>
  <c r="E446" i="48"/>
  <c r="E444" i="48"/>
  <c r="E442" i="48"/>
  <c r="E440" i="48"/>
  <c r="E438" i="48"/>
  <c r="E436" i="48"/>
  <c r="E434" i="48"/>
  <c r="E432" i="48"/>
  <c r="E430" i="48"/>
  <c r="E428" i="48"/>
  <c r="E426" i="48"/>
  <c r="E424" i="48"/>
  <c r="E422" i="48"/>
  <c r="E420" i="48"/>
  <c r="E418" i="48"/>
  <c r="E416" i="48"/>
  <c r="E414" i="48"/>
  <c r="E412" i="48"/>
  <c r="E410" i="48"/>
  <c r="E408" i="48"/>
  <c r="E406" i="48"/>
  <c r="E404" i="48"/>
  <c r="E402" i="48"/>
  <c r="E400" i="48"/>
  <c r="E398" i="48"/>
  <c r="E396" i="48"/>
  <c r="E394" i="48"/>
  <c r="E392" i="48"/>
  <c r="E390" i="48"/>
  <c r="E388" i="48"/>
  <c r="E386" i="48"/>
  <c r="E384" i="48"/>
  <c r="E382" i="48"/>
  <c r="E380" i="48"/>
  <c r="E378" i="48"/>
  <c r="N10" i="48" s="1"/>
  <c r="E376" i="48"/>
  <c r="E374" i="48"/>
  <c r="E372" i="48"/>
  <c r="E370" i="48"/>
  <c r="E368" i="48"/>
  <c r="E366" i="48"/>
  <c r="E364" i="48"/>
  <c r="E362" i="48"/>
  <c r="E360" i="48"/>
  <c r="E358" i="48"/>
  <c r="E356" i="48"/>
  <c r="E354" i="48"/>
  <c r="E352" i="48"/>
  <c r="E350" i="48"/>
  <c r="E348" i="48"/>
  <c r="E346" i="48"/>
  <c r="E344" i="48"/>
  <c r="E342" i="48"/>
  <c r="E340" i="48"/>
  <c r="E338" i="48"/>
  <c r="E336" i="48"/>
  <c r="E334" i="48"/>
  <c r="E332" i="48"/>
  <c r="E330" i="48"/>
  <c r="E328" i="48"/>
  <c r="E326" i="48"/>
  <c r="E324" i="48"/>
  <c r="E322" i="48"/>
  <c r="M10" i="48" s="1"/>
  <c r="E320" i="48"/>
  <c r="E318" i="48"/>
  <c r="E316" i="48"/>
  <c r="M11" i="48" s="1"/>
  <c r="D39" i="46"/>
  <c r="G165" i="11"/>
  <c r="G83" i="11"/>
  <c r="G72" i="11"/>
  <c r="G69" i="11"/>
  <c r="G59" i="11"/>
  <c r="H229" i="12"/>
  <c r="H182" i="12"/>
  <c r="H176" i="12"/>
  <c r="H106" i="12"/>
  <c r="E58" i="14"/>
  <c r="E33" i="14"/>
  <c r="G21" i="11" s="1"/>
  <c r="I28" i="11"/>
  <c r="I91" i="11" s="1"/>
  <c r="I51" i="11"/>
  <c r="I77" i="11"/>
  <c r="I86" i="11"/>
  <c r="I104" i="11"/>
  <c r="I111" i="11"/>
  <c r="I122" i="11"/>
  <c r="I135" i="11"/>
  <c r="I140" i="11"/>
  <c r="I143" i="11"/>
  <c r="I173" i="11"/>
  <c r="I182" i="11"/>
  <c r="I207" i="11"/>
  <c r="I217" i="11" s="1"/>
  <c r="I216" i="11"/>
  <c r="I222" i="11"/>
  <c r="I227" i="11"/>
  <c r="I235" i="11" s="1"/>
  <c r="G232" i="11"/>
  <c r="E17" i="14"/>
  <c r="G18" i="11" s="1"/>
  <c r="J32" i="12"/>
  <c r="J96" i="12" s="1"/>
  <c r="J44" i="12"/>
  <c r="J61" i="12"/>
  <c r="J81" i="12"/>
  <c r="J95" i="12"/>
  <c r="J133" i="12"/>
  <c r="J282" i="12"/>
  <c r="J296" i="12"/>
  <c r="J303" i="12"/>
  <c r="G37" i="11"/>
  <c r="E52" i="14"/>
  <c r="G74" i="11" s="1"/>
  <c r="E95" i="14"/>
  <c r="G132" i="11" s="1"/>
  <c r="H105" i="12"/>
  <c r="H113" i="12"/>
  <c r="H121" i="12"/>
  <c r="H125" i="12"/>
  <c r="H161" i="12"/>
  <c r="H177" i="12"/>
  <c r="H202" i="12"/>
  <c r="H261" i="12"/>
  <c r="H290" i="12"/>
  <c r="H273" i="12"/>
  <c r="H199" i="12"/>
  <c r="H158" i="12"/>
  <c r="H149" i="12"/>
  <c r="H132" i="12"/>
  <c r="H126" i="12"/>
  <c r="H124" i="12"/>
  <c r="H120" i="12"/>
  <c r="H34" i="12"/>
  <c r="H70" i="12"/>
  <c r="H69" i="12"/>
  <c r="H51" i="12"/>
  <c r="H48" i="12"/>
  <c r="H61" i="12" s="1"/>
  <c r="H41" i="12"/>
  <c r="E135" i="14"/>
  <c r="G194" i="11" s="1"/>
  <c r="G49" i="11"/>
  <c r="H123" i="12"/>
  <c r="H104" i="12"/>
  <c r="H91" i="12"/>
  <c r="H42" i="12"/>
  <c r="H147" i="12"/>
  <c r="H146" i="12"/>
  <c r="H293" i="12"/>
  <c r="H31" i="12"/>
  <c r="H277" i="12"/>
  <c r="H302" i="12"/>
  <c r="H200" i="12"/>
  <c r="H139" i="12"/>
  <c r="H114" i="12"/>
  <c r="E139" i="14"/>
  <c r="G198" i="11" s="1"/>
  <c r="H263" i="12"/>
  <c r="H241" i="12"/>
  <c r="H226" i="12"/>
  <c r="H214" i="12"/>
  <c r="H189" i="12"/>
  <c r="H172" i="12"/>
  <c r="H119" i="12"/>
  <c r="H110" i="12"/>
  <c r="H59" i="12"/>
  <c r="H36" i="12"/>
  <c r="G107" i="11"/>
  <c r="H212" i="12"/>
  <c r="H171" i="12"/>
  <c r="E153" i="14"/>
  <c r="G225" i="11" s="1"/>
  <c r="G227" i="11" s="1"/>
  <c r="H250" i="12"/>
  <c r="H167" i="12"/>
  <c r="H166" i="12"/>
  <c r="H155" i="12"/>
  <c r="H115" i="12"/>
  <c r="H112" i="12"/>
  <c r="H52" i="12"/>
  <c r="H29" i="12"/>
  <c r="H28" i="12"/>
  <c r="H18" i="12"/>
  <c r="H17" i="12"/>
  <c r="H15" i="12"/>
  <c r="H32" i="12" s="1"/>
  <c r="C101" i="14"/>
  <c r="E121" i="14"/>
  <c r="E125" i="14" s="1"/>
  <c r="E112" i="14"/>
  <c r="E87" i="14"/>
  <c r="G121" i="11" s="1"/>
  <c r="D63" i="14"/>
  <c r="E65" i="14" s="1"/>
  <c r="G103" i="11" s="1"/>
  <c r="G48" i="11"/>
  <c r="E81" i="14"/>
  <c r="G119" i="11" s="1"/>
  <c r="G46" i="11"/>
  <c r="H262" i="12"/>
  <c r="H117" i="12"/>
  <c r="H65" i="12"/>
  <c r="H19" i="12"/>
  <c r="G80" i="11"/>
  <c r="G86" i="11" s="1"/>
  <c r="H198" i="12"/>
  <c r="H22" i="12"/>
  <c r="H271" i="12"/>
  <c r="H160" i="12"/>
  <c r="E142" i="14"/>
  <c r="G203" i="11" s="1"/>
  <c r="H118" i="12"/>
  <c r="H86" i="12"/>
  <c r="H95" i="12" s="1"/>
  <c r="E45" i="14"/>
  <c r="G50" i="11" s="1"/>
  <c r="H298" i="12"/>
  <c r="G16" i="11"/>
  <c r="E77" i="14"/>
  <c r="G118" i="11" s="1"/>
  <c r="G101" i="11"/>
  <c r="H23" i="12"/>
  <c r="H258" i="12"/>
  <c r="H256" i="12"/>
  <c r="H220" i="12"/>
  <c r="H205" i="12"/>
  <c r="H264" i="12"/>
  <c r="H257" i="12"/>
  <c r="H116" i="12"/>
  <c r="H143" i="12"/>
  <c r="H168" i="12"/>
  <c r="E113" i="14"/>
  <c r="E114" i="14" s="1"/>
  <c r="G137" i="11" s="1"/>
  <c r="H130" i="12"/>
  <c r="H159" i="12"/>
  <c r="H108" i="12"/>
  <c r="H148" i="12"/>
  <c r="H175" i="12"/>
  <c r="H16" i="12"/>
  <c r="H165" i="12"/>
  <c r="H240" i="12"/>
  <c r="H30" i="12"/>
  <c r="H136" i="12"/>
  <c r="H154" i="12"/>
  <c r="H188" i="12"/>
  <c r="H237" i="12"/>
  <c r="H163" i="12"/>
  <c r="H152" i="12"/>
  <c r="H142" i="12"/>
  <c r="H100" i="12"/>
  <c r="H133" i="12" s="1"/>
  <c r="H74" i="12"/>
  <c r="H40" i="12"/>
  <c r="E117" i="14"/>
  <c r="C102" i="14"/>
  <c r="C100" i="14"/>
  <c r="E124" i="14"/>
  <c r="G167" i="11" s="1"/>
  <c r="E96" i="14"/>
  <c r="G133" i="11" s="1"/>
  <c r="E62" i="14"/>
  <c r="E66" i="14"/>
  <c r="E84" i="14"/>
  <c r="E141" i="14"/>
  <c r="G201" i="11" s="1"/>
  <c r="E71" i="14"/>
  <c r="G109" i="11" s="1"/>
  <c r="E137" i="14"/>
  <c r="G196" i="11" s="1"/>
  <c r="E93" i="14"/>
  <c r="G125" i="11" s="1"/>
  <c r="E39" i="14"/>
  <c r="E46" i="14" s="1"/>
  <c r="H111" i="12"/>
  <c r="E19" i="14"/>
  <c r="G19" i="11" s="1"/>
  <c r="E83" i="14"/>
  <c r="E138" i="14"/>
  <c r="G197" i="11" s="1"/>
  <c r="E143" i="14"/>
  <c r="G206" i="11" s="1"/>
  <c r="E41" i="14"/>
  <c r="G43" i="11" s="1"/>
  <c r="E134" i="14"/>
  <c r="G193" i="11" s="1"/>
  <c r="E97" i="14"/>
  <c r="G134" i="11" s="1"/>
  <c r="E150" i="14"/>
  <c r="G219" i="11" s="1"/>
  <c r="G222" i="11" s="1"/>
  <c r="E133" i="14"/>
  <c r="G190" i="11" s="1"/>
  <c r="E128" i="14"/>
  <c r="G181" i="11" s="1"/>
  <c r="E105" i="14"/>
  <c r="H225" i="12"/>
  <c r="E40" i="14"/>
  <c r="G42" i="11" s="1"/>
  <c r="H186" i="12"/>
  <c r="E140" i="14"/>
  <c r="G199" i="11" s="1"/>
  <c r="H79" i="12"/>
  <c r="E147" i="14"/>
  <c r="G213" i="11" s="1"/>
  <c r="G216" i="11" s="1"/>
  <c r="E106" i="14"/>
  <c r="G234" i="11"/>
  <c r="E157" i="14"/>
  <c r="E92" i="14"/>
  <c r="E98" i="14" s="1"/>
  <c r="H224" i="12"/>
  <c r="E94" i="14"/>
  <c r="G126" i="11" s="1"/>
  <c r="E69" i="14"/>
  <c r="G106" i="11" s="1"/>
  <c r="G111" i="11" s="1"/>
  <c r="E136" i="14"/>
  <c r="G195" i="11" s="1"/>
  <c r="E132" i="14"/>
  <c r="H294" i="12"/>
  <c r="C99" i="14"/>
  <c r="E127" i="14"/>
  <c r="E129" i="14" s="1"/>
  <c r="E116" i="14"/>
  <c r="H44" i="12"/>
  <c r="H81" i="12"/>
  <c r="E155" i="14"/>
  <c r="G229" i="11" s="1"/>
  <c r="E250" i="48"/>
  <c r="E246" i="48"/>
  <c r="D17" i="45"/>
  <c r="O289" i="51"/>
  <c r="O338" i="51"/>
  <c r="Q318" i="51"/>
  <c r="F14" i="15"/>
  <c r="F28" i="15"/>
  <c r="D14" i="45"/>
  <c r="O119" i="51"/>
  <c r="O347" i="51"/>
  <c r="F27" i="15"/>
  <c r="D22" i="45"/>
  <c r="O214" i="51"/>
  <c r="Q315" i="51"/>
  <c r="F15" i="15"/>
  <c r="O95" i="51"/>
  <c r="F18" i="15"/>
  <c r="D28" i="45"/>
  <c r="O261" i="51"/>
  <c r="D15" i="45"/>
  <c r="F42" i="46"/>
  <c r="F45" i="46" s="1"/>
  <c r="G102" i="11"/>
  <c r="G104" i="11" s="1"/>
  <c r="E53" i="14"/>
  <c r="D37" i="46"/>
  <c r="S442" i="51"/>
  <c r="U442" i="51" s="1"/>
  <c r="O479" i="51"/>
  <c r="O307" i="51"/>
  <c r="E107" i="14"/>
  <c r="G127" i="11" s="1"/>
  <c r="G140" i="11"/>
  <c r="G41" i="11"/>
  <c r="G51" i="11" s="1"/>
  <c r="O15" i="51"/>
  <c r="O93" i="51"/>
  <c r="O248" i="51"/>
  <c r="O491" i="51"/>
  <c r="S493" i="51" s="1"/>
  <c r="O244" i="51"/>
  <c r="S245" i="51" s="1"/>
  <c r="U245" i="51" s="1"/>
  <c r="D12" i="45"/>
  <c r="O552" i="51"/>
  <c r="H138" i="15"/>
  <c r="F17" i="15"/>
  <c r="H41" i="15"/>
  <c r="H40" i="15"/>
  <c r="E301" i="48"/>
  <c r="J10" i="48"/>
  <c r="E264" i="48"/>
  <c r="E292" i="48"/>
  <c r="I16" i="47"/>
  <c r="D12" i="46"/>
  <c r="S151" i="51" l="1"/>
  <c r="U151" i="51" s="1"/>
  <c r="S105" i="51"/>
  <c r="U105" i="51" s="1"/>
  <c r="G77" i="11"/>
  <c r="E243" i="48"/>
  <c r="V242" i="48" s="1"/>
  <c r="D30" i="46"/>
  <c r="U470" i="51" s="1"/>
  <c r="G159" i="11"/>
  <c r="G173" i="11" s="1"/>
  <c r="J283" i="12"/>
  <c r="I174" i="11"/>
  <c r="I11" i="48"/>
  <c r="H282" i="12"/>
  <c r="E24" i="48"/>
  <c r="I10" i="48" s="1"/>
  <c r="O10" i="48" s="1"/>
  <c r="D40" i="46"/>
  <c r="S236" i="51"/>
  <c r="U236" i="51" s="1"/>
  <c r="U493" i="51"/>
  <c r="S140" i="51"/>
  <c r="U140" i="51" s="1"/>
  <c r="Q421" i="51"/>
  <c r="E85" i="14"/>
  <c r="E89" i="14" s="1"/>
  <c r="O544" i="51"/>
  <c r="S545" i="51" s="1"/>
  <c r="E72" i="14"/>
  <c r="D38" i="46"/>
  <c r="O11" i="51"/>
  <c r="O533" i="51"/>
  <c r="S539" i="51" s="1"/>
  <c r="H303" i="12"/>
  <c r="G120" i="11"/>
  <c r="G122" i="11" s="1"/>
  <c r="G180" i="11"/>
  <c r="G182" i="11" s="1"/>
  <c r="E102" i="14"/>
  <c r="E103" i="14" s="1"/>
  <c r="E109" i="14" s="1"/>
  <c r="H283" i="12"/>
  <c r="H96" i="12"/>
  <c r="E118" i="14"/>
  <c r="G142" i="11" s="1"/>
  <c r="G143" i="11" s="1"/>
  <c r="I53" i="52"/>
  <c r="I55" i="52" s="1"/>
  <c r="D17" i="46"/>
  <c r="D27" i="46" s="1"/>
  <c r="O176" i="51"/>
  <c r="S183" i="51" s="1"/>
  <c r="H284" i="12"/>
  <c r="H291" i="12" s="1"/>
  <c r="U531" i="51"/>
  <c r="U486" i="51"/>
  <c r="D21" i="45"/>
  <c r="D31" i="46"/>
  <c r="D35" i="46" s="1"/>
  <c r="O473" i="51"/>
  <c r="S481" i="51" s="1"/>
  <c r="D11" i="45"/>
  <c r="I41" i="15"/>
  <c r="O258" i="51"/>
  <c r="G188" i="11"/>
  <c r="G207" i="11" s="1"/>
  <c r="G217" i="11" s="1"/>
  <c r="E144" i="14"/>
  <c r="G235" i="11"/>
  <c r="O421" i="51"/>
  <c r="S421" i="51" s="1"/>
  <c r="U421" i="51" s="1"/>
  <c r="S507" i="51"/>
  <c r="E159" i="14"/>
  <c r="G28" i="11"/>
  <c r="G91" i="11" s="1"/>
  <c r="H296" i="12"/>
  <c r="J284" i="12"/>
  <c r="J291" i="12" s="1"/>
  <c r="J304" i="12" s="1"/>
  <c r="J309" i="12" s="1"/>
  <c r="I236" i="11"/>
  <c r="I183" i="11"/>
  <c r="S153" i="51"/>
  <c r="D16" i="45"/>
  <c r="G124" i="11"/>
  <c r="G135" i="11" s="1"/>
  <c r="E35" i="14"/>
  <c r="D41" i="46" l="1"/>
  <c r="D42" i="46"/>
  <c r="U507" i="51"/>
  <c r="U545" i="51"/>
  <c r="K11" i="48"/>
  <c r="O11" i="48" s="1"/>
  <c r="O13" i="48" s="1"/>
  <c r="G174" i="11"/>
  <c r="U481" i="51"/>
  <c r="S547" i="51"/>
  <c r="U547" i="51" s="1"/>
  <c r="U539" i="51"/>
  <c r="H304" i="12"/>
  <c r="H309" i="12" s="1"/>
  <c r="F58" i="52"/>
  <c r="D18" i="45"/>
  <c r="D44" i="46"/>
  <c r="U554" i="51" s="1"/>
  <c r="U183" i="51"/>
  <c r="S444" i="51"/>
  <c r="D20" i="45"/>
  <c r="D24" i="45" s="1"/>
  <c r="H139" i="15"/>
  <c r="I139" i="15" s="1"/>
  <c r="G236" i="11"/>
  <c r="U153" i="51"/>
  <c r="I238" i="11"/>
  <c r="G183" i="11"/>
  <c r="G238" i="11" s="1"/>
  <c r="S549" i="51" l="1"/>
  <c r="U549" i="51" s="1"/>
  <c r="U444" i="51"/>
  <c r="S446" i="51"/>
  <c r="D45" i="46"/>
  <c r="H45" i="46" s="1"/>
  <c r="H1" i="46" s="1"/>
  <c r="D25" i="45"/>
  <c r="D29" i="45" s="1"/>
  <c r="U446" i="51" l="1"/>
  <c r="S560" i="51"/>
</calcChain>
</file>

<file path=xl/sharedStrings.xml><?xml version="1.0" encoding="utf-8"?>
<sst xmlns="http://schemas.openxmlformats.org/spreadsheetml/2006/main" count="5041" uniqueCount="2087">
  <si>
    <t xml:space="preserve">Account </t>
  </si>
  <si>
    <t>Code</t>
  </si>
  <si>
    <t>Cash in Vault</t>
  </si>
  <si>
    <t>Real Property Tax Receivable</t>
  </si>
  <si>
    <t>Due from NGAs</t>
  </si>
  <si>
    <t>Due from LGUs</t>
  </si>
  <si>
    <t>Receivables-Disallowances/Charges</t>
  </si>
  <si>
    <t>Livestock Inventory</t>
  </si>
  <si>
    <t>Land</t>
  </si>
  <si>
    <t>Office Equipment</t>
  </si>
  <si>
    <t>IT Equipment and Software</t>
  </si>
  <si>
    <t>Library Books</t>
  </si>
  <si>
    <t>Communication Equipment</t>
  </si>
  <si>
    <t>Sports Equipment</t>
  </si>
  <si>
    <t>Technical &amp; Scientific Equipment</t>
  </si>
  <si>
    <t>Motor Vehicles</t>
  </si>
  <si>
    <t>Other Assets</t>
  </si>
  <si>
    <t>Due to BIR</t>
  </si>
  <si>
    <t>Due to GSIS</t>
  </si>
  <si>
    <t>Clothing/Uniform Allowance</t>
  </si>
  <si>
    <t>Productivity Incentive Allowance</t>
  </si>
  <si>
    <t>Honoraria</t>
  </si>
  <si>
    <t>Longevity Pay</t>
  </si>
  <si>
    <t>Cash Gift</t>
  </si>
  <si>
    <t>Year End Bonus</t>
  </si>
  <si>
    <t>Terminal Leave Benefits</t>
  </si>
  <si>
    <t>Other Personnel Benefits</t>
  </si>
  <si>
    <t>Training Expenses</t>
  </si>
  <si>
    <t>Office Supplies Expenses</t>
  </si>
  <si>
    <t>Agricultural Supplies Expenses</t>
  </si>
  <si>
    <t>Other Supplies Expenses</t>
  </si>
  <si>
    <t>Insurance Expenses</t>
  </si>
  <si>
    <t>Accumulated Depreciation-Office Equipment</t>
  </si>
  <si>
    <t>Accounts Payable</t>
  </si>
  <si>
    <t>Due to PAG-IBIG</t>
  </si>
  <si>
    <t>Due to LGUs</t>
  </si>
  <si>
    <t>Deffered Real Property Tax Income</t>
  </si>
  <si>
    <t>Amusement Tax</t>
  </si>
  <si>
    <t>Community Tax</t>
  </si>
  <si>
    <t>Occupation Tax</t>
  </si>
  <si>
    <t>Real Property Tax</t>
  </si>
  <si>
    <t>Other Local Taxes</t>
  </si>
  <si>
    <t>Fines and Penalties-Local Taxes</t>
  </si>
  <si>
    <t>Registration Fees</t>
  </si>
  <si>
    <t>Other Permits and Licenses</t>
  </si>
  <si>
    <t>Clearance and Certification Fees</t>
  </si>
  <si>
    <t>Inspection Fees</t>
  </si>
  <si>
    <t>Repairs &amp; Maintenance-Land Improvement</t>
  </si>
  <si>
    <t>Representation Expenses</t>
  </si>
  <si>
    <t>Interest Income</t>
  </si>
  <si>
    <t>TOTAL</t>
  </si>
  <si>
    <t>NET INCOME</t>
  </si>
  <si>
    <t>Personnel Economic Relief Allowance (PERA)</t>
  </si>
  <si>
    <t>Advertising Expenses</t>
  </si>
  <si>
    <t>Miscellaneous Expenses</t>
  </si>
  <si>
    <t>Other Payables</t>
  </si>
  <si>
    <t>Other Receivables</t>
  </si>
  <si>
    <t>Furniture and Fixtures</t>
  </si>
  <si>
    <t>Representation Allowance (RA)</t>
  </si>
  <si>
    <t>Transportation Allowance (TA)</t>
  </si>
  <si>
    <t>PAG-IBIG Contributions</t>
  </si>
  <si>
    <t>Accountable Forms Expenses</t>
  </si>
  <si>
    <t>Drugs and Medicines Expenses</t>
  </si>
  <si>
    <t>Electricity Expenses</t>
  </si>
  <si>
    <t>Other Financial Charges</t>
  </si>
  <si>
    <t>Due to Other GOCCs</t>
  </si>
  <si>
    <t>Advances to Officers and Employees</t>
  </si>
  <si>
    <t>Due from GOCCs</t>
  </si>
  <si>
    <t>Office Buildings</t>
  </si>
  <si>
    <t>School Buildings</t>
  </si>
  <si>
    <t>Other Property, Plant and Equipment</t>
  </si>
  <si>
    <t>Additional Compensation (ADCOM)</t>
  </si>
  <si>
    <t>Water Expenses</t>
  </si>
  <si>
    <t>Postage and Deliveries</t>
  </si>
  <si>
    <t>Repairs &amp; Maintenance-Office Buildings</t>
  </si>
  <si>
    <t>Repairs &amp; Maintenance-School Buildings</t>
  </si>
  <si>
    <t>Slaughterhouses</t>
  </si>
  <si>
    <t>Donations</t>
  </si>
  <si>
    <t>Due to Officers and Employees</t>
  </si>
  <si>
    <t>Due to Other Funds</t>
  </si>
  <si>
    <t>Government Equity</t>
  </si>
  <si>
    <t>Tax on Delivery Trucks and Vans</t>
  </si>
  <si>
    <t>Fees on Weights and Measures</t>
  </si>
  <si>
    <t>Garbage Fees</t>
  </si>
  <si>
    <t>Income from Cemetery Operations</t>
  </si>
  <si>
    <t>Income from Markets</t>
  </si>
  <si>
    <t>Municipality of Jaro</t>
  </si>
  <si>
    <t>ASSETS</t>
  </si>
  <si>
    <t>Land and Land Improvements</t>
  </si>
  <si>
    <t>Buildings</t>
  </si>
  <si>
    <t>Machineries and Equipment</t>
  </si>
  <si>
    <t>TOTAL ASSETS</t>
  </si>
  <si>
    <t>LIABILITIES</t>
  </si>
  <si>
    <t>BALANCE SHEET</t>
  </si>
  <si>
    <t>SCHEDULE OF BALANCE SHEET</t>
  </si>
  <si>
    <t xml:space="preserve">                         Amount</t>
  </si>
  <si>
    <t>Receivables</t>
  </si>
  <si>
    <t>Real Property Tax Receivables</t>
  </si>
  <si>
    <t xml:space="preserve">Land </t>
  </si>
  <si>
    <t>Land Improvements</t>
  </si>
  <si>
    <t>Office Equipment, Furniture &amp; Fixtures</t>
  </si>
  <si>
    <t>Agricultural, Fishery and Forestry Equipment</t>
  </si>
  <si>
    <t>Other Machinery &amp; Equipment</t>
  </si>
  <si>
    <t>Restricted Fund/Cash</t>
  </si>
  <si>
    <t>Due to Pag-ibig</t>
  </si>
  <si>
    <t>Due to Other NGA's</t>
  </si>
  <si>
    <t>Due to GOCC's</t>
  </si>
  <si>
    <t>Due to LGU's</t>
  </si>
  <si>
    <t>Long-Term Liabilities</t>
  </si>
  <si>
    <t>Loans Payable - Domestic</t>
  </si>
  <si>
    <t>Deffered Credits</t>
  </si>
  <si>
    <t>Government Equity (beg.)</t>
  </si>
  <si>
    <t xml:space="preserve">     Total Government Equity</t>
  </si>
  <si>
    <t>Add/Deduct:</t>
  </si>
  <si>
    <t xml:space="preserve">      Retained Operating Surplus</t>
  </si>
  <si>
    <t xml:space="preserve">      Prior Years'  Adjustment</t>
  </si>
  <si>
    <t xml:space="preserve">      Property, Plant &amp; Equipment</t>
  </si>
  <si>
    <t xml:space="preserve">      Transfer to Registry</t>
  </si>
  <si>
    <t>Total Cash</t>
  </si>
  <si>
    <t>Cash</t>
  </si>
  <si>
    <t>Total Receivables</t>
  </si>
  <si>
    <t>Total Land and Land Improvements</t>
  </si>
  <si>
    <t>Total Buildings</t>
  </si>
  <si>
    <t>Net Total Office Equipment, Furniture and Fixtures</t>
  </si>
  <si>
    <t>Net Total Machineries and Equipment</t>
  </si>
  <si>
    <t>Total Other Assets</t>
  </si>
  <si>
    <t>Current Liabilities</t>
  </si>
  <si>
    <t>Total Current Liabilities</t>
  </si>
  <si>
    <t>Transportation and Equipment</t>
  </si>
  <si>
    <t>Inventories</t>
  </si>
  <si>
    <t>Permit Fees</t>
  </si>
  <si>
    <t>Internal Revenue Allotment</t>
  </si>
  <si>
    <t>SCHEDULE FOR INCOME AND EXPENSES</t>
  </si>
  <si>
    <t>Total Business Income</t>
  </si>
  <si>
    <t>Total Other Income</t>
  </si>
  <si>
    <t>Total</t>
  </si>
  <si>
    <t>STATEMENT OF INCOME AND EXPENSES</t>
  </si>
  <si>
    <t>Interest Expenses</t>
  </si>
  <si>
    <t>Other Supplies Inventory</t>
  </si>
  <si>
    <t>Hazard Pay</t>
  </si>
  <si>
    <t>Overtime and Night Pay</t>
  </si>
  <si>
    <t>Printing and Binding Expenses</t>
  </si>
  <si>
    <t>Rent Expenses</t>
  </si>
  <si>
    <t>Consultancy Services</t>
  </si>
  <si>
    <t>Taxes, Duties and Licenses</t>
  </si>
  <si>
    <t>Fidelity Bond Premiums</t>
  </si>
  <si>
    <t>Share from PAGCOR/PCSO</t>
  </si>
  <si>
    <t>111-2</t>
  </si>
  <si>
    <t>Bank Charges</t>
  </si>
  <si>
    <t>111-3</t>
  </si>
  <si>
    <t>Construction &amp; Heavy Equipment</t>
  </si>
  <si>
    <t>Construction in Progress-Agency Assets</t>
  </si>
  <si>
    <t>Accumulated Depreciation-Furniture &amp; Fixtures</t>
  </si>
  <si>
    <t>Machinery</t>
  </si>
  <si>
    <t xml:space="preserve">Accumulated Depreciation-IT Equipment </t>
  </si>
  <si>
    <t>Accumulated Depreciation-Construction &amp; Heavy Equip.</t>
  </si>
  <si>
    <t>Less: Acculmulated Depreciiation-Motor Vehicles</t>
  </si>
  <si>
    <t>Less: Acculmulated Depreciiation-Other PPE</t>
  </si>
  <si>
    <t>Net Amount</t>
  </si>
  <si>
    <t>General Fund</t>
  </si>
  <si>
    <t>Subsidy to Local Government Units</t>
  </si>
  <si>
    <t>Municipal Accountant</t>
  </si>
  <si>
    <t xml:space="preserve">  JUDY G. PARADO</t>
  </si>
  <si>
    <t>Certified Correct:</t>
  </si>
  <si>
    <t>Petty Cash Fund</t>
  </si>
  <si>
    <t>Due from Other Funds</t>
  </si>
  <si>
    <t>Storage Expenses</t>
  </si>
  <si>
    <t>Survey Expenses</t>
  </si>
  <si>
    <t>Other Service Income</t>
  </si>
  <si>
    <t>Income from Grants and Donations</t>
  </si>
  <si>
    <t>Rent Income</t>
  </si>
  <si>
    <t>GENERAL FUND</t>
  </si>
  <si>
    <t>Cash in Bank-(LBP) IRA</t>
  </si>
  <si>
    <t>Due to PhilHealth</t>
  </si>
  <si>
    <t>Office Equipment, Furniture and Fixtures</t>
  </si>
  <si>
    <t>Transportation Equipment</t>
  </si>
  <si>
    <t>Public Infrastructures</t>
  </si>
  <si>
    <t>ACCOUNT TITLE</t>
  </si>
  <si>
    <t>Sinking Fund</t>
  </si>
  <si>
    <t>Leasehold Improvements</t>
  </si>
  <si>
    <t>Reforestation Projects</t>
  </si>
  <si>
    <t>Government Equity, Ending</t>
  </si>
  <si>
    <t>Less: Accumulated Depreciation-Machineries</t>
  </si>
  <si>
    <t>Payroll Fund</t>
  </si>
  <si>
    <t>Cash in Bank-Local Currency, Current Account</t>
  </si>
  <si>
    <t>Other Business Income</t>
  </si>
  <si>
    <t>Gain/Loss on Sale of Disposed Assets</t>
  </si>
  <si>
    <t>Health Workers Benefits</t>
  </si>
  <si>
    <t>Internet Expenses</t>
  </si>
  <si>
    <t>Legal Services</t>
  </si>
  <si>
    <t>Auditing Services</t>
  </si>
  <si>
    <t>ECC Contributions</t>
  </si>
  <si>
    <t>Life and Retirement Insurance Contributions</t>
  </si>
  <si>
    <t>PHILHEALTH Contributions</t>
  </si>
  <si>
    <t>Construction and Heavy Equipment</t>
  </si>
  <si>
    <t>Repairs &amp; Maintenance-Other Structures</t>
  </si>
  <si>
    <t xml:space="preserve">         Accumulated Depreciation-Other Machineries</t>
  </si>
  <si>
    <t xml:space="preserve">         Accumulated Depreciation-Agricultural Eqpt.</t>
  </si>
  <si>
    <t>Republic of the Philippines</t>
  </si>
  <si>
    <t>Cash-Disbursing Officers</t>
  </si>
  <si>
    <t>Cash in Bank-Local Currency, Savings Account</t>
  </si>
  <si>
    <t>Cash in Bank-Local Currency, Time Deposits</t>
  </si>
  <si>
    <t>Cash in Bank-Foreign Currency, Current Account</t>
  </si>
  <si>
    <t>Cash in Bank-Foreign Currency, Savings Account</t>
  </si>
  <si>
    <t>Cash in Bank-Foreign Currency, Time Deposits</t>
  </si>
  <si>
    <t>Accounts Receivable</t>
  </si>
  <si>
    <t>Notes Receivables</t>
  </si>
  <si>
    <t>Due from Officers and Employees</t>
  </si>
  <si>
    <t>Special Education Tax Receivable</t>
  </si>
  <si>
    <t>Interests Receivable</t>
  </si>
  <si>
    <t>Due from NGOs/Pos</t>
  </si>
  <si>
    <t>Raw Materials Inventory</t>
  </si>
  <si>
    <t>Finished Goods Inventory</t>
  </si>
  <si>
    <t>Merchandise Inventory</t>
  </si>
  <si>
    <t>Accountable Forms Inventory</t>
  </si>
  <si>
    <t>Animal/Zoological Supplies Inventory</t>
  </si>
  <si>
    <t>Food Supplies Inventory</t>
  </si>
  <si>
    <t>Drugs and Medicines Inventory</t>
  </si>
  <si>
    <t>Medical, Dental and Laboratory Supplies Inventory</t>
  </si>
  <si>
    <t>Gasoline, Oil and Lubricants Inventory</t>
  </si>
  <si>
    <t>Textbooks and Instructional Materials Inventory</t>
  </si>
  <si>
    <t>Military and Police Supplies Inventory</t>
  </si>
  <si>
    <t>Spare Parts Inventory</t>
  </si>
  <si>
    <t>Construction Materials Inventory</t>
  </si>
  <si>
    <t>Crops and Fruits Inventory</t>
  </si>
  <si>
    <t>Other Agricultural, Fishery and Forestry Products Inventory</t>
  </si>
  <si>
    <t>Prepaid Rent</t>
  </si>
  <si>
    <t>Prepaid Insurance</t>
  </si>
  <si>
    <t>Prepaid Interest</t>
  </si>
  <si>
    <t>Advances to Contractors</t>
  </si>
  <si>
    <t>Guaranty Deposits</t>
  </si>
  <si>
    <t>Investments in Stocks</t>
  </si>
  <si>
    <t>Investments in Bonds</t>
  </si>
  <si>
    <t>Electrification, Power and Energy Structures</t>
  </si>
  <si>
    <t>Hospitals and Health Centers</t>
  </si>
  <si>
    <t>Other Structures</t>
  </si>
  <si>
    <t>Firefighting Equipment and Accessories</t>
  </si>
  <si>
    <t>Hospital Equipment</t>
  </si>
  <si>
    <t>Medical, Dental and Laboratory Equipment</t>
  </si>
  <si>
    <t>Military and Police Equipment</t>
  </si>
  <si>
    <t>Other Transportation Equipment</t>
  </si>
  <si>
    <t>Roads, Highways and Bridges</t>
  </si>
  <si>
    <t>Parks, Plazas and Monuments</t>
  </si>
  <si>
    <t>Ports, Lighthouses and Harbors</t>
  </si>
  <si>
    <t>Irrigation, Canals and Laterals</t>
  </si>
  <si>
    <t>Flood Controls</t>
  </si>
  <si>
    <t>Other Public Infrastructures</t>
  </si>
  <si>
    <t>Construction in Progress-Roads, Highways and Bridges</t>
  </si>
  <si>
    <t>Construction in Progress-Ports, Lighthouses and Harbors</t>
  </si>
  <si>
    <t>Construction in Progress-Flood Controls</t>
  </si>
  <si>
    <t>Breeding Stocks</t>
  </si>
  <si>
    <t>Notes Payable</t>
  </si>
  <si>
    <t>Interest Payable</t>
  </si>
  <si>
    <t>Guaranty Deposits Payable</t>
  </si>
  <si>
    <t>Performance/Bidders/Bail Bonds Payable</t>
  </si>
  <si>
    <t>Tax Refunds Payable</t>
  </si>
  <si>
    <t>Mortgage Payable</t>
  </si>
  <si>
    <t>Cost of Goods Sold</t>
  </si>
  <si>
    <t>Franchise Tax</t>
  </si>
  <si>
    <t>Printing and Publication Tax</t>
  </si>
  <si>
    <t>Property Transfer Tax</t>
  </si>
  <si>
    <t>Real Property Tax on Idle Lands</t>
  </si>
  <si>
    <t>Special Assessment Tax</t>
  </si>
  <si>
    <t>Fishery Rental Fees</t>
  </si>
  <si>
    <t>Franchising and Licensing Fees</t>
  </si>
  <si>
    <t>Affiliation Fees</t>
  </si>
  <si>
    <t>Comprehensive Examination Fees</t>
  </si>
  <si>
    <t>Diploma and Graduation Fees</t>
  </si>
  <si>
    <t>Library Fees</t>
  </si>
  <si>
    <t>Medical, Dental and Laboratory Fees</t>
  </si>
  <si>
    <t>Processing Fees</t>
  </si>
  <si>
    <t>Seminar Fees</t>
  </si>
  <si>
    <t>Toll and Terminal Fees</t>
  </si>
  <si>
    <t>Income from Canteen Operations</t>
  </si>
  <si>
    <t>Income from Dormitory Operations</t>
  </si>
  <si>
    <t>Landing and Parking Fees</t>
  </si>
  <si>
    <t>Printing and Publication Income</t>
  </si>
  <si>
    <t>Sales Revenue</t>
  </si>
  <si>
    <t>Tuition Fees</t>
  </si>
  <si>
    <t>Subsidy from Other LGUs</t>
  </si>
  <si>
    <t>Subsidy from Other Funds</t>
  </si>
  <si>
    <t>Dividend Income</t>
  </si>
  <si>
    <t>Insurance Income</t>
  </si>
  <si>
    <t>Sale of Confiscated/Abandoned/Seized Goods and Properties</t>
  </si>
  <si>
    <t>Share from Economic Zones</t>
  </si>
  <si>
    <t>Share from National Wealth</t>
  </si>
  <si>
    <t>Miscellaneous Income</t>
  </si>
  <si>
    <t>Other Fines and Penalties</t>
  </si>
  <si>
    <t>Gain/Loss on Sale of Securities</t>
  </si>
  <si>
    <t>Scholarship Expenses</t>
  </si>
  <si>
    <t>Animal/Zoological Supplies Expenses</t>
  </si>
  <si>
    <t>Food Supplies Expenses</t>
  </si>
  <si>
    <t>Medical, Dental and Laboratory Supplies Expenses</t>
  </si>
  <si>
    <t>Textbooks and Instructional Materials Expenses</t>
  </si>
  <si>
    <t>Military and Police Supplies Expenses</t>
  </si>
  <si>
    <t>Cooking Gas Expenses</t>
  </si>
  <si>
    <t>Transportation and Delivery Expenses</t>
  </si>
  <si>
    <t>Rewards and Other Claims</t>
  </si>
  <si>
    <t>Environment/Sanitary Services</t>
  </si>
  <si>
    <t>General Services</t>
  </si>
  <si>
    <t>Janitorial Services</t>
  </si>
  <si>
    <t>Security Services</t>
  </si>
  <si>
    <t>Other Professional Services</t>
  </si>
  <si>
    <t>Repairs &amp; Maintenance-Hospitals and Health Centers</t>
  </si>
  <si>
    <t>Repairs &amp; Maintenance-Other Leasehold Improvements</t>
  </si>
  <si>
    <t>Subsidy to National Government Agencies</t>
  </si>
  <si>
    <t>Subsidy to NGOs/Pos</t>
  </si>
  <si>
    <t>Subsidy to Other Funds</t>
  </si>
  <si>
    <t>Confidential Expenses</t>
  </si>
  <si>
    <t>Intelligence Expenses</t>
  </si>
  <si>
    <t>Extraordinary Expenses</t>
  </si>
  <si>
    <t>Depreciation-Electrification, Power and Energy Structures</t>
  </si>
  <si>
    <t>Depreciation-Office Buildings</t>
  </si>
  <si>
    <t>Discount on Special Education Tax</t>
  </si>
  <si>
    <t>Loss of Assets</t>
  </si>
  <si>
    <t>Loss on Guaranty</t>
  </si>
  <si>
    <t>Other Maintenance and Operating Expenses</t>
  </si>
  <si>
    <t>Commitment Fees</t>
  </si>
  <si>
    <t>Documentary Stamps Expenses</t>
  </si>
  <si>
    <t xml:space="preserve">      CASH</t>
  </si>
  <si>
    <t xml:space="preserve">           Cash on Hand</t>
  </si>
  <si>
    <t xml:space="preserve">           Cash in Banks-Local Currency</t>
  </si>
  <si>
    <t xml:space="preserve">           Cash in Banks-Foreign Currency</t>
  </si>
  <si>
    <t xml:space="preserve">            Total Cash</t>
  </si>
  <si>
    <t xml:space="preserve">      RECEIVABLES</t>
  </si>
  <si>
    <t xml:space="preserve">            Receivable Account</t>
  </si>
  <si>
    <t>Loans Receivables-GOCCs</t>
  </si>
  <si>
    <t>Loans Receivables-Others</t>
  </si>
  <si>
    <t>Loans Receivables-LGUs</t>
  </si>
  <si>
    <t>Real Propery Tax Receivable</t>
  </si>
  <si>
    <t xml:space="preserve">           Inter-agency Receivables</t>
  </si>
  <si>
    <t xml:space="preserve">          Intra-agency Receivables</t>
  </si>
  <si>
    <t xml:space="preserve">          Other Receivables</t>
  </si>
  <si>
    <t xml:space="preserve">          Total Receivables</t>
  </si>
  <si>
    <t xml:space="preserve">     INVENTORIES</t>
  </si>
  <si>
    <t xml:space="preserve">           Materials</t>
  </si>
  <si>
    <t>Work-in Process Inventoy</t>
  </si>
  <si>
    <t xml:space="preserve">          Supplies</t>
  </si>
  <si>
    <t>Office Supplies Inventory</t>
  </si>
  <si>
    <t>Agricultural Supplies Inventory</t>
  </si>
  <si>
    <t>Other Supplies Inventoy</t>
  </si>
  <si>
    <t>Confiscated/Abandoned/Seized Goods Inventory</t>
  </si>
  <si>
    <t xml:space="preserve">          Agricultural, Fishery and Forestry Products</t>
  </si>
  <si>
    <t xml:space="preserve">          Total Inventories</t>
  </si>
  <si>
    <t xml:space="preserve">       PREPAYMENTS</t>
  </si>
  <si>
    <t xml:space="preserve">          Prepaid Rent</t>
  </si>
  <si>
    <t xml:space="preserve">          Prepaid Insurance</t>
  </si>
  <si>
    <t xml:space="preserve">          Prepaid Interest</t>
  </si>
  <si>
    <t xml:space="preserve">          Deposit on Letters of Credit</t>
  </si>
  <si>
    <t xml:space="preserve">          Deferred Charges</t>
  </si>
  <si>
    <t xml:space="preserve">          Other Prepaid Expenses</t>
  </si>
  <si>
    <t xml:space="preserve">          Total Prepayments</t>
  </si>
  <si>
    <t xml:space="preserve">      OTHER CURRENT ASSETS</t>
  </si>
  <si>
    <t xml:space="preserve">          Guaranty Deposits</t>
  </si>
  <si>
    <t xml:space="preserve">          Other Current Assets</t>
  </si>
  <si>
    <t xml:space="preserve">          Total Other Current Assets</t>
  </si>
  <si>
    <t xml:space="preserve">      TOTAL CURRENT ASSETS</t>
  </si>
  <si>
    <t>INVESTMENTS</t>
  </si>
  <si>
    <t xml:space="preserve">          Investments in Treasury Bills</t>
  </si>
  <si>
    <t xml:space="preserve">          Investments in Stocks</t>
  </si>
  <si>
    <t xml:space="preserve">          Investments in Bonds</t>
  </si>
  <si>
    <t xml:space="preserve">          Other Investments and Marketable Securities</t>
  </si>
  <si>
    <t xml:space="preserve">          Sinking Fund</t>
  </si>
  <si>
    <t xml:space="preserve">      TOTAL INVESTMENTS</t>
  </si>
  <si>
    <t xml:space="preserve">       LAND AND LAND IMPROVEMENTS</t>
  </si>
  <si>
    <t xml:space="preserve">           Land</t>
  </si>
  <si>
    <t xml:space="preserve">           Land Improvements</t>
  </si>
  <si>
    <t xml:space="preserve">           Electrification, Power and Energy Strucutres</t>
  </si>
  <si>
    <t xml:space="preserve">           Total Land and Land Improvements</t>
  </si>
  <si>
    <t xml:space="preserve">       BUILDINGS</t>
  </si>
  <si>
    <t xml:space="preserve">           Office Buildings</t>
  </si>
  <si>
    <t xml:space="preserve">           School Buildings</t>
  </si>
  <si>
    <t xml:space="preserve">           Hospitals and Health Centers</t>
  </si>
  <si>
    <t xml:space="preserve">           Markets and Slaughterhouses</t>
  </si>
  <si>
    <t xml:space="preserve">           Other Structures</t>
  </si>
  <si>
    <t xml:space="preserve">           Total Buildings</t>
  </si>
  <si>
    <t xml:space="preserve">       LEASEHOLD IMPROVEMENTS</t>
  </si>
  <si>
    <t xml:space="preserve">           Leasehold Improvements Land</t>
  </si>
  <si>
    <t xml:space="preserve">           Leasehold Improvements Buildings</t>
  </si>
  <si>
    <t xml:space="preserve">           Other Leasehold Improvements</t>
  </si>
  <si>
    <t xml:space="preserve">           Total Leasehold Improvements</t>
  </si>
  <si>
    <t xml:space="preserve">       OFFICE EQUIPMENT, FURNITURE AND FIXTURES</t>
  </si>
  <si>
    <t xml:space="preserve">           Office Equipment</t>
  </si>
  <si>
    <t xml:space="preserve">           Furniture and Fixtures</t>
  </si>
  <si>
    <t xml:space="preserve">           IT Equipment and Software</t>
  </si>
  <si>
    <t xml:space="preserve">           Library Books</t>
  </si>
  <si>
    <t xml:space="preserve">           Total Office Equipment, Furniture and Fixtures</t>
  </si>
  <si>
    <t xml:space="preserve">       MACHINERIES AND EQUIPMENT</t>
  </si>
  <si>
    <t xml:space="preserve">           </t>
  </si>
  <si>
    <t>Machineries</t>
  </si>
  <si>
    <t>Technical and Scientific Equipment</t>
  </si>
  <si>
    <t>Other Machineries and Equipment</t>
  </si>
  <si>
    <t>Total Machineries and Equipment</t>
  </si>
  <si>
    <t xml:space="preserve">      TRANSPORTATION EQUIPMENT</t>
  </si>
  <si>
    <t>Watercrafts</t>
  </si>
  <si>
    <t>Total Transportation Equipment</t>
  </si>
  <si>
    <t xml:space="preserve">       OTHER PROPERTY, PLANT AND EQUIPMENT</t>
  </si>
  <si>
    <t>Total Other Property , Plant and Equipment</t>
  </si>
  <si>
    <t xml:space="preserve">       PUBLIC INFRASTRACTURES</t>
  </si>
  <si>
    <t>Plazas, Parks and Monuments</t>
  </si>
  <si>
    <t>Artesian, Wells, Reservoirs, Pumping Stations and Conduits</t>
  </si>
  <si>
    <t>Waterways, Aqueduct, Seawalls</t>
  </si>
  <si>
    <t xml:space="preserve">            Total Public Infrastructure</t>
  </si>
  <si>
    <t xml:space="preserve">      REFORESTATION PROJECTS</t>
  </si>
  <si>
    <t>Reforestation - Upland</t>
  </si>
  <si>
    <t>Reforestation - Marsland/Swampland</t>
  </si>
  <si>
    <t xml:space="preserve">            Total Reforestation Projects</t>
  </si>
  <si>
    <t xml:space="preserve">      CONSTRUCTION IN PROGRESS</t>
  </si>
  <si>
    <t xml:space="preserve">            Construction in Progress - Agency Assets</t>
  </si>
  <si>
    <t xml:space="preserve">            Public Infrastrures/Reforestation Projects</t>
  </si>
  <si>
    <t>Construction in Progress-Plazas, Parks and Monuments</t>
  </si>
  <si>
    <t>Construction in Progress- Artesian, Wells, Reservoirs</t>
  </si>
  <si>
    <t xml:space="preserve">  Pumping Stations and Conduits</t>
  </si>
  <si>
    <t>Construction in Progress - Flood Controls</t>
  </si>
  <si>
    <t>Construction in Progress - Waterways, Aqueducts,Seawalls</t>
  </si>
  <si>
    <t xml:space="preserve">  River Walls and Others</t>
  </si>
  <si>
    <t>Construction in Progress - Other Public Infrastructures</t>
  </si>
  <si>
    <t>Construction in Progress - Reforestation - Upland</t>
  </si>
  <si>
    <t>Construction in Progress - Reforestation - Marshland/Swampland</t>
  </si>
  <si>
    <t xml:space="preserve">          Total Construction in Progress</t>
  </si>
  <si>
    <t xml:space="preserve">      Total Property, Plant and Equipment</t>
  </si>
  <si>
    <t xml:space="preserve">         Work/Other Animals</t>
  </si>
  <si>
    <t xml:space="preserve">         Breeding Stocks</t>
  </si>
  <si>
    <t xml:space="preserve">         Arts, Archeological Speciment and Other Exhibits</t>
  </si>
  <si>
    <t xml:space="preserve">         Items in Transit</t>
  </si>
  <si>
    <t xml:space="preserve">         Other Assets</t>
  </si>
  <si>
    <t xml:space="preserve">          Payable Accounts</t>
  </si>
  <si>
    <t xml:space="preserve">        </t>
  </si>
  <si>
    <t xml:space="preserve">          Inter-Agency Payables</t>
  </si>
  <si>
    <t>Due to PHILHEALTH</t>
  </si>
  <si>
    <t>Due to Other NGAs</t>
  </si>
  <si>
    <t xml:space="preserve">          Intra-Agency Payables</t>
  </si>
  <si>
    <t xml:space="preserve">          Other Liability Accounts</t>
  </si>
  <si>
    <t xml:space="preserve">          Total Current Liabilities</t>
  </si>
  <si>
    <t xml:space="preserve">          Mortgate/Bond/Loans Payable</t>
  </si>
  <si>
    <t>Bonds Payable - Domestic</t>
  </si>
  <si>
    <t>Bonds Payable - Foreign</t>
  </si>
  <si>
    <t>Loans Payable - Foreign</t>
  </si>
  <si>
    <t>Other Long-Term Liabilities</t>
  </si>
  <si>
    <t xml:space="preserve">          Total Long-Term Liabilities</t>
  </si>
  <si>
    <t xml:space="preserve">          TOTAL LIABILITIES</t>
  </si>
  <si>
    <t xml:space="preserve">           Deffered Real Property Tax Income</t>
  </si>
  <si>
    <t xml:space="preserve">           Deffered Special Education Tax Income</t>
  </si>
  <si>
    <t xml:space="preserve">           Other Deferred Credits</t>
  </si>
  <si>
    <t xml:space="preserve">           Total Deffered Credits</t>
  </si>
  <si>
    <t>Adjustment to Beg. Bal.</t>
  </si>
  <si>
    <t>Adjusted Beg. Bal.</t>
  </si>
  <si>
    <t xml:space="preserve">  Current Operations</t>
  </si>
  <si>
    <t xml:space="preserve">  Prior Year's Adjustments</t>
  </si>
  <si>
    <t>Prior Year's Adjustments</t>
  </si>
  <si>
    <t>TAX REVENUE</t>
  </si>
  <si>
    <t xml:space="preserve">Business Tax </t>
  </si>
  <si>
    <t>Less: Discount on Real Property Tax</t>
  </si>
  <si>
    <t>Special Education Tax</t>
  </si>
  <si>
    <t>Less: Discount on Special Education Tax</t>
  </si>
  <si>
    <t>Tax on Sand, Gravel and other Quarry Products</t>
  </si>
  <si>
    <t>Total Local Taxes</t>
  </si>
  <si>
    <t>GENERAL INCOME ACCOUNTS</t>
  </si>
  <si>
    <t>Motor Vehicles Users Charge</t>
  </si>
  <si>
    <t>Fines and Penalties - Permits and Licenses</t>
  </si>
  <si>
    <t>Total Permits and Licenses</t>
  </si>
  <si>
    <t>Athletic and Cultural Fees</t>
  </si>
  <si>
    <t>Transcript of Record Fees</t>
  </si>
  <si>
    <t>Other Services Income</t>
  </si>
  <si>
    <t>Fines and Penalties - Service Income</t>
  </si>
  <si>
    <t>Total Service Income</t>
  </si>
  <si>
    <t>Hospital Fees</t>
  </si>
  <si>
    <t xml:space="preserve">Income from Communication Facilities </t>
  </si>
  <si>
    <t>Income from Slaughterhouse</t>
  </si>
  <si>
    <t>Income from Transportation System</t>
  </si>
  <si>
    <t>Income from Waterworks System</t>
  </si>
  <si>
    <t>Net Sales Revenue</t>
  </si>
  <si>
    <t>Fines and Penalties - Business Income</t>
  </si>
  <si>
    <t>Share from Expanded Value Added Tax</t>
  </si>
  <si>
    <t>Share from Tobaco Excise Tax</t>
  </si>
  <si>
    <t>TOTAL OPERATING INCOME</t>
  </si>
  <si>
    <t>EXPENSES</t>
  </si>
  <si>
    <t>PERSONAL SERVICES</t>
  </si>
  <si>
    <t>Salaries and Wages</t>
  </si>
  <si>
    <t>Salaries and Wages - Regular</t>
  </si>
  <si>
    <t>Salaries and Wages - Military/Uniformed</t>
  </si>
  <si>
    <t>Salaries and Wages - Part-time</t>
  </si>
  <si>
    <t>Salaries and Wages - Substitute</t>
  </si>
  <si>
    <t>Salaries and Wages - Casual</t>
  </si>
  <si>
    <t>Salaries and Wages - Contractual</t>
  </si>
  <si>
    <t>Salaries and Wages - Emergency</t>
  </si>
  <si>
    <t>Other Compensation</t>
  </si>
  <si>
    <t>Subsistence, Laundry and Quarter Allowance</t>
  </si>
  <si>
    <t>Other Bonuses and Allowances</t>
  </si>
  <si>
    <t>Personnel Benefits Contributions</t>
  </si>
  <si>
    <t>Pension Benefits - Civilian</t>
  </si>
  <si>
    <t>Retirement Benefits - Civilian</t>
  </si>
  <si>
    <t>Total Personal Services</t>
  </si>
  <si>
    <t>MAINTENANCE AND OTHER OPERATING EXPENSES</t>
  </si>
  <si>
    <t>Traveling Expenses</t>
  </si>
  <si>
    <t>Traveling Expenses - Local</t>
  </si>
  <si>
    <t>Traveling Expenses - Foreign</t>
  </si>
  <si>
    <t>Training and Scholarship Expenses</t>
  </si>
  <si>
    <t>Supplies and Material Expenses</t>
  </si>
  <si>
    <t>Gasoline, Oil and Lubrication Expenses</t>
  </si>
  <si>
    <t>Utility Expenses</t>
  </si>
  <si>
    <t>Communication Expenses</t>
  </si>
  <si>
    <t>Telephone Expenses - Landline</t>
  </si>
  <si>
    <t>Telephone Expenses - Mobile</t>
  </si>
  <si>
    <t>Cable, Satelite, Telegraph and Radio Expenses</t>
  </si>
  <si>
    <t>Membership Dues and Contributions to Organizations</t>
  </si>
  <si>
    <t>Awards and Indemnities Expenses</t>
  </si>
  <si>
    <t>Advertising Expense</t>
  </si>
  <si>
    <t>Subscription Expenses</t>
  </si>
  <si>
    <t>Professional Services</t>
  </si>
  <si>
    <t>Repairs and Maintenannce</t>
  </si>
  <si>
    <t>Land and Improvements</t>
  </si>
  <si>
    <t>Repairs &amp; Maintenance-Electrification, Power &amp; Energy Structure</t>
  </si>
  <si>
    <t>Repairs &amp; Maintenance-Markets and Slaughterhouses</t>
  </si>
  <si>
    <t>Repairs &amp; Maintenance-Leasehold Improvements, Land</t>
  </si>
  <si>
    <t>Repairs &amp; Maintenance-Leasehold Improvements Buildings</t>
  </si>
  <si>
    <t>Repairs &amp; Maintenance - Office Equipment</t>
  </si>
  <si>
    <t>Repairs &amp; Maintenance - Furniture and Fixtures</t>
  </si>
  <si>
    <t>Repairs &amp; Maintenance - IT Equipment and Software</t>
  </si>
  <si>
    <t>Repairs &amp; Maintenance - Machineries</t>
  </si>
  <si>
    <t xml:space="preserve">Repairs &amp; Maintenance - Agricultural, Fishery and Forestry Equipment </t>
  </si>
  <si>
    <t>Repairs &amp; Maintenance - Communication Equipment</t>
  </si>
  <si>
    <t>Repairs &amp; Maintenance - Construction and Heavy Equipment</t>
  </si>
  <si>
    <t>Repairs &amp; Maintenance - Firefighting Equipment and Accessories</t>
  </si>
  <si>
    <t>Repairs &amp; Maintenance - Hospital Equipment</t>
  </si>
  <si>
    <t>Repairs &amp; Maintenance - Medical, Dental and Laboratory Equipment</t>
  </si>
  <si>
    <t>Repairs &amp; Maintenance - Military and Police Equipment</t>
  </si>
  <si>
    <t>Repairs &amp; Maintenance - Sports Equipment</t>
  </si>
  <si>
    <t>Repairs &amp; Maintenance - Technical and Scientific Equipment</t>
  </si>
  <si>
    <t>Repairs &amp; Maintenance - Other Machineries and Equipment</t>
  </si>
  <si>
    <t>Repairs &amp; Maintenance - Motor Vehicles</t>
  </si>
  <si>
    <t>Repairs &amp; Maintenance - Watercrafts</t>
  </si>
  <si>
    <t>Repairs &amp; Maintenance - Other Transportation Equipment</t>
  </si>
  <si>
    <t>Repairs &amp; Maintenance - Other Property, Plant and Equipment</t>
  </si>
  <si>
    <t>Repairs &amp; Maintenance - Roads, Highways and Bridges</t>
  </si>
  <si>
    <t>Repairs &amp; Maintenance - Plazas, Parks and Monuments</t>
  </si>
  <si>
    <t>Repairs &amp; Maintenance - Ports, Lighthouses and Harbors</t>
  </si>
  <si>
    <t>Repairs &amp; Maintenance - Artesian Wells, Reservoirs, Pumping</t>
  </si>
  <si>
    <t>Repairs &amp; Maintenance - Irrigation Canals and Laterals</t>
  </si>
  <si>
    <t>Repairs &amp; Maintenance - Flood Controls</t>
  </si>
  <si>
    <t>Repairs &amp; Maintenance - Waterways, Aqueducts, Seawalls,</t>
  </si>
  <si>
    <t>Repairs &amp; Maintenance - Other Public Infrastructures</t>
  </si>
  <si>
    <t>Repairs &amp; Maintenance - Reforestation - Upland</t>
  </si>
  <si>
    <t>Repairs &amp; Maintenance - Reforestation - Marshland/Swampland</t>
  </si>
  <si>
    <t>Confidential, Intelligence, Extraordinary and Miscellaneous Expenses</t>
  </si>
  <si>
    <t>Taxes, Insurance Premiums and Other Fees</t>
  </si>
  <si>
    <t xml:space="preserve">  None-Cash Expenses</t>
  </si>
  <si>
    <t>Depreciation</t>
  </si>
  <si>
    <t>Depreciation- School Buildings</t>
  </si>
  <si>
    <t>Depreciation- Hospitals and Health Centers</t>
  </si>
  <si>
    <t>Depreciation- Markets and Slaughterhouses</t>
  </si>
  <si>
    <t>Depreciation- Other Structures</t>
  </si>
  <si>
    <t>Depreciation- Leasehold Improvements, Land</t>
  </si>
  <si>
    <t>Depreciation- Leasehold Improvements, Buildings</t>
  </si>
  <si>
    <t>Depreciation- Other Leasehold Improvements</t>
  </si>
  <si>
    <t>Depreciation- Office Equipment</t>
  </si>
  <si>
    <t>Depreciation- Furniture and Fixtures</t>
  </si>
  <si>
    <t>Depreciation- IT Equipment</t>
  </si>
  <si>
    <t>Depreciation- Library Books</t>
  </si>
  <si>
    <t>Depreciation- Machineries</t>
  </si>
  <si>
    <t>Depreciation- Agricultural, Fishery and Forestry Equipment</t>
  </si>
  <si>
    <t>Depreciation- Communication Equipment</t>
  </si>
  <si>
    <t>Depreciation- Construction and Heavy Equipment</t>
  </si>
  <si>
    <t>Depreciation- Firefighting Equipment and Accessories</t>
  </si>
  <si>
    <t>Depreciation- Hospital Equipment</t>
  </si>
  <si>
    <t>Depreciation- Medical, Dental and Laboratory Equipment</t>
  </si>
  <si>
    <t>Depreciation- Military and Police Equipment</t>
  </si>
  <si>
    <t>Depreciation- Police Equipment</t>
  </si>
  <si>
    <t>Depreciation- Technical and Scientific Equipment</t>
  </si>
  <si>
    <t>Depreciation- Other Machineries and Equipment</t>
  </si>
  <si>
    <t>Depreciation- Motor Vehicles</t>
  </si>
  <si>
    <t>Depreciation- Watercrafts</t>
  </si>
  <si>
    <t>Depreciation- Other Transportation Equipment</t>
  </si>
  <si>
    <t>Depreciation- Other Property, Plant and Equipment</t>
  </si>
  <si>
    <t>INCOME FROM OPERATIONS</t>
  </si>
  <si>
    <t>FINANCIAL EXPENSES</t>
  </si>
  <si>
    <t>Income before Subsidies, Donations and Extraordinary Items</t>
  </si>
  <si>
    <t>Add:</t>
  </si>
  <si>
    <t>Subsidy from Other National Government Agencies</t>
  </si>
  <si>
    <t>Less:</t>
  </si>
  <si>
    <t>Subsidy to Gov't Owned and Controlled Corp.</t>
  </si>
  <si>
    <t>Income before Extraordinary Items</t>
  </si>
  <si>
    <t>Add (Less) Extraordinary Items:</t>
  </si>
  <si>
    <t>Gain/Loss on Foreign Exchage</t>
  </si>
  <si>
    <t xml:space="preserve">         Total Other Assets</t>
  </si>
  <si>
    <t xml:space="preserve">OTHER ASSETS </t>
  </si>
  <si>
    <t xml:space="preserve">                Add: Retained Operating Surplus:</t>
  </si>
  <si>
    <t xml:space="preserve">                Less: Transfer to Registry</t>
  </si>
  <si>
    <t xml:space="preserve">   EQUITY</t>
  </si>
  <si>
    <t xml:space="preserve">   TOTAL LIABILITIES AND EQUITY</t>
  </si>
  <si>
    <t xml:space="preserve">   DEFERRED CREDITS </t>
  </si>
  <si>
    <t xml:space="preserve">   LONG-TERM LIABILITIES </t>
  </si>
  <si>
    <t xml:space="preserve">    CURRENT LIABILITIES</t>
  </si>
  <si>
    <t>CURRENT ASSETS</t>
  </si>
  <si>
    <t>Construction in Progress - Irrigation, Canals and Laterals</t>
  </si>
  <si>
    <t>TOTAL OPERATING EXPENSES</t>
  </si>
  <si>
    <t xml:space="preserve">Local Taxes  </t>
  </si>
  <si>
    <t xml:space="preserve">Permits and Licenses  </t>
  </si>
  <si>
    <t xml:space="preserve">Service Income  </t>
  </si>
  <si>
    <t xml:space="preserve">Business Income  </t>
  </si>
  <si>
    <t xml:space="preserve">Other Income  </t>
  </si>
  <si>
    <t>Total Maintenance and Other Operating Expenses</t>
  </si>
  <si>
    <t>Subsidy Income from National Government</t>
  </si>
  <si>
    <t xml:space="preserve">       Energy Structures</t>
  </si>
  <si>
    <t>Construction in Progress</t>
  </si>
  <si>
    <t xml:space="preserve">         Restricted Fund/Cash</t>
  </si>
  <si>
    <t>Accumulated Depreciation-Electrification, Power and</t>
  </si>
  <si>
    <t xml:space="preserve">          Advances to Contractors</t>
  </si>
  <si>
    <t>Province of Leyte</t>
  </si>
  <si>
    <t xml:space="preserve">     Stations and Conduits</t>
  </si>
  <si>
    <t xml:space="preserve">     River/Walls and Others</t>
  </si>
  <si>
    <t>111-7</t>
  </si>
  <si>
    <t xml:space="preserve">         Accumulated Depreciation-Communication Eqpt.</t>
  </si>
  <si>
    <t>Province o0f Leyte</t>
  </si>
  <si>
    <t xml:space="preserve">Cash in Bank-(PNB)LARP Account </t>
  </si>
  <si>
    <t xml:space="preserve">Cash in Bank-(PNB)LGU Equity Account </t>
  </si>
  <si>
    <t>111-1B</t>
  </si>
  <si>
    <t>111-1C</t>
  </si>
  <si>
    <t>111-1A</t>
  </si>
  <si>
    <t>Cash in Bank-(PNB) 20% Development Fund Account</t>
  </si>
  <si>
    <t>Cash in Bank-(PPSB) 5% Calamity Fund Account</t>
  </si>
  <si>
    <t>111-8</t>
  </si>
  <si>
    <t>111-9</t>
  </si>
  <si>
    <t>111-10</t>
  </si>
  <si>
    <t>Cash in Bank-(LBP) Flood Control</t>
  </si>
  <si>
    <t>Cash in Bank-(LBP) Performance Challenge Fund</t>
  </si>
  <si>
    <t>Cash in Bank-(LBP) Sports Complex</t>
  </si>
  <si>
    <t>Cash in Bank-(LBP) RAY Project</t>
  </si>
  <si>
    <t>104-1</t>
  </si>
  <si>
    <t>104-2</t>
  </si>
  <si>
    <t>Petty Cash Fund (AICS)</t>
  </si>
  <si>
    <t>Petty Cash Fund (GF)</t>
  </si>
  <si>
    <t>Prepayments</t>
  </si>
  <si>
    <t>Cash in Bank-(LBP) SALINTUBIG</t>
  </si>
  <si>
    <t>111-11</t>
  </si>
  <si>
    <t>Cash in Bank-(LBP) GPBP</t>
  </si>
  <si>
    <t>111-12</t>
  </si>
  <si>
    <t>Account Code</t>
  </si>
  <si>
    <t>Prepared by:</t>
  </si>
  <si>
    <t>PROPERTY, PLANT AND EQUIPMENT (Net of Depreciation)</t>
  </si>
  <si>
    <t>For the Year Ended December 31, 2015</t>
  </si>
  <si>
    <t>(With Comparative Figures for CY 2014)</t>
  </si>
  <si>
    <t>As of December 31, 2015</t>
  </si>
  <si>
    <t>111-13</t>
  </si>
  <si>
    <t>Cash in Bank-(LBP) BRGY.FACILITIES (RAY)</t>
  </si>
  <si>
    <t>Market &amp; SlaughterHouses</t>
  </si>
  <si>
    <t xml:space="preserve">Construction in Progress-Artesian Wells, Reservoirs, </t>
  </si>
  <si>
    <t xml:space="preserve">     Pumping Stations &amp; Conduits</t>
  </si>
  <si>
    <t>Public Infrastractures</t>
  </si>
  <si>
    <t>01</t>
  </si>
  <si>
    <t>Cash on Hand</t>
  </si>
  <si>
    <t>010</t>
  </si>
  <si>
    <t>Cash Local Treasury</t>
  </si>
  <si>
    <t>020</t>
  </si>
  <si>
    <t>Petty Cash</t>
  </si>
  <si>
    <t>02</t>
  </si>
  <si>
    <t>Cash in Bank - Local Currency</t>
  </si>
  <si>
    <t>Cash in Bank - Local Currency, Current Account</t>
  </si>
  <si>
    <t>Cash in Bank - Local Currency, Savings Account</t>
  </si>
  <si>
    <t>03</t>
  </si>
  <si>
    <t>Cash in Bank - Foreign Currency</t>
  </si>
  <si>
    <t>Cash in Bank - Foreign Currency, Current Account</t>
  </si>
  <si>
    <t>Cash in Bank - Foreign Currency, Savings Account</t>
  </si>
  <si>
    <t>Investments</t>
  </si>
  <si>
    <t>Investments in Time Deposits</t>
  </si>
  <si>
    <t>Cash in Bank -Local Currency, Time Deposits</t>
  </si>
  <si>
    <t>Cash in Bank - Foreign Currency, Time Deposits</t>
  </si>
  <si>
    <t>030</t>
  </si>
  <si>
    <t>Treasury Bills</t>
  </si>
  <si>
    <t>Financial  Assets at Fair Value Through Surplus or Deficit</t>
  </si>
  <si>
    <t>Financial Assets Held for Trading</t>
  </si>
  <si>
    <t>Financial  Assets Designated at Fair Value Through Surplus or Deficit</t>
  </si>
  <si>
    <t xml:space="preserve">Financial Assets - Held to Maturity </t>
  </si>
  <si>
    <t>Investments in Treasury Bills - Local</t>
  </si>
  <si>
    <t>011</t>
  </si>
  <si>
    <t>Allowance for Impairment - Investments in Treasury Bills - Local</t>
  </si>
  <si>
    <t>Investments in  Bonds-Local</t>
  </si>
  <si>
    <t>021</t>
  </si>
  <si>
    <t>Allowance for Impairment - Investments in Bonds - Local</t>
  </si>
  <si>
    <t>04</t>
  </si>
  <si>
    <t>Financial Assets - Available for Sale</t>
  </si>
  <si>
    <t>05</t>
  </si>
  <si>
    <t>Financial Assets - Others</t>
  </si>
  <si>
    <t>Deposits on Letters of Credit</t>
  </si>
  <si>
    <t>Allowance for Impairment - Deposits in Letters of Credit</t>
  </si>
  <si>
    <t>Allowance for Impairment - Guaranty Deposits</t>
  </si>
  <si>
    <t>990</t>
  </si>
  <si>
    <t>Other Investments</t>
  </si>
  <si>
    <t>991</t>
  </si>
  <si>
    <t>Allowance for Impairment - Other Investments</t>
  </si>
  <si>
    <t>06</t>
  </si>
  <si>
    <t>Investments in Joint Venture</t>
  </si>
  <si>
    <t>Allowance for Impairment - Investments in Joint Venture</t>
  </si>
  <si>
    <t>07</t>
  </si>
  <si>
    <t>Loans and Receivable Accounts</t>
  </si>
  <si>
    <t>Allowance for Impairment - Accounts Receivable</t>
  </si>
  <si>
    <t>Allowance for Impairment - RPT Receivable</t>
  </si>
  <si>
    <t>031</t>
  </si>
  <si>
    <t>Allowance for Impairment - SET Receivable</t>
  </si>
  <si>
    <t>040</t>
  </si>
  <si>
    <t>Notes Receivable</t>
  </si>
  <si>
    <t>041</t>
  </si>
  <si>
    <t>Allowance for Impairment - Notes Receivable</t>
  </si>
  <si>
    <t>050</t>
  </si>
  <si>
    <t xml:space="preserve">Loans Receivable - Government-Owned and/or Controlled Corporations </t>
  </si>
  <si>
    <t>051</t>
  </si>
  <si>
    <t xml:space="preserve">Allowance for Impairment - Loans Receivable - Government-Owned and/or Controlled Corporations </t>
  </si>
  <si>
    <t>060</t>
  </si>
  <si>
    <t>Loans Receivable - Local Government Units</t>
  </si>
  <si>
    <t>061</t>
  </si>
  <si>
    <t>Allowance for Impairment  - Loans Receivable - Local Government Units</t>
  </si>
  <si>
    <t>070</t>
  </si>
  <si>
    <t>071</t>
  </si>
  <si>
    <t>Allowance for Impairment - Interests Receivable</t>
  </si>
  <si>
    <t>080</t>
  </si>
  <si>
    <t>Dividends Receivable</t>
  </si>
  <si>
    <t>081</t>
  </si>
  <si>
    <t>Allowance for Impairment - Dividends Receivable</t>
  </si>
  <si>
    <t>Loans Receivable - Others</t>
  </si>
  <si>
    <t>Allowance for Impairment - Loans Receivable - Others</t>
  </si>
  <si>
    <t>Lease  Receivables</t>
  </si>
  <si>
    <t>Operating Lease  Receivable</t>
  </si>
  <si>
    <t>Allowance for Impairment - Operating Lease Receivable</t>
  </si>
  <si>
    <t>Finance Lease Receivable</t>
  </si>
  <si>
    <t>Allowance for Impairment - Finance Lease Receivable</t>
  </si>
  <si>
    <t>Inter-Agency Receivables</t>
  </si>
  <si>
    <t>Due from National Government Agencies</t>
  </si>
  <si>
    <t>Allowance for Impairment - Due from National Government Agencies</t>
  </si>
  <si>
    <t>Due from Government-Owned and/or Controlled Corporations</t>
  </si>
  <si>
    <t>Allowance for Impairment - Due from GOCCs</t>
  </si>
  <si>
    <t>Due from Local Government Units</t>
  </si>
  <si>
    <t>Allowance for Impairment - Due from LGUs</t>
  </si>
  <si>
    <t>Due from Joint Venture</t>
  </si>
  <si>
    <t>Allowance for Impairment - Due from Joint Venture</t>
  </si>
  <si>
    <t>Intra-Agency Receivables</t>
  </si>
  <si>
    <t xml:space="preserve">Due from Special Accounts </t>
  </si>
  <si>
    <t>Due from Local Economic Enterprise</t>
  </si>
  <si>
    <t>Advances</t>
  </si>
  <si>
    <t>Advances for Operating Expenses</t>
  </si>
  <si>
    <t>Advances for Payroll</t>
  </si>
  <si>
    <t>Advances to Special Disbursing Officer</t>
  </si>
  <si>
    <t>Advances for Officers and Employees</t>
  </si>
  <si>
    <t xml:space="preserve">Other Receivables </t>
  </si>
  <si>
    <t>Receivables - Disallowances/Charges</t>
  </si>
  <si>
    <t>Allowance for Impairment - Receivables- Disallowances/Charges</t>
  </si>
  <si>
    <t>Allowance for Impairment - Due from Officers and Employees</t>
  </si>
  <si>
    <t>Due from Non-Government Organizations/People's Organizations</t>
  </si>
  <si>
    <t>Allowance for Impairment - Due from Non-Government Organizations/People's Organizations</t>
  </si>
  <si>
    <t>Allowance for Impairment - Other Receivables</t>
  </si>
  <si>
    <t>Inventory Held for Sale</t>
  </si>
  <si>
    <t>Inventory Held for Distribution</t>
  </si>
  <si>
    <t>Food Supplies for Distribution</t>
  </si>
  <si>
    <t>Welfare Goods for Distribution</t>
  </si>
  <si>
    <t>Drugs and Medicines for Distribution</t>
  </si>
  <si>
    <t>Medical, Dental and Laboratory Supplies for Distribution</t>
  </si>
  <si>
    <t>Agricultural and Marine Supplies for Distribution</t>
  </si>
  <si>
    <t>Agricultural Produce for Distribution</t>
  </si>
  <si>
    <t>Textbooks and Instructional Materials for Distribution</t>
  </si>
  <si>
    <t>Construction Materials for Distribution</t>
  </si>
  <si>
    <t>090</t>
  </si>
  <si>
    <t>Property and Equipment for Distribution</t>
  </si>
  <si>
    <t>Other Supplies and Materials for Distribution</t>
  </si>
  <si>
    <t>Inventory Held for Manufacturing</t>
  </si>
  <si>
    <t>Work-in-Process Inventory</t>
  </si>
  <si>
    <t>Inventory Held for Consumption</t>
  </si>
  <si>
    <t xml:space="preserve">Accountable Forms, Plates and Stickers </t>
  </si>
  <si>
    <t>Non-Accountable Forms Inventory</t>
  </si>
  <si>
    <t>Fuel, Oil and Lubricants Inventory</t>
  </si>
  <si>
    <t>Agricultural and Marine Supplies Inventory</t>
  </si>
  <si>
    <t>100</t>
  </si>
  <si>
    <t>110</t>
  </si>
  <si>
    <t>Military, Police and Traffic Supplies Inventory</t>
  </si>
  <si>
    <t>120</t>
  </si>
  <si>
    <t>Chemical and Filtering Supplies Inventory</t>
  </si>
  <si>
    <t>130</t>
  </si>
  <si>
    <t>Other Supplies and Materials Inventory</t>
  </si>
  <si>
    <t xml:space="preserve">Prepayments and Deferred Charges </t>
  </si>
  <si>
    <t>Prepaid Registration</t>
  </si>
  <si>
    <t>Other Prepayments</t>
  </si>
  <si>
    <t>Deferred Charges</t>
  </si>
  <si>
    <t>Discount on Advance Payments</t>
  </si>
  <si>
    <t>Investment Property</t>
  </si>
  <si>
    <t>Land and Buildings</t>
  </si>
  <si>
    <t>Investment Property,  Land</t>
  </si>
  <si>
    <t xml:space="preserve">Accumulated Impairment Losses - Investment Property,  Land </t>
  </si>
  <si>
    <t>Investment Property, Buildings</t>
  </si>
  <si>
    <t>Accumulated Depreciation - Investment Property, Buildings</t>
  </si>
  <si>
    <t>022</t>
  </si>
  <si>
    <t>Accumulated Impairment Losses - Investment Property,  Buildings</t>
  </si>
  <si>
    <t>Construction in Progress - Investment Property, Buildings</t>
  </si>
  <si>
    <t xml:space="preserve">Accumulated Impairment Losses - Land </t>
  </si>
  <si>
    <t>Land Improvements,  Aquaculture Structures</t>
  </si>
  <si>
    <t>Accumulated Depreciation - Land Improvements, Aquaculture Structures</t>
  </si>
  <si>
    <t>012</t>
  </si>
  <si>
    <t>Accumulated Impairment Losses - Land Improvements, Aquaculture Structures</t>
  </si>
  <si>
    <t>Other Land Improvements</t>
  </si>
  <si>
    <t>Accumulated Depreciation - Other Land Improvements</t>
  </si>
  <si>
    <t>992</t>
  </si>
  <si>
    <t>Accumulated Impairment Losses - Other Land Improvements</t>
  </si>
  <si>
    <t>Infrastructure Assets</t>
  </si>
  <si>
    <t>Road Networks</t>
  </si>
  <si>
    <t>Accumulated Depreciation - Road Networks</t>
  </si>
  <si>
    <t>Accumulated Impairment Losses - Road Networks</t>
  </si>
  <si>
    <t>Flood Control Systems</t>
  </si>
  <si>
    <t>Accumulated Depreciation - Flood Control Systems</t>
  </si>
  <si>
    <t>Accumulated Impairment Losses - Flood Control Systems</t>
  </si>
  <si>
    <t>Sewer Systems</t>
  </si>
  <si>
    <t>Accumulated Depreciation - Sewer Systems</t>
  </si>
  <si>
    <t>032</t>
  </si>
  <si>
    <t>Accumulated Impairment Losses - Sewer Systems</t>
  </si>
  <si>
    <t>Water Supply Systems</t>
  </si>
  <si>
    <t>Accumulated Depreciation - Water Supply Systems</t>
  </si>
  <si>
    <t>042</t>
  </si>
  <si>
    <t>Accumulated Impairment Losses - Water Supply Systems</t>
  </si>
  <si>
    <t>Power Supply Systems</t>
  </si>
  <si>
    <t>Accumulated Depreciation - Power Supply Systems</t>
  </si>
  <si>
    <t>052</t>
  </si>
  <si>
    <t>Accumulated Impairment Losses - Power Supply Systems</t>
  </si>
  <si>
    <t>Communication Networks</t>
  </si>
  <si>
    <t>Accumulated Depreciation - Communication Networks</t>
  </si>
  <si>
    <t>062</t>
  </si>
  <si>
    <t>Accumulated Impairment Losses - Communication Networks</t>
  </si>
  <si>
    <t>Seaport Systems</t>
  </si>
  <si>
    <t>Accumulated Depreciation - Seaport Systems</t>
  </si>
  <si>
    <t>072</t>
  </si>
  <si>
    <t>Accumulated Impairment Losses - Seaport Systems</t>
  </si>
  <si>
    <t>Airport Systems</t>
  </si>
  <si>
    <t>Accumulated Depreciation - Airport Systems</t>
  </si>
  <si>
    <t>082</t>
  </si>
  <si>
    <t>Accumulated Impairment Losses - Airport Systems</t>
  </si>
  <si>
    <t>091</t>
  </si>
  <si>
    <t>Accumulated Depreciation - Parks, Plazas and Monuments</t>
  </si>
  <si>
    <t>092</t>
  </si>
  <si>
    <t>Accumulated Impairment Losses - Parks, Plazas and Monuments</t>
  </si>
  <si>
    <t>Other Infrastructure Assets</t>
  </si>
  <si>
    <t>Accumulated Depreciation - Other Infrastructure Assets</t>
  </si>
  <si>
    <t>Accumulated Impairment Losses - Other Infrastructure Assets</t>
  </si>
  <si>
    <t>Buildings and Other Structures</t>
  </si>
  <si>
    <t>Accumulated Depreciation - Buildings</t>
  </si>
  <si>
    <t>Accumulated Impairment Losses - Buildings</t>
  </si>
  <si>
    <t xml:space="preserve">School Buildings </t>
  </si>
  <si>
    <t xml:space="preserve">Accumulated Depreciation - School Buildings </t>
  </si>
  <si>
    <t>Accumulated Impairment Losses - School Buildings</t>
  </si>
  <si>
    <t>Accumulated Depreciation - Hospitals and Health Centers</t>
  </si>
  <si>
    <t>Accumulated Impairment Losses - Hospitals and Health Centers</t>
  </si>
  <si>
    <t>Markets</t>
  </si>
  <si>
    <t xml:space="preserve">Accumulated Depreciation - Markets </t>
  </si>
  <si>
    <t>Accumulated Impairment Losses - Markets</t>
  </si>
  <si>
    <t>Accumulated Depreciation - Slaughterhouses</t>
  </si>
  <si>
    <t>Accumulated Impairment Losses- Slaughterhouses</t>
  </si>
  <si>
    <t>Hostels and Dormitories</t>
  </si>
  <si>
    <t>Accumulated Depreciation - Hostels and Dormitories</t>
  </si>
  <si>
    <t>Accumulated Impairment Losses - Hostels and Dormitories</t>
  </si>
  <si>
    <t>Accumulated Depreciation - Other Structures</t>
  </si>
  <si>
    <t>Accumulated Impairment Losses - Other Structures</t>
  </si>
  <si>
    <t xml:space="preserve"> Machinery  and Equipment </t>
  </si>
  <si>
    <t xml:space="preserve">Accumulated Depreciation - Machinery </t>
  </si>
  <si>
    <t>Accumulated Impairment Losses - Machinery</t>
  </si>
  <si>
    <t>Accumulated Depreciation - Office Equipment</t>
  </si>
  <si>
    <t>Accumulated Impairment Losses - Office Equipment</t>
  </si>
  <si>
    <t xml:space="preserve">Information and Communication Technology  Equipment </t>
  </si>
  <si>
    <t xml:space="preserve">Accumulated Depreciation - Information and Communication Technology  Equipment </t>
  </si>
  <si>
    <t>Accumulated Impairment Losses - Information and Communication Technology  Equipment</t>
  </si>
  <si>
    <t>Agricultural and  Forestry Equipment</t>
  </si>
  <si>
    <t xml:space="preserve">Accumulated Depreciation - Agricultural  and Forestry Equipment </t>
  </si>
  <si>
    <t xml:space="preserve">Accumulated Impairment Losses - Agricultural  and Forestry Equipment </t>
  </si>
  <si>
    <t>Marine and Fishery Equipment</t>
  </si>
  <si>
    <t xml:space="preserve">Accumulated Depreciation - Marine and Fishery Equipment </t>
  </si>
  <si>
    <t xml:space="preserve">Accumulated Impairment Losses - Marine and Fishery Equipment </t>
  </si>
  <si>
    <t>Airport Equipment</t>
  </si>
  <si>
    <t>Accumulated Depreciation - Airport Equipment</t>
  </si>
  <si>
    <t>Accumulated Impairment Losses - Airport Equipment</t>
  </si>
  <si>
    <t>Accumulated Depreciation - Communication Equipment</t>
  </si>
  <si>
    <t>Accumulated Impairment Losses - Communication Equipment</t>
  </si>
  <si>
    <t>Accumulated Depreciation - Construction and Heavy Equipment</t>
  </si>
  <si>
    <t>Accumulated Impairment Losses - Construction and Heavy Equipment</t>
  </si>
  <si>
    <t>Disaster Response and Rescue Equipment</t>
  </si>
  <si>
    <t>Accumulated Depreciation - Disaster Response and Rescue Equipment</t>
  </si>
  <si>
    <t>Accumulated Impairment Losses - Disaster Response and Rescue Equipment</t>
  </si>
  <si>
    <t xml:space="preserve">Military, Police and Security Equipment </t>
  </si>
  <si>
    <t>101</t>
  </si>
  <si>
    <t>Accumulated Depreciation - Military, Police and Security Equipment</t>
  </si>
  <si>
    <t>102</t>
  </si>
  <si>
    <t>Accumulated Impairment Losses - Military, Police and Security Equipment</t>
  </si>
  <si>
    <t>Medical Equipment</t>
  </si>
  <si>
    <t>111</t>
  </si>
  <si>
    <t>Accumulated Depreciation - Medical Equipment</t>
  </si>
  <si>
    <t>112</t>
  </si>
  <si>
    <t>Accumulated Impairment Losses - Medical Equipment</t>
  </si>
  <si>
    <t>Printing Equipment</t>
  </si>
  <si>
    <t>121</t>
  </si>
  <si>
    <t>Accumulated Depreciation - Printing Equipment</t>
  </si>
  <si>
    <t>122</t>
  </si>
  <si>
    <t>Accumulated Impairment Losses - Printing Equipment</t>
  </si>
  <si>
    <t>131</t>
  </si>
  <si>
    <t>Accumulated Depreciation - Sports Equipment</t>
  </si>
  <si>
    <t>132</t>
  </si>
  <si>
    <t>Accumulated Impairment Losses - Sports Equipment</t>
  </si>
  <si>
    <t>140</t>
  </si>
  <si>
    <t xml:space="preserve">Technical and Scientific  Equipment </t>
  </si>
  <si>
    <t>141</t>
  </si>
  <si>
    <t>Accumulated Depreciation - Technical and Scientific  Equipment</t>
  </si>
  <si>
    <t>142</t>
  </si>
  <si>
    <t>Accumulated Impairment Losses - Technical and Scientific  Equipment</t>
  </si>
  <si>
    <t xml:space="preserve">Other Machinery and Equipment </t>
  </si>
  <si>
    <t xml:space="preserve">Accumulated Depreciation - Other Machinery and Equipment </t>
  </si>
  <si>
    <t xml:space="preserve">Accumulated Impairment Losses - Other Machinery and Equipment </t>
  </si>
  <si>
    <t>Accumulated Depreciation - Motor Vehicles</t>
  </si>
  <si>
    <t>Accumulated Impairment Losses - Motor Vehicles</t>
  </si>
  <si>
    <t>Trains</t>
  </si>
  <si>
    <t>Accumulated Depreciation - Trains</t>
  </si>
  <si>
    <t>Accumulated Impairment Losses - Trains</t>
  </si>
  <si>
    <t>Aircrafts and Aircrafts Ground Equipment</t>
  </si>
  <si>
    <t>Accumulated Depreciation - Aircrafts and Aircrafts Ground Equipment</t>
  </si>
  <si>
    <t>Accumulated Impairment Losses - Aircrafts and Aircrafts Ground Equipment</t>
  </si>
  <si>
    <t>Accumulated Depreciation - Watercrafts</t>
  </si>
  <si>
    <t xml:space="preserve">Accumulated Impairment Losses - Watercrafts </t>
  </si>
  <si>
    <t>Accumulated Depreciation - Other Transportation Equipment</t>
  </si>
  <si>
    <t>Accumulated Impairment Losses - Other Transportation Equipment</t>
  </si>
  <si>
    <t xml:space="preserve">Furniture, Fixtures and Books  </t>
  </si>
  <si>
    <t xml:space="preserve">Furniture and Fixtures </t>
  </si>
  <si>
    <t>Accumulated Depreciation - Furniture and Fixtures</t>
  </si>
  <si>
    <t>Accumulated Impairment Losses - Furniture and Fixtures</t>
  </si>
  <si>
    <t xml:space="preserve">Books </t>
  </si>
  <si>
    <t>Accumulated Depreciation - Books</t>
  </si>
  <si>
    <t>Accumulated Impairment Losses - Books</t>
  </si>
  <si>
    <t>08</t>
  </si>
  <si>
    <t>Leased Assets</t>
  </si>
  <si>
    <t>Leased Assets, Land</t>
  </si>
  <si>
    <t>Accumulated Impairment Losses-Leased Assets, Land</t>
  </si>
  <si>
    <t>Leased Assets,  Buildings and Other Structures</t>
  </si>
  <si>
    <t>Accumulated Depreciation - Leased Assets,  Buildings and Other Structures</t>
  </si>
  <si>
    <t>Accumulated Impairment Losses - Leased Assets, Buildings and Other Structures</t>
  </si>
  <si>
    <t>Leased Assets,  Machinery and Equipment</t>
  </si>
  <si>
    <t>Accumulated Depreciation - Leased Assets, Machinery and Equipment</t>
  </si>
  <si>
    <t>Accumulated Impairment Losses - Leased Assets,  Machinery and Equipment</t>
  </si>
  <si>
    <t>Leased Assets, Transportation Equipment</t>
  </si>
  <si>
    <t>Accumulated Depreciation - Leased Assets, Transportation Equipment</t>
  </si>
  <si>
    <t>Accumulated Impairment Losses - Leased Assets,  Transportation Equipment</t>
  </si>
  <si>
    <t>Other Leased Assets</t>
  </si>
  <si>
    <t>Accumulated Depreciation - Other Leased Assets</t>
  </si>
  <si>
    <t>Accumulated Impairment Losses - Other Leased Assets</t>
  </si>
  <si>
    <t>09</t>
  </si>
  <si>
    <t>Leased Assets Improvements</t>
  </si>
  <si>
    <t>Leased Assets Improvements, Land</t>
  </si>
  <si>
    <t>Accumulated Depreciation - Leased Assets Improvements, Land</t>
  </si>
  <si>
    <t>Accumulated Impairment Losses - Leased Assets Improvements, Land</t>
  </si>
  <si>
    <t>Leased Assets Improvements, Buildings</t>
  </si>
  <si>
    <t>Accumulated Depreciation - Leased Assets Improvements, Buildings</t>
  </si>
  <si>
    <t>Accumulated Impairment Losses - Leased Assets Improvements, Buildings</t>
  </si>
  <si>
    <t>Other Leased Assets Improvements</t>
  </si>
  <si>
    <t>Accumulated Depreciation - Other Leased Assets Improvements</t>
  </si>
  <si>
    <t>Accumulated Impairment Losses - Other Leased Assets Improvements</t>
  </si>
  <si>
    <t>10</t>
  </si>
  <si>
    <t>Construction in Progress - Land Improvements</t>
  </si>
  <si>
    <t xml:space="preserve">Construction in Progress - Infrastructure Assets </t>
  </si>
  <si>
    <t>Construction in Progress - Buildings and Other Structures</t>
  </si>
  <si>
    <t xml:space="preserve">Construction in Progress - Leased Assets </t>
  </si>
  <si>
    <t xml:space="preserve">Construction in Progress - Leased Assets Improvements </t>
  </si>
  <si>
    <t>11</t>
  </si>
  <si>
    <t>Service Concession Assets</t>
  </si>
  <si>
    <t>Accumulated Depreciation - Service Concession Assets</t>
  </si>
  <si>
    <t>Accumulated Impairment Losses - Service Concession Assets</t>
  </si>
  <si>
    <t>99</t>
  </si>
  <si>
    <t>Work/Zoo Animals</t>
  </si>
  <si>
    <t>Accumulated Depreciation - Work/Zoo Animals</t>
  </si>
  <si>
    <t>Accumulated Impairment Losses - Work/Zoo Animals</t>
  </si>
  <si>
    <t>Accumulated Depreciation - Other Property, Plant and Equipment</t>
  </si>
  <si>
    <t>Accumulated Impairment Losses - Other Property, Plant and Equipment</t>
  </si>
  <si>
    <t>Biological Assets</t>
  </si>
  <si>
    <t>Bearer Biological Assets</t>
  </si>
  <si>
    <t xml:space="preserve">Plants and Trees </t>
  </si>
  <si>
    <t>Aquaculture</t>
  </si>
  <si>
    <t>Other Bearer Biological Assets</t>
  </si>
  <si>
    <t>Intangible Assets</t>
  </si>
  <si>
    <t>Patents/Copyrights</t>
  </si>
  <si>
    <t>Accumulated Amortization - Patents/Copyrights</t>
  </si>
  <si>
    <t>Accumulated Impairment - Patents/Copyrights</t>
  </si>
  <si>
    <t>Computer Software</t>
  </si>
  <si>
    <t>Accumulated Amortization - Computer Software</t>
  </si>
  <si>
    <t>Accumulated Impairment - Computer Software</t>
  </si>
  <si>
    <t>Other Intangible Assets</t>
  </si>
  <si>
    <t>Accumulated Amortization - Other Intangible Assets</t>
  </si>
  <si>
    <t>Accumulated Impairment - Other Intangible Assets</t>
  </si>
  <si>
    <t>Service Concession Assets - Intangible Assets</t>
  </si>
  <si>
    <t>Payables</t>
  </si>
  <si>
    <t>Operating Lease Payable</t>
  </si>
  <si>
    <t>Finance Lease Payable</t>
  </si>
  <si>
    <t>Awards and Rewards Payable</t>
  </si>
  <si>
    <t>2</t>
  </si>
  <si>
    <t>Service Concession Arrangement Payable</t>
  </si>
  <si>
    <t>Pension Benefits Payable</t>
  </si>
  <si>
    <t>Leave Benefits Payable</t>
  </si>
  <si>
    <t>Retirement Gratuity Payable</t>
  </si>
  <si>
    <t>Bills/Bonds/Loans Payable</t>
  </si>
  <si>
    <t>Discount on Bonds Payable - Domestic</t>
  </si>
  <si>
    <t>Premium on Bonds Payable - Domestic</t>
  </si>
  <si>
    <t>Inter-Agency Payables</t>
  </si>
  <si>
    <t>Due to Pag-IBIG</t>
  </si>
  <si>
    <t>Due to NGAs</t>
  </si>
  <si>
    <t>Due to GOCCs</t>
  </si>
  <si>
    <t>Due to Joint Venture</t>
  </si>
  <si>
    <t>Intra-Agency Payables</t>
  </si>
  <si>
    <t>Due to Special Accounts</t>
  </si>
  <si>
    <t>Due to Economic Enterprises</t>
  </si>
  <si>
    <t>Trust Liabilities</t>
  </si>
  <si>
    <t>Trust Liabilities - Disaster Risk Reduction and Management Fund</t>
  </si>
  <si>
    <t>Bail Bonds Payable</t>
  </si>
  <si>
    <t xml:space="preserve">Guaranty/Security Deposits Payable </t>
  </si>
  <si>
    <t>Customers' Deposits Payable</t>
  </si>
  <si>
    <t>Deferred Credits/Unearned Income</t>
  </si>
  <si>
    <t>Deferred Credits</t>
  </si>
  <si>
    <t>Deferred Real Property Tax</t>
  </si>
  <si>
    <t>Deferred Special Education Tax</t>
  </si>
  <si>
    <t>Deferred Finance Lease Revenue</t>
  </si>
  <si>
    <t>Deferred Service Concession Revenue</t>
  </si>
  <si>
    <t xml:space="preserve">Unearned Revenue - Investment Property </t>
  </si>
  <si>
    <t xml:space="preserve">Other Deferred Credits </t>
  </si>
  <si>
    <t>Provisions</t>
  </si>
  <si>
    <t>Termination Benefits</t>
  </si>
  <si>
    <t>Other Provisions</t>
  </si>
  <si>
    <t>EQUITY</t>
  </si>
  <si>
    <t xml:space="preserve">Government Equity  </t>
  </si>
  <si>
    <t>Prior Period Adjustment</t>
  </si>
  <si>
    <t>Equity in Joint Venture</t>
  </si>
  <si>
    <t>Tax Revenue</t>
  </si>
  <si>
    <t>Tax Revenue - Individual and Corporation</t>
  </si>
  <si>
    <t xml:space="preserve">Professional Tax </t>
  </si>
  <si>
    <t xml:space="preserve">Community Tax </t>
  </si>
  <si>
    <t>Tax Revenue - Property</t>
  </si>
  <si>
    <t>Real Property Tax- Basic</t>
  </si>
  <si>
    <t>Discount on Real Property Tax- Basic</t>
  </si>
  <si>
    <t>Special Levy on Idle Lands</t>
  </si>
  <si>
    <t>Special Levy on Lands Benefited by Public Works Projects</t>
  </si>
  <si>
    <t>Real Property Transfer Tax</t>
  </si>
  <si>
    <t>Tax Revenue - Goods and Services</t>
  </si>
  <si>
    <t xml:space="preserve">Business Tax  </t>
  </si>
  <si>
    <t xml:space="preserve">Tax on Sand, Gravel and Other Quarry Products </t>
  </si>
  <si>
    <t xml:space="preserve">Tax on Delivery  Trucks and Vans </t>
  </si>
  <si>
    <t xml:space="preserve">Amusement Tax </t>
  </si>
  <si>
    <t xml:space="preserve">Franchise Tax  </t>
  </si>
  <si>
    <t xml:space="preserve">Printing and Publication Tax </t>
  </si>
  <si>
    <t>Tax Revenue - Others</t>
  </si>
  <si>
    <t>Other Taxes</t>
  </si>
  <si>
    <t>Tax Revenue - Fines and Penalties</t>
  </si>
  <si>
    <t>Tax Revenue - Fines and Penalties - Taxes on Individual and Corporation</t>
  </si>
  <si>
    <t>Tax Revenue - Fines and Penalties - Property Taxes</t>
  </si>
  <si>
    <t>Tax Revenue - Fines and Penalties - Taxes on Goods and Services</t>
  </si>
  <si>
    <t>Tax Revenue - Fines and Penalties - Other Taxes</t>
  </si>
  <si>
    <t>Share from National Taxes</t>
  </si>
  <si>
    <t>Share from Internal Revenue Collections (IRA)</t>
  </si>
  <si>
    <t xml:space="preserve">Share from Expanded Value Added Tax </t>
  </si>
  <si>
    <t>Share from Tobacco Excise Tax (RA 7171 and 8240)</t>
  </si>
  <si>
    <t>Service and Business Income</t>
  </si>
  <si>
    <t>Service Income</t>
  </si>
  <si>
    <t>Registration Plates, Tags and Stickers Fees</t>
  </si>
  <si>
    <t>Supervision and Regulation Enforcement Fees</t>
  </si>
  <si>
    <t>Verification and Authentication Fees</t>
  </si>
  <si>
    <t>Occupation Fees</t>
  </si>
  <si>
    <t>150</t>
  </si>
  <si>
    <t>160</t>
  </si>
  <si>
    <t>Fees for Sealing  and Licensing of Weights and Measures</t>
  </si>
  <si>
    <t>980</t>
  </si>
  <si>
    <t xml:space="preserve">Fines and Penalties - Service Income </t>
  </si>
  <si>
    <t>Business Income</t>
  </si>
  <si>
    <t>School Fees</t>
  </si>
  <si>
    <t>Seminar/Training Fees</t>
  </si>
  <si>
    <r>
      <t>Rent</t>
    </r>
    <r>
      <rPr>
        <sz val="10"/>
        <rFont val="Arial"/>
      </rPr>
      <t xml:space="preserve"> Income </t>
    </r>
  </si>
  <si>
    <t xml:space="preserve">Communication Network Fees </t>
  </si>
  <si>
    <t xml:space="preserve">Transportation System Fees </t>
  </si>
  <si>
    <t xml:space="preserve">Road Network  Fees </t>
  </si>
  <si>
    <t xml:space="preserve">Waterworks System Fees </t>
  </si>
  <si>
    <t>Power Supply System Fees</t>
  </si>
  <si>
    <t xml:space="preserve">Seaport  System Fees </t>
  </si>
  <si>
    <t xml:space="preserve">Parking Fees </t>
  </si>
  <si>
    <t>Receipts  from Operation of Hostels/Dormitories and Other Like Facilities</t>
  </si>
  <si>
    <t>Receipt from Market Operations</t>
  </si>
  <si>
    <t xml:space="preserve">Receipt from Slaughterhouse Operation </t>
  </si>
  <si>
    <t>Receipt from Cemetery Operations</t>
  </si>
  <si>
    <t>170</t>
  </si>
  <si>
    <t xml:space="preserve">Income from Printing and Publication </t>
  </si>
  <si>
    <t>180</t>
  </si>
  <si>
    <t>181</t>
  </si>
  <si>
    <t>Sales Discounts</t>
  </si>
  <si>
    <t>190</t>
  </si>
  <si>
    <t>200</t>
  </si>
  <si>
    <t>210</t>
  </si>
  <si>
    <t>220</t>
  </si>
  <si>
    <t xml:space="preserve">Interest Income </t>
  </si>
  <si>
    <t>230</t>
  </si>
  <si>
    <t>Service Concession Revenue</t>
  </si>
  <si>
    <t>240</t>
  </si>
  <si>
    <t>Other Service Concession Revenue</t>
  </si>
  <si>
    <t>250</t>
  </si>
  <si>
    <t>Lease Revenue</t>
  </si>
  <si>
    <t>260</t>
  </si>
  <si>
    <t>Share in the Profit of Joint Venture</t>
  </si>
  <si>
    <t xml:space="preserve">Fines and Penalties - Business Income </t>
  </si>
  <si>
    <t>Assistance and Subsidy</t>
  </si>
  <si>
    <t>Subsidy from National Government</t>
  </si>
  <si>
    <t>Subsidy  from Local Government Units</t>
  </si>
  <si>
    <t xml:space="preserve">Subsidy from Government-Owned and/or Controlled Corporations </t>
  </si>
  <si>
    <t>Subsidy from General Fund Proper/Other Special Accounts</t>
  </si>
  <si>
    <t>Subsidy from Other Local Economic Enterprise</t>
  </si>
  <si>
    <t>Transfers</t>
  </si>
  <si>
    <t>Transfers from General Fund as Project Equity Share</t>
  </si>
  <si>
    <t xml:space="preserve">Transfers from General Fund of Unspent DRRMF </t>
  </si>
  <si>
    <t>Shares, Grants and Donations</t>
  </si>
  <si>
    <t>Share</t>
  </si>
  <si>
    <t>Share from PAGCOR</t>
  </si>
  <si>
    <t>Share from PCSO</t>
  </si>
  <si>
    <t>Grants and Donations</t>
  </si>
  <si>
    <t>Grants and Donations in Cash</t>
  </si>
  <si>
    <t xml:space="preserve">Grants and Donations in Kind </t>
  </si>
  <si>
    <t>Grants from Concessionary loans</t>
  </si>
  <si>
    <t>Gains</t>
  </si>
  <si>
    <t>Gain from Changes in Fair Value of Financial Instruments</t>
  </si>
  <si>
    <t>Gain on Foreign Exchange (FOREX)</t>
  </si>
  <si>
    <t>Gain on Sale of Investments</t>
  </si>
  <si>
    <t>Gain on Sale of Investment Property</t>
  </si>
  <si>
    <t>Gain on Sale of Property, Plant and Equipment</t>
  </si>
  <si>
    <t>Gain on Initial Recognition of Biological Assets</t>
  </si>
  <si>
    <t>Gain on Sale of Biological Assets</t>
  </si>
  <si>
    <t>Gain from Changes in Fair Value  Less Cost to Sell of Biological Assets Due to Physical Change</t>
  </si>
  <si>
    <t>Gain from Changes in Fair Value  Less Cost to Sell of Biological Assets Due to Price Change</t>
  </si>
  <si>
    <t>Gain from Initial Recognition of Agricultural Produce</t>
  </si>
  <si>
    <t>Gain on Sale of Intangible Assets</t>
  </si>
  <si>
    <t>Reversal of Impairment Losses</t>
  </si>
  <si>
    <t xml:space="preserve">Other Gains </t>
  </si>
  <si>
    <t>Sale of Assets</t>
  </si>
  <si>
    <t>Sale of Garnished/Confiscated/Abandoned/Seized Goods and Properties</t>
  </si>
  <si>
    <t>Personnel Services</t>
  </si>
  <si>
    <t>Salaries and Wages - Casual/Contractual</t>
  </si>
  <si>
    <t>Personal Economic Relief Allowance (PERA)</t>
  </si>
  <si>
    <t>Subsistence Allowance</t>
  </si>
  <si>
    <t>Laundry  Allowance</t>
  </si>
  <si>
    <t>Quarters Allowance</t>
  </si>
  <si>
    <t>Overseas Allowance</t>
  </si>
  <si>
    <t>Personnel Benefit Contributions</t>
  </si>
  <si>
    <t>Retirement and Life Insurance Premiums</t>
  </si>
  <si>
    <t>Pag-IBIG Contributions</t>
  </si>
  <si>
    <t>PhilHealth Contributions</t>
  </si>
  <si>
    <t>Employees Compensation Insurance Premiums</t>
  </si>
  <si>
    <t>Provident/Welfare Fund Contributions</t>
  </si>
  <si>
    <t xml:space="preserve">Pension Benefits </t>
  </si>
  <si>
    <t xml:space="preserve">Retirement Gratuity </t>
  </si>
  <si>
    <t>Maintenance and Other Operating Expenses</t>
  </si>
  <si>
    <t>Scholarship Grants/Expenses</t>
  </si>
  <si>
    <t>Supplies and Materials Expenses</t>
  </si>
  <si>
    <t xml:space="preserve">Office Supplies Expenses </t>
  </si>
  <si>
    <t>Non-Accountable Forms Expenses</t>
  </si>
  <si>
    <t>Welfare Goods Expenses</t>
  </si>
  <si>
    <t>Fuel, Oil and Lubricants Expenses</t>
  </si>
  <si>
    <t>Agricultural and Marine Supplies Expenses</t>
  </si>
  <si>
    <t>Military, Police and Traffic Supplies Expenses</t>
  </si>
  <si>
    <t>Chemical and Filtering Supplies Expenses</t>
  </si>
  <si>
    <t>Other Supplies and Materials Expenses</t>
  </si>
  <si>
    <t xml:space="preserve">Postage and Courier Services </t>
  </si>
  <si>
    <t>Telephone Expenses</t>
  </si>
  <si>
    <t>Internet Subscription Expenses</t>
  </si>
  <si>
    <t>Cable, Satellite, Telegraph and Radio Expenses</t>
  </si>
  <si>
    <t>Awards/Rewards and Prizes</t>
  </si>
  <si>
    <t>Awards/Rewards Expenses</t>
  </si>
  <si>
    <t>Prizes</t>
  </si>
  <si>
    <t>Survey, Research, Exploration and Development Expenses</t>
  </si>
  <si>
    <t>Research, Exploration and Development Expenses</t>
  </si>
  <si>
    <t>Demolition/Relocation and Desilting/Dredging Expenses</t>
  </si>
  <si>
    <t>Demolition and Relocation Expenses</t>
  </si>
  <si>
    <t>Desilting and Dredging Expenses</t>
  </si>
  <si>
    <t>Generation, Transmission and Distribution Expenses</t>
  </si>
  <si>
    <t>Confidential, Intelligence and Extraordinary Expenses</t>
  </si>
  <si>
    <t>Extraordinary and Miscellaneous Expenses</t>
  </si>
  <si>
    <t>12</t>
  </si>
  <si>
    <t>Other General Services</t>
  </si>
  <si>
    <t>13</t>
  </si>
  <si>
    <t>Repairs and Maintenance</t>
  </si>
  <si>
    <t>Repairs and Maintenance - Investment Property</t>
  </si>
  <si>
    <t>Repairs and Maintenance - Land Improvements</t>
  </si>
  <si>
    <t>Repairs and Maintenance - Infrastructure Assets</t>
  </si>
  <si>
    <t>Repairs and Maintenance - Buildings and Other Structures</t>
  </si>
  <si>
    <t xml:space="preserve">Repairs and Maintenance - Machinery and Equipment </t>
  </si>
  <si>
    <t xml:space="preserve">Repairs and Maintenance - Transportation Equipment  </t>
  </si>
  <si>
    <t xml:space="preserve">Repairs and Maintenance - Furniture and  Fixtures </t>
  </si>
  <si>
    <t xml:space="preserve">Repairs and Maintenance - Leased Assets </t>
  </si>
  <si>
    <t>Repairs and Maintenance - Leased Assets Improvements</t>
  </si>
  <si>
    <t>Repairs and Maintenance - Other Property, Plant and Equipment</t>
  </si>
  <si>
    <t>14</t>
  </si>
  <si>
    <t xml:space="preserve">Financial Assistance/Subsidy </t>
  </si>
  <si>
    <t xml:space="preserve">Subsidy to NGAs </t>
  </si>
  <si>
    <t>Subsidy to Other  Funds</t>
  </si>
  <si>
    <t>Subsidy to General Fund Proper/Special Accounts</t>
  </si>
  <si>
    <t>Subsidy to Local Economic Enterprises</t>
  </si>
  <si>
    <t>Subsidies - Others</t>
  </si>
  <si>
    <t>15</t>
  </si>
  <si>
    <t>Transfers of Unspent Current Year DRRM Funds to the Trust Funds</t>
  </si>
  <si>
    <t>Transfers for Project Equity Share /LGU Counterpart</t>
  </si>
  <si>
    <t>16</t>
  </si>
  <si>
    <t xml:space="preserve">Fidelity Bond Premiums </t>
  </si>
  <si>
    <t>Printing and Publication Expenses</t>
  </si>
  <si>
    <t xml:space="preserve">Other Maintenance and Operating Expenses  </t>
  </si>
  <si>
    <t>Financial Expenses</t>
  </si>
  <si>
    <t>Management Supervision/Trusteeship Fees</t>
  </si>
  <si>
    <t xml:space="preserve">Interest Expenses </t>
  </si>
  <si>
    <t xml:space="preserve">Guarantee Fees  </t>
  </si>
  <si>
    <t xml:space="preserve">Commitment Fees  </t>
  </si>
  <si>
    <t xml:space="preserve">Other Financial Charges </t>
  </si>
  <si>
    <t>Cost of Goods Manufactured</t>
  </si>
  <si>
    <t>Direct Materials</t>
  </si>
  <si>
    <t>Direct Labor</t>
  </si>
  <si>
    <t>Manufacturing Overhead</t>
  </si>
  <si>
    <t>Cost of Sales</t>
  </si>
  <si>
    <t>Non-Cash Expenses</t>
  </si>
  <si>
    <t xml:space="preserve">Depreciation </t>
  </si>
  <si>
    <t>Depreciation - Investment Property</t>
  </si>
  <si>
    <t>Depreciation - Land Improvements</t>
  </si>
  <si>
    <t>Depreciation - Infrastructure Assets</t>
  </si>
  <si>
    <t>Depreciation - Buildings and Other Structures</t>
  </si>
  <si>
    <t xml:space="preserve">Depreciation - Machinery  and Equipment </t>
  </si>
  <si>
    <t>Depreciation - Transportation Equipment</t>
  </si>
  <si>
    <t xml:space="preserve">Depreciation - Furniture, Fixtures and Books  </t>
  </si>
  <si>
    <t>Depreciation - Leased Assets</t>
  </si>
  <si>
    <t>Depreciation - Leased Assets Improvements</t>
  </si>
  <si>
    <t>Depreciation -Service Concession Assets</t>
  </si>
  <si>
    <t>Depreciation - Other Property, Plant and Equipment</t>
  </si>
  <si>
    <t>Amortization</t>
  </si>
  <si>
    <t>Amortization - Intangible Assets</t>
  </si>
  <si>
    <t>Impairment Loss</t>
  </si>
  <si>
    <t>Impairment Loss - Financial Assets Held to Maturity</t>
  </si>
  <si>
    <t>Impairment Loss - Loans and  Receivables</t>
  </si>
  <si>
    <t>Impairment Loss - Lease Receivables</t>
  </si>
  <si>
    <t>Impairment Loss - Investments in GOCCs</t>
  </si>
  <si>
    <t>Impairment Loss - Investments in Joint Venture</t>
  </si>
  <si>
    <t>Impairment Loss - Other Receivables</t>
  </si>
  <si>
    <t>Impairment Loss - Inventories</t>
  </si>
  <si>
    <t>Impairment Loss - Investment Property</t>
  </si>
  <si>
    <t>Impairment Loss - Property, Plant and Equipment</t>
  </si>
  <si>
    <t>Impairment Loss - Intangible Assets</t>
  </si>
  <si>
    <t xml:space="preserve">Losses </t>
  </si>
  <si>
    <t>Loss on Foreign Exchange (FOREX)</t>
  </si>
  <si>
    <t>Loss on Sale of Investments</t>
  </si>
  <si>
    <t>Loss on Sale of Investment Property</t>
  </si>
  <si>
    <t>Loss on Sale of Propery, Plant and Equipment</t>
  </si>
  <si>
    <t>Loss on Sale of Biological Assets</t>
  </si>
  <si>
    <t>Loss on Sale of Intangible Assets</t>
  </si>
  <si>
    <t>Loss on Sale of Assets</t>
  </si>
  <si>
    <t xml:space="preserve">Loss on Initial Recognition of Biological Assets </t>
  </si>
  <si>
    <t xml:space="preserve">Loss of Assets  </t>
  </si>
  <si>
    <t xml:space="preserve">Loss on Guaranty </t>
  </si>
  <si>
    <t>Other Losses</t>
  </si>
  <si>
    <t>Grants</t>
  </si>
  <si>
    <t>Grants for Concessionary loans</t>
  </si>
  <si>
    <t>Share from Internal Revenue Collections</t>
  </si>
  <si>
    <t>Other Income</t>
  </si>
  <si>
    <t>Less: Current Operating Expenses</t>
  </si>
  <si>
    <t>Add (Deduct):</t>
  </si>
  <si>
    <t>Transfers, Assistance and Subsidy from</t>
  </si>
  <si>
    <t>NET ASSETS/EQUITY</t>
  </si>
  <si>
    <t>Cash and Cash Equivalents</t>
  </si>
  <si>
    <t>Prepayment and Deferred Charges</t>
  </si>
  <si>
    <t>Property, Plant &amp; Equipment</t>
  </si>
  <si>
    <t>Financial Liabilities</t>
  </si>
  <si>
    <t>Trust Liablilities</t>
  </si>
  <si>
    <t>Financial Liablilities</t>
  </si>
  <si>
    <t>AMOUNT</t>
  </si>
  <si>
    <t>2-01-02-040</t>
  </si>
  <si>
    <t>Other Share from National Taxes</t>
  </si>
  <si>
    <t>Surplus (Deficit) from Current Operation</t>
  </si>
  <si>
    <t>Transfers, Assistance and Subsidy to LGUs</t>
  </si>
  <si>
    <t>CASH</t>
  </si>
  <si>
    <t>RECEIVABLES</t>
  </si>
  <si>
    <t>INVENTORIES</t>
  </si>
  <si>
    <t>PREPAYMENTS AND DEFERRED CHARGES</t>
  </si>
  <si>
    <t>INVESTMENT PROPERTY</t>
  </si>
  <si>
    <t>PROPERTY, PLANT AND EQUIPMENT</t>
  </si>
  <si>
    <t>BIOLOGICAL ASSETS</t>
  </si>
  <si>
    <t>INTANGIBLE ASSETS</t>
  </si>
  <si>
    <t>L I A B I L I T I E S</t>
  </si>
  <si>
    <t>FINANCIAL LIABILITIES</t>
  </si>
  <si>
    <t>TRUST LIABILITIES</t>
  </si>
  <si>
    <t>DEFERRED CREDITS/UNEARNED INCOME</t>
  </si>
  <si>
    <t>PROVISIONS</t>
  </si>
  <si>
    <t>OTHER PAYABLES</t>
  </si>
  <si>
    <t>SERVICE AND BUSINESS INCOME</t>
  </si>
  <si>
    <t>TRANSFERS, ASSISTANCE AND SUBSIDY</t>
  </si>
  <si>
    <t>SHARES, GRANTS AND DONATIONS</t>
  </si>
  <si>
    <t>GAINS</t>
  </si>
  <si>
    <t>MISCELLANEOUS INCOME</t>
  </si>
  <si>
    <t>OTHER NON-OPERATING INCOME</t>
  </si>
  <si>
    <t>PERSONNEL SERVICES</t>
  </si>
  <si>
    <t>NON-CASH EXPENSES</t>
  </si>
  <si>
    <t>I N C O M E</t>
  </si>
  <si>
    <t>DIRECT COSTS</t>
  </si>
  <si>
    <t>STATEMENT OF FINANCIAL PERFORMANCE</t>
  </si>
  <si>
    <t>MUNICIPALITY OF JARO</t>
  </si>
  <si>
    <t>REVENUE</t>
  </si>
  <si>
    <t>PARTICULARS</t>
  </si>
  <si>
    <t>TOTAL REVENUE</t>
  </si>
  <si>
    <t>CURRENT OPERATING EXPENSES</t>
  </si>
  <si>
    <t>SURPLUS (DEFICIT) FOR THE PERIOD</t>
  </si>
  <si>
    <t>E Q U I T Y</t>
  </si>
  <si>
    <t>STATEMENT OF FINANCIAL POSITION</t>
  </si>
  <si>
    <t>TOTAL CURRENT ASSETS</t>
  </si>
  <si>
    <t>NON-CURRENT ASSETS</t>
  </si>
  <si>
    <t>TOTAL NON-CURRENT ASSETS</t>
  </si>
  <si>
    <t>T O T A L   A S S E T S</t>
  </si>
  <si>
    <t>CURRENT LIABILITIES</t>
  </si>
  <si>
    <t>TOTAL CURRENT LIABILITIES</t>
  </si>
  <si>
    <t>NON-CURRENT LIABILITIES</t>
  </si>
  <si>
    <t>TOTAL NON-CURRENT LIABILITIES</t>
  </si>
  <si>
    <t>T O T A L   L I A B I L I T I E S</t>
  </si>
  <si>
    <t>TOTAL LIABILITIES AND NET ASSETS/EQUITY</t>
  </si>
  <si>
    <t>Investment Property, Land</t>
  </si>
  <si>
    <t>HUBERT KEITH B. VEGA</t>
  </si>
  <si>
    <t>Administrative Assistant V</t>
  </si>
  <si>
    <t>SCHEDULE OF STATEMENT OF FINANCIAL POSITION</t>
  </si>
  <si>
    <t>Checking Balances</t>
  </si>
  <si>
    <t>JUDY G. PARADO</t>
  </si>
  <si>
    <t>Other Personnel Benefits (Longevity Pay)</t>
  </si>
  <si>
    <t>Schedule</t>
  </si>
  <si>
    <t>1-01-01-010</t>
  </si>
  <si>
    <t>1 -</t>
  </si>
  <si>
    <t>2 -</t>
  </si>
  <si>
    <t>1-01-01-020 - 1</t>
  </si>
  <si>
    <t xml:space="preserve">1-01-01-020 - 2 </t>
  </si>
  <si>
    <t>3 -</t>
  </si>
  <si>
    <t>1-01-02-010 - 2</t>
  </si>
  <si>
    <t>1-01-02-010 - 3</t>
  </si>
  <si>
    <t>1-01-02-010 - 1B</t>
  </si>
  <si>
    <t>1-01-02-010 - 1A</t>
  </si>
  <si>
    <t>1-01-02-010 - 1C</t>
  </si>
  <si>
    <t>4 -</t>
  </si>
  <si>
    <t>1-02-05-990</t>
  </si>
  <si>
    <t>5 -</t>
  </si>
  <si>
    <t>1-03-01-020</t>
  </si>
  <si>
    <t>6 -</t>
  </si>
  <si>
    <t>1-03-03-010</t>
  </si>
  <si>
    <t>7 -</t>
  </si>
  <si>
    <t>1-03-03-020</t>
  </si>
  <si>
    <t>8 -</t>
  </si>
  <si>
    <t>1-03-03-030</t>
  </si>
  <si>
    <t>9 -</t>
  </si>
  <si>
    <t>1-03-04-050</t>
  </si>
  <si>
    <t>1-03-04-050 - 1</t>
  </si>
  <si>
    <t>1-03-04-050 - 2</t>
  </si>
  <si>
    <t>1-03-04-050 - 3</t>
  </si>
  <si>
    <t>1-03-04-050 - 4</t>
  </si>
  <si>
    <t>1-03-04-050 - 5</t>
  </si>
  <si>
    <t>1-03-04-050 - 6</t>
  </si>
  <si>
    <t>1-03-04-050 - 7</t>
  </si>
  <si>
    <t>1-03-04-050 - 8</t>
  </si>
  <si>
    <t>1-03-04-050 - 9</t>
  </si>
  <si>
    <t>1-03-04-050 - 10</t>
  </si>
  <si>
    <t>1-03-04-050 - 11</t>
  </si>
  <si>
    <t>10 -</t>
  </si>
  <si>
    <t>1-03-05-010</t>
  </si>
  <si>
    <t>11 -</t>
  </si>
  <si>
    <t>1-03-05-020</t>
  </si>
  <si>
    <t>12 -</t>
  </si>
  <si>
    <t>1-03-05-040</t>
  </si>
  <si>
    <t>1-01-02-010</t>
  </si>
  <si>
    <t>1-03-05-040 - 1</t>
  </si>
  <si>
    <t>1-03-05-040 - 2</t>
  </si>
  <si>
    <t>1-03-05-040 - 3</t>
  </si>
  <si>
    <t>1-03-05-040 - 4</t>
  </si>
  <si>
    <t>1-03-05-040 - 5</t>
  </si>
  <si>
    <t>1-03-05-040 - 6</t>
  </si>
  <si>
    <t>1-03-05-040 - 7</t>
  </si>
  <si>
    <t>1-03-05-040 - 8</t>
  </si>
  <si>
    <t>1-03-05-040 - 9</t>
  </si>
  <si>
    <t>1-03-05-040 - 10</t>
  </si>
  <si>
    <t>1-03-05-040 - 11</t>
  </si>
  <si>
    <t>1-03-05-040 - 12</t>
  </si>
  <si>
    <t>1-03-05-040 - 13</t>
  </si>
  <si>
    <t>1-03-05-040 - 14</t>
  </si>
  <si>
    <t>1-03-05-040 - 15</t>
  </si>
  <si>
    <t>1-03-05-040 - 16</t>
  </si>
  <si>
    <t>1-03-05-040 - 17</t>
  </si>
  <si>
    <t>1-03-05-040 - 18</t>
  </si>
  <si>
    <t>1-03-05-040 - 19</t>
  </si>
  <si>
    <t>1-03-05-040 - 20</t>
  </si>
  <si>
    <t>1-03-05-040 - 21</t>
  </si>
  <si>
    <t>1-03-05-040 - 22</t>
  </si>
  <si>
    <t>1-03-05-040 - 23</t>
  </si>
  <si>
    <t>1-03-05-040 - 24</t>
  </si>
  <si>
    <t>1-03-05-040 - 25</t>
  </si>
  <si>
    <t>1-03-05-040 - 26</t>
  </si>
  <si>
    <t>1-03-05-040 - 27</t>
  </si>
  <si>
    <t>1-03-05-040 - 28</t>
  </si>
  <si>
    <t>1-03-05-040 - 29</t>
  </si>
  <si>
    <t>1-03-05-040 - 30</t>
  </si>
  <si>
    <t>1-03-05-040 - 31</t>
  </si>
  <si>
    <t>1-03-05-040 - 32</t>
  </si>
  <si>
    <t>1-03-05-040 - 33</t>
  </si>
  <si>
    <t>1-03-05-040 - 34</t>
  </si>
  <si>
    <t>1-03-05-040 - 35</t>
  </si>
  <si>
    <t>1-03-05-040 - 36</t>
  </si>
  <si>
    <t>1-03-05-040 - 37</t>
  </si>
  <si>
    <t>1-03-05-040 - 38</t>
  </si>
  <si>
    <t>1-03-05-040 - 39</t>
  </si>
  <si>
    <t>1-03-05-040 - 40</t>
  </si>
  <si>
    <t>1-03-05-040 - 41</t>
  </si>
  <si>
    <t>1-03-05-040 - 42</t>
  </si>
  <si>
    <t>1-03-05-040 - 43</t>
  </si>
  <si>
    <t>1-03-05-040 - 44</t>
  </si>
  <si>
    <t>1-03-05-040 - 45</t>
  </si>
  <si>
    <t>1-03-05-040 - 46</t>
  </si>
  <si>
    <t>1-03-05-040 - 47</t>
  </si>
  <si>
    <t>1-03-05-040 - 48</t>
  </si>
  <si>
    <t>1-03-05-040 - 49</t>
  </si>
  <si>
    <t>1-03-05-040 - 50</t>
  </si>
  <si>
    <t>1-03-05-040 - 51</t>
  </si>
  <si>
    <t>1-03-05-040 - 52</t>
  </si>
  <si>
    <t>1-03-05-040 - 53</t>
  </si>
  <si>
    <t>1-03-05-040 - 54</t>
  </si>
  <si>
    <t>1-03-05-040 - 55</t>
  </si>
  <si>
    <t>1-03-05-040 - 56</t>
  </si>
  <si>
    <t>1-03-05-040 - 57</t>
  </si>
  <si>
    <t>1-03-05-040 - 58</t>
  </si>
  <si>
    <t>1-03-05-040 - 62</t>
  </si>
  <si>
    <t>1-03-05-040 - 63</t>
  </si>
  <si>
    <t>1-03-05-040 - 64</t>
  </si>
  <si>
    <t>1-03-05-040 - 65</t>
  </si>
  <si>
    <t>1-03-05-040 - 66</t>
  </si>
  <si>
    <t>1-03-05-040 - 67</t>
  </si>
  <si>
    <t>1-03-05-040 - 68</t>
  </si>
  <si>
    <t>1-03-05-040 - 69</t>
  </si>
  <si>
    <t>1-03-05-040 - 70</t>
  </si>
  <si>
    <t>1-03-05-040 - 71</t>
  </si>
  <si>
    <t>1-03-05-040 - 72</t>
  </si>
  <si>
    <t>1-03-05-040 - 73</t>
  </si>
  <si>
    <t>1-03-05-040 - 74</t>
  </si>
  <si>
    <t>1-03-05-040 - 75</t>
  </si>
  <si>
    <t>1-03-05-040 - 76</t>
  </si>
  <si>
    <t>13 -</t>
  </si>
  <si>
    <t>1-03-06-010</t>
  </si>
  <si>
    <t>14 -</t>
  </si>
  <si>
    <t>1-03-06-020</t>
  </si>
  <si>
    <t>15 -</t>
  </si>
  <si>
    <t>1-03-06-990</t>
  </si>
  <si>
    <t>16 -</t>
  </si>
  <si>
    <t>1-04-02-090</t>
  </si>
  <si>
    <t>17 -</t>
  </si>
  <si>
    <t>1-04-04-010</t>
  </si>
  <si>
    <t>18 -</t>
  </si>
  <si>
    <t>1-04-04-090</t>
  </si>
  <si>
    <t>19 -</t>
  </si>
  <si>
    <t>1-04-04-990</t>
  </si>
  <si>
    <t>20 -</t>
  </si>
  <si>
    <t>1-05-01-010</t>
  </si>
  <si>
    <t>Advances for Contractors</t>
  </si>
  <si>
    <t>21 -</t>
  </si>
  <si>
    <t>1-05-01-050</t>
  </si>
  <si>
    <t>22 -</t>
  </si>
  <si>
    <t>1-06-01-030</t>
  </si>
  <si>
    <t>Construction in Progress-Investment Property, Buildings</t>
  </si>
  <si>
    <t>23 -</t>
  </si>
  <si>
    <t>1-07-01-010</t>
  </si>
  <si>
    <t>24 -</t>
  </si>
  <si>
    <t>1-07-02-010</t>
  </si>
  <si>
    <t>Land Improvements, Aquaculture Structures</t>
  </si>
  <si>
    <t>25 -</t>
  </si>
  <si>
    <t>1-07-03-050</t>
  </si>
  <si>
    <t>26 -</t>
  </si>
  <si>
    <t>1-07-04-010</t>
  </si>
  <si>
    <t>27 -</t>
  </si>
  <si>
    <t>1-07-04-020</t>
  </si>
  <si>
    <t>28 -</t>
  </si>
  <si>
    <t>1-07-04-040</t>
  </si>
  <si>
    <t>29 -</t>
  </si>
  <si>
    <t>1-07-04-050</t>
  </si>
  <si>
    <t>30 -</t>
  </si>
  <si>
    <t>1-07-05-010</t>
  </si>
  <si>
    <t>31 -</t>
  </si>
  <si>
    <t>1-07-05-020</t>
  </si>
  <si>
    <t>32 -</t>
  </si>
  <si>
    <t>1-07-05-030</t>
  </si>
  <si>
    <t>Information and Communication Technology Equipment</t>
  </si>
  <si>
    <t>33 -</t>
  </si>
  <si>
    <t>1-07-05-040</t>
  </si>
  <si>
    <t>Agricultural and Forestry Equipment</t>
  </si>
  <si>
    <t>34 -</t>
  </si>
  <si>
    <t>1-07-05-070</t>
  </si>
  <si>
    <t>35 -</t>
  </si>
  <si>
    <t>1-07-05-080</t>
  </si>
  <si>
    <t>36 -</t>
  </si>
  <si>
    <t>1-07-05-090</t>
  </si>
  <si>
    <t>37 -</t>
  </si>
  <si>
    <t>1-07-05-130</t>
  </si>
  <si>
    <t>38 -</t>
  </si>
  <si>
    <t>1-07-05-140</t>
  </si>
  <si>
    <t>39 -</t>
  </si>
  <si>
    <t>1-07-05-990</t>
  </si>
  <si>
    <t>Other Machinery and Equipment</t>
  </si>
  <si>
    <t>40 -</t>
  </si>
  <si>
    <t>1-07-06-010</t>
  </si>
  <si>
    <t>41 -</t>
  </si>
  <si>
    <t>1-07-07-010</t>
  </si>
  <si>
    <t>42 -</t>
  </si>
  <si>
    <t>1-07-07-020</t>
  </si>
  <si>
    <t>Books</t>
  </si>
  <si>
    <t>43 -</t>
  </si>
  <si>
    <t>1-07-10-030</t>
  </si>
  <si>
    <t>1-07-10-020</t>
  </si>
  <si>
    <t>Cons. in Progress - Infrastructure Assets</t>
  </si>
  <si>
    <t>Cons. in Progress - Buildings &amp; Other Structures</t>
  </si>
  <si>
    <t>44 -</t>
  </si>
  <si>
    <t>45 -</t>
  </si>
  <si>
    <t>1-07-99-990</t>
  </si>
  <si>
    <t>46 -</t>
  </si>
  <si>
    <t>1-09-01-020</t>
  </si>
  <si>
    <t>47 -</t>
  </si>
  <si>
    <t>1-07-03-051</t>
  </si>
  <si>
    <t>Accum. Depreciation - Power Supply Systems</t>
  </si>
  <si>
    <t>48 -</t>
  </si>
  <si>
    <t>1-07-05-011</t>
  </si>
  <si>
    <t>Accum. Depreciation - Machinery</t>
  </si>
  <si>
    <t>Accum. Depreciation - Office Equipment</t>
  </si>
  <si>
    <t>1-07-05-021</t>
  </si>
  <si>
    <t>Accum. Depreciation - Info. &amp; Comm. Tech. Equipment</t>
  </si>
  <si>
    <t>1-07-05-031</t>
  </si>
  <si>
    <t>49 -</t>
  </si>
  <si>
    <t>50 -</t>
  </si>
  <si>
    <t>51 -</t>
  </si>
  <si>
    <t>Accum. Depreciation - Agricultural &amp; Forestry Equipment</t>
  </si>
  <si>
    <t>1-07-05-041</t>
  </si>
  <si>
    <t>52 -</t>
  </si>
  <si>
    <t>1-07-05-071</t>
  </si>
  <si>
    <t>Accum. Depreciation - Communication Equipment</t>
  </si>
  <si>
    <t>53 -</t>
  </si>
  <si>
    <t>1-07-05-081</t>
  </si>
  <si>
    <t>Accum. Depreciation - Construction &amp; Heavy Equipment</t>
  </si>
  <si>
    <t>54 -</t>
  </si>
  <si>
    <t>1-07-05-091</t>
  </si>
  <si>
    <t>Accum. Depreciation - Disaster Response &amp; Rescue Equipment</t>
  </si>
  <si>
    <t>55 -</t>
  </si>
  <si>
    <t>1-07-05-991</t>
  </si>
  <si>
    <t>Accum. Depreciation - Other Machinery &amp; Equipment</t>
  </si>
  <si>
    <t>56 -</t>
  </si>
  <si>
    <t>1-07-06-011</t>
  </si>
  <si>
    <t>Accum. Depreciation - Motor Vehicles</t>
  </si>
  <si>
    <t>57 -</t>
  </si>
  <si>
    <t>1-07-07-011</t>
  </si>
  <si>
    <t>Accum. Depreciation - Furniture &amp; Fixtures</t>
  </si>
  <si>
    <t>58 -</t>
  </si>
  <si>
    <t>1-07-99-991</t>
  </si>
  <si>
    <t>Accum. Depreciation - Other Property, Plant &amp; Equipment</t>
  </si>
  <si>
    <t>59 -</t>
  </si>
  <si>
    <t>2-01-01-020</t>
  </si>
  <si>
    <t>2-01-01-020 - 1</t>
  </si>
  <si>
    <t>2-01-01-020 - 2</t>
  </si>
  <si>
    <t>2-01-01-020 - 3</t>
  </si>
  <si>
    <t>2-01-01-020 - 4</t>
  </si>
  <si>
    <t>60 -</t>
  </si>
  <si>
    <t>61 -</t>
  </si>
  <si>
    <t>2-02-01-010</t>
  </si>
  <si>
    <t>2-02-01-010 - 1</t>
  </si>
  <si>
    <t>GMP</t>
  </si>
  <si>
    <t>2-02-01-010 - 2</t>
  </si>
  <si>
    <t>Compensation</t>
  </si>
  <si>
    <t>2-02-01-010 - 3</t>
  </si>
  <si>
    <t>DST</t>
  </si>
  <si>
    <t>2-02-01-010 - 4</t>
  </si>
  <si>
    <t>2-02-01-010 - 5</t>
  </si>
  <si>
    <t>Consultants (Contractuals)</t>
  </si>
  <si>
    <t>TESDA Personnel (Contractuals)</t>
  </si>
  <si>
    <t>62 -</t>
  </si>
  <si>
    <t>2-02-01-020</t>
  </si>
  <si>
    <t>2-02-01-020 - 1</t>
  </si>
  <si>
    <t>2-02-01-020 - 2</t>
  </si>
  <si>
    <t>2-02-01-020 - 3</t>
  </si>
  <si>
    <t>2-02-01-020 - 4</t>
  </si>
  <si>
    <t>2-02-01-020 - 5</t>
  </si>
  <si>
    <t>2-02-01-020 - 6</t>
  </si>
  <si>
    <t>2-02-01-020 - 7</t>
  </si>
  <si>
    <t>2-02-01-020 - 8</t>
  </si>
  <si>
    <t>2-02-01-020 - 9</t>
  </si>
  <si>
    <t>2-02-01-020 - 10</t>
  </si>
  <si>
    <t>2-02-01-020 - 11</t>
  </si>
  <si>
    <t>2-02-01-020 - 12</t>
  </si>
  <si>
    <t>Personal Share</t>
  </si>
  <si>
    <t>Government Share</t>
  </si>
  <si>
    <t>Salary/Consol Loan</t>
  </si>
  <si>
    <t>Policy Loan - Regular</t>
  </si>
  <si>
    <t>HELP</t>
  </si>
  <si>
    <t>UOLI</t>
  </si>
  <si>
    <t>Policy Loan - Optional</t>
  </si>
  <si>
    <t>Emergency Loan</t>
  </si>
  <si>
    <t>LCH - DCS</t>
  </si>
  <si>
    <t>Cash Advance</t>
  </si>
  <si>
    <t>Employees Compensation Premium</t>
  </si>
  <si>
    <t>Educational Loan</t>
  </si>
  <si>
    <t>63 -</t>
  </si>
  <si>
    <t>2-02-01-030</t>
  </si>
  <si>
    <t>2-02-01-030 - 1</t>
  </si>
  <si>
    <t>2-02-01-030 - 2</t>
  </si>
  <si>
    <t>2-02-01-030 - 3</t>
  </si>
  <si>
    <t>MPL</t>
  </si>
  <si>
    <t>64 -</t>
  </si>
  <si>
    <t>2-02-01-040</t>
  </si>
  <si>
    <t>2-02-01-040 - 1</t>
  </si>
  <si>
    <t>2-02-01-040 - 2</t>
  </si>
  <si>
    <t>65 -</t>
  </si>
  <si>
    <t>2-02-01-050</t>
  </si>
  <si>
    <t>Due to National Government Agencies</t>
  </si>
  <si>
    <t>2-02-01-050 - 1</t>
  </si>
  <si>
    <t>2-02-01-050 - 2</t>
  </si>
  <si>
    <t>2-02-01-050 - 3</t>
  </si>
  <si>
    <t>2-02-01-050 - 4</t>
  </si>
  <si>
    <t>2-02-01-050 - 5</t>
  </si>
  <si>
    <t>2-02-01-050 - 6</t>
  </si>
  <si>
    <t>2-02-01-050 - 7</t>
  </si>
  <si>
    <t>BPCI</t>
  </si>
  <si>
    <t>Fire and Safety Fees</t>
  </si>
  <si>
    <t>Bldg. Permit &amp; Reg. Large Cattle</t>
  </si>
  <si>
    <t>Share from PCA</t>
  </si>
  <si>
    <t>KILOS ASENSO Project</t>
  </si>
  <si>
    <t>National Share Monetization</t>
  </si>
  <si>
    <t>-</t>
  </si>
  <si>
    <t>66 -</t>
  </si>
  <si>
    <t>2-02-01-060</t>
  </si>
  <si>
    <t>2-02-01-060 - 1</t>
  </si>
  <si>
    <t>PPSB</t>
  </si>
  <si>
    <t>LBP</t>
  </si>
  <si>
    <t>QUEDANCOR</t>
  </si>
  <si>
    <t>PCSO</t>
  </si>
  <si>
    <t>DBP</t>
  </si>
  <si>
    <t>67 -</t>
  </si>
  <si>
    <t>2-02-01-070</t>
  </si>
  <si>
    <t>2-02-01-070 - 1</t>
  </si>
  <si>
    <t>2-02-01-070 - 2</t>
  </si>
  <si>
    <t>Province</t>
  </si>
  <si>
    <t>Barangay</t>
  </si>
  <si>
    <t>68 -</t>
  </si>
  <si>
    <t>2-03-01-010</t>
  </si>
  <si>
    <t>2-03-01-010 - 1</t>
  </si>
  <si>
    <t>SEF</t>
  </si>
  <si>
    <t>2-03-01-010 - 2</t>
  </si>
  <si>
    <t>2-03-01-010 - 3</t>
  </si>
  <si>
    <t>TRUST FUND</t>
  </si>
  <si>
    <t>2-03-01-010 - 4</t>
  </si>
  <si>
    <t>PCF</t>
  </si>
  <si>
    <t>2-03-01-010 - 5</t>
  </si>
  <si>
    <t>RAY</t>
  </si>
  <si>
    <t>2-03-01-010 - 6</t>
  </si>
  <si>
    <t>SALINTUBIG</t>
  </si>
  <si>
    <t>69 -</t>
  </si>
  <si>
    <t>2-04-01-040</t>
  </si>
  <si>
    <t>Guaranty/Security Deposit Payables</t>
  </si>
  <si>
    <t>70 -</t>
  </si>
  <si>
    <t>2-05-01-010</t>
  </si>
  <si>
    <t>71 -</t>
  </si>
  <si>
    <t>2-99-99-990</t>
  </si>
  <si>
    <t>72 -</t>
  </si>
  <si>
    <t>3-01-01-010</t>
  </si>
  <si>
    <t>3-01-01-020</t>
  </si>
  <si>
    <t>74 -</t>
  </si>
  <si>
    <t>4-01-01-020</t>
  </si>
  <si>
    <t>Professional Tax</t>
  </si>
  <si>
    <t>75 -</t>
  </si>
  <si>
    <t>4-01-02-040</t>
  </si>
  <si>
    <t>4-01-01-050</t>
  </si>
  <si>
    <t>76 -</t>
  </si>
  <si>
    <t>Real Property Tax - Basic</t>
  </si>
  <si>
    <t>77 -</t>
  </si>
  <si>
    <t>4-01-02-041</t>
  </si>
  <si>
    <t>Discount on Real Property Tax - Basic</t>
  </si>
  <si>
    <t>78 -</t>
  </si>
  <si>
    <t>4-01-02-080</t>
  </si>
  <si>
    <t>Real Property Tax Transfer</t>
  </si>
  <si>
    <t>79 -</t>
  </si>
  <si>
    <t>4-01-03-030</t>
  </si>
  <si>
    <t>Business Tax</t>
  </si>
  <si>
    <t>80 -</t>
  </si>
  <si>
    <t>4-01-03-040</t>
  </si>
  <si>
    <t>Tax on Sand and Gravel &amp; Quarry Products</t>
  </si>
  <si>
    <t>81 -</t>
  </si>
  <si>
    <t>4-01-03-050</t>
  </si>
  <si>
    <t>Tax on Delivery Trucks &amp; Vans</t>
  </si>
  <si>
    <t>82 -</t>
  </si>
  <si>
    <t>4-01-03-060</t>
  </si>
  <si>
    <t>83 -</t>
  </si>
  <si>
    <t>4-01-03-070</t>
  </si>
  <si>
    <t>84 -</t>
  </si>
  <si>
    <t>4-01-04-990</t>
  </si>
  <si>
    <t>85 -</t>
  </si>
  <si>
    <t>4-01-05-020</t>
  </si>
  <si>
    <t>Tax Revenue - Fines &amp; Penalties- Property Taxes</t>
  </si>
  <si>
    <t>86 -</t>
  </si>
  <si>
    <t>4-01-06-010</t>
  </si>
  <si>
    <t>87 -</t>
  </si>
  <si>
    <t>4-01-06-030</t>
  </si>
  <si>
    <t>88 -</t>
  </si>
  <si>
    <t>4-02-01-010</t>
  </si>
  <si>
    <t>89 -</t>
  </si>
  <si>
    <t>4-02-01-020</t>
  </si>
  <si>
    <t>90 -</t>
  </si>
  <si>
    <t>4-02-01-040</t>
  </si>
  <si>
    <t>Clearance &amp; Certification Fees</t>
  </si>
  <si>
    <t>91 -</t>
  </si>
  <si>
    <t>4-02-01-100</t>
  </si>
  <si>
    <t>92 -</t>
  </si>
  <si>
    <t>4-02-01-140</t>
  </si>
  <si>
    <t>93 -</t>
  </si>
  <si>
    <t>4-02-01-160</t>
  </si>
  <si>
    <t>Fees for Sealing &amp; Licensing of Weights and Measures</t>
  </si>
  <si>
    <t>94 -</t>
  </si>
  <si>
    <t>4-02-01-980</t>
  </si>
  <si>
    <t>Fines &amp; Penalties - Service Income</t>
  </si>
  <si>
    <t>95 -</t>
  </si>
  <si>
    <t>4-02-01-990</t>
  </si>
  <si>
    <t>96 -</t>
  </si>
  <si>
    <t>4-02-02-050</t>
  </si>
  <si>
    <t>97 -</t>
  </si>
  <si>
    <t>4-02-02-140</t>
  </si>
  <si>
    <t>Receipts from Market Operations</t>
  </si>
  <si>
    <t>98 -</t>
  </si>
  <si>
    <t>4-02-02-150</t>
  </si>
  <si>
    <t>Receipts from Slaughterhouse Operations</t>
  </si>
  <si>
    <t>99 -</t>
  </si>
  <si>
    <t>4-02-02-160</t>
  </si>
  <si>
    <t>Receipts from Cemetery Operations</t>
  </si>
  <si>
    <t>100 -</t>
  </si>
  <si>
    <t>4-02-02-190</t>
  </si>
  <si>
    <t>101 -</t>
  </si>
  <si>
    <t>4-02-02-220</t>
  </si>
  <si>
    <t>102 -</t>
  </si>
  <si>
    <t>4-02-02-990</t>
  </si>
  <si>
    <t>103 -</t>
  </si>
  <si>
    <t>4-04-01-020</t>
  </si>
  <si>
    <t>104 -</t>
  </si>
  <si>
    <t>4-04-02-010</t>
  </si>
  <si>
    <t>105 -</t>
  </si>
  <si>
    <t>5-01-01-010</t>
  </si>
  <si>
    <t>Salaries &amp; Wages - Regular</t>
  </si>
  <si>
    <t xml:space="preserve">106 - </t>
  </si>
  <si>
    <t>5-01-01-020</t>
  </si>
  <si>
    <t>Salaries &amp; Wages - Casual/Contractual</t>
  </si>
  <si>
    <t>107 -</t>
  </si>
  <si>
    <t>5-01-02-010</t>
  </si>
  <si>
    <t>108 -</t>
  </si>
  <si>
    <t>5-01-02-020</t>
  </si>
  <si>
    <t>109 -</t>
  </si>
  <si>
    <t>5-01-02-030</t>
  </si>
  <si>
    <t>110 -</t>
  </si>
  <si>
    <t>5-01-02-040</t>
  </si>
  <si>
    <t>111 -</t>
  </si>
  <si>
    <t>5-01-02-050</t>
  </si>
  <si>
    <t>112 -</t>
  </si>
  <si>
    <t>5-01-02-060</t>
  </si>
  <si>
    <t>Laundry Allowance</t>
  </si>
  <si>
    <t>113 -</t>
  </si>
  <si>
    <t>5-01-02-100</t>
  </si>
  <si>
    <t>114 -</t>
  </si>
  <si>
    <t>5-01-02-110</t>
  </si>
  <si>
    <t>115 -</t>
  </si>
  <si>
    <t>5-01-02-130</t>
  </si>
  <si>
    <t>Overtime &amp; Night Pay</t>
  </si>
  <si>
    <t>116 -</t>
  </si>
  <si>
    <t>5-01-02-140</t>
  </si>
  <si>
    <t>Year-End Bonus</t>
  </si>
  <si>
    <t>117 -</t>
  </si>
  <si>
    <t>5-01-02-150</t>
  </si>
  <si>
    <t>118 -</t>
  </si>
  <si>
    <t>5-01-02-990</t>
  </si>
  <si>
    <t>Other Bonuses &amp; Allowances</t>
  </si>
  <si>
    <t>119 -</t>
  </si>
  <si>
    <t>5-01-03-010</t>
  </si>
  <si>
    <t>Retirement &amp; Life Insurance Premiums</t>
  </si>
  <si>
    <t>120 -</t>
  </si>
  <si>
    <t>5-01-03-020</t>
  </si>
  <si>
    <t>121 -</t>
  </si>
  <si>
    <t>5-01-03-030</t>
  </si>
  <si>
    <t>122 -</t>
  </si>
  <si>
    <t>5-01-03-040</t>
  </si>
  <si>
    <t>123 -</t>
  </si>
  <si>
    <t>5-01-04-030</t>
  </si>
  <si>
    <t>124 -</t>
  </si>
  <si>
    <t>5-01-04-990</t>
  </si>
  <si>
    <t>125 -</t>
  </si>
  <si>
    <t>5-02-02-010</t>
  </si>
  <si>
    <t>5-02-01-010</t>
  </si>
  <si>
    <t>126 -</t>
  </si>
  <si>
    <t>127 -</t>
  </si>
  <si>
    <t>5-02-03-010</t>
  </si>
  <si>
    <t>128 -</t>
  </si>
  <si>
    <t>5-02-03-020</t>
  </si>
  <si>
    <t>129 -</t>
  </si>
  <si>
    <t>5-02-03-060</t>
  </si>
  <si>
    <t>130 -</t>
  </si>
  <si>
    <t>5-02-03-070</t>
  </si>
  <si>
    <t>Drugs &amp; Medicines Expenses</t>
  </si>
  <si>
    <t>131 -</t>
  </si>
  <si>
    <t>5-02-03-080</t>
  </si>
  <si>
    <t>Medical, Dental &amp; Laboratory Supplies Expenses</t>
  </si>
  <si>
    <t>132 -</t>
  </si>
  <si>
    <t>5-02-03-090</t>
  </si>
  <si>
    <t>Fuel, Oil &amp; Lubricants Expenses</t>
  </si>
  <si>
    <t>133 -</t>
  </si>
  <si>
    <t>5-02-03-100</t>
  </si>
  <si>
    <t>Agricultural &amp; Marine Supplies Expenses</t>
  </si>
  <si>
    <t>134 -</t>
  </si>
  <si>
    <t>5-02-03-110</t>
  </si>
  <si>
    <t>Textbooks &amp; Instructional Materials Expenses</t>
  </si>
  <si>
    <t>135 -</t>
  </si>
  <si>
    <t>5-02-03-120</t>
  </si>
  <si>
    <t>Military, Police &amp; Traffic Supplies Expenses</t>
  </si>
  <si>
    <t>136 -</t>
  </si>
  <si>
    <t>5-02-03-990</t>
  </si>
  <si>
    <t>137 -</t>
  </si>
  <si>
    <t>5-02-04-010</t>
  </si>
  <si>
    <t>138 -</t>
  </si>
  <si>
    <t>5-02-04-020</t>
  </si>
  <si>
    <t>139 -</t>
  </si>
  <si>
    <t>5-02-05-010</t>
  </si>
  <si>
    <t>Postage &amp; Courier Expenses</t>
  </si>
  <si>
    <t>140 -</t>
  </si>
  <si>
    <t>5-02-05-020</t>
  </si>
  <si>
    <t>141 -</t>
  </si>
  <si>
    <t>5-02-05-030</t>
  </si>
  <si>
    <t>142 -</t>
  </si>
  <si>
    <t>5-02-06-010</t>
  </si>
  <si>
    <t>143 -</t>
  </si>
  <si>
    <t>5-02-07-020</t>
  </si>
  <si>
    <t>Research, Exploration &amp; Development Expenses</t>
  </si>
  <si>
    <t>144 -</t>
  </si>
  <si>
    <t>5-02-10-030</t>
  </si>
  <si>
    <t>Extraordinary &amp; Miscellaneous Expenses</t>
  </si>
  <si>
    <t>145 -</t>
  </si>
  <si>
    <t>5-02-11-990</t>
  </si>
  <si>
    <t>146 -</t>
  </si>
  <si>
    <t>5-02-13-030</t>
  </si>
  <si>
    <t>Repairs &amp; Maintenance - Infrastructure Assets</t>
  </si>
  <si>
    <t>147 -</t>
  </si>
  <si>
    <t>5-02-13-040</t>
  </si>
  <si>
    <t>Repairs &amp; Maintenance - Buildings &amp; Other Structures</t>
  </si>
  <si>
    <t>148 -</t>
  </si>
  <si>
    <t>5-02-13-050</t>
  </si>
  <si>
    <t>Repairs &amp; Maintenance - Machinery &amp; Equipment</t>
  </si>
  <si>
    <t>149 -</t>
  </si>
  <si>
    <t>5-02-13-060</t>
  </si>
  <si>
    <t>Repairs &amp; Maintenance - Transportation Equipment</t>
  </si>
  <si>
    <t>150 -</t>
  </si>
  <si>
    <t>5-02-13-070</t>
  </si>
  <si>
    <t>Repairs &amp; Maintenance - Furniture &amp; Fixtures</t>
  </si>
  <si>
    <t>151 -</t>
  </si>
  <si>
    <t>5-02-13-990</t>
  </si>
  <si>
    <t>Repairs &amp; Maintenance - Other PPE</t>
  </si>
  <si>
    <t>152 -</t>
  </si>
  <si>
    <t>5-02-14-030</t>
  </si>
  <si>
    <t>153 -</t>
  </si>
  <si>
    <t>5-02-16-010</t>
  </si>
  <si>
    <t>154 -</t>
  </si>
  <si>
    <t>5-02-16-020</t>
  </si>
  <si>
    <t>155 -</t>
  </si>
  <si>
    <t>5-02-16-030</t>
  </si>
  <si>
    <t>156 -</t>
  </si>
  <si>
    <t>5-02-99-010</t>
  </si>
  <si>
    <t>157 -</t>
  </si>
  <si>
    <t>5-02-99-030</t>
  </si>
  <si>
    <t>158 -</t>
  </si>
  <si>
    <t>5-02-99-050</t>
  </si>
  <si>
    <t>159 -</t>
  </si>
  <si>
    <t>5-02-99-060</t>
  </si>
  <si>
    <t>Membership Dues &amp; Contributions to Organizations</t>
  </si>
  <si>
    <t xml:space="preserve">160 - </t>
  </si>
  <si>
    <t>5-02-99-080</t>
  </si>
  <si>
    <t>161 -</t>
  </si>
  <si>
    <t>5-02-99-990</t>
  </si>
  <si>
    <t>Other Maintenance &amp; Operating Expenses</t>
  </si>
  <si>
    <t>162 -</t>
  </si>
  <si>
    <t>5-03-01-990</t>
  </si>
  <si>
    <t>163 -</t>
  </si>
  <si>
    <t>5-05-01-050</t>
  </si>
  <si>
    <t>Depreciation - Machinery &amp; Equipment</t>
  </si>
  <si>
    <t>164 -</t>
  </si>
  <si>
    <t>5-05-01-060</t>
  </si>
  <si>
    <t>165 -</t>
  </si>
  <si>
    <t>5-05-01-070</t>
  </si>
  <si>
    <t>Depreciation - Furniture, Fixtures &amp; Books</t>
  </si>
  <si>
    <t>166 -</t>
  </si>
  <si>
    <t>5-05-01-990</t>
  </si>
  <si>
    <t>Depreciation - Other PPE</t>
  </si>
  <si>
    <t>DEBIT</t>
  </si>
  <si>
    <t>CREDIT</t>
  </si>
  <si>
    <t>DIFFERENCE</t>
  </si>
  <si>
    <t>SUBSIDIARY SCHEDULE</t>
  </si>
  <si>
    <t>G E N E R A L   F U N D</t>
  </si>
  <si>
    <t>ACCOUNT CODE</t>
  </si>
  <si>
    <t>TB TOTAL</t>
  </si>
  <si>
    <t xml:space="preserve">                        Certified Correct:</t>
  </si>
  <si>
    <t>Alex O. Aborita</t>
  </si>
  <si>
    <t>Alexandra O. Aborita</t>
  </si>
  <si>
    <t>Alfredo Capoquian</t>
  </si>
  <si>
    <t>Angel Romeo Caones</t>
  </si>
  <si>
    <t>Annabelle V. De Asis</t>
  </si>
  <si>
    <t>Antonio Batucan</t>
  </si>
  <si>
    <t>Arvin D. Aborita</t>
  </si>
  <si>
    <t>Beau Francis Lagado</t>
  </si>
  <si>
    <t>Benjamin Gariando Sr.</t>
  </si>
  <si>
    <t>Clarissa Matoza</t>
  </si>
  <si>
    <t>Eva A. Royo</t>
  </si>
  <si>
    <t>E. Adlawan</t>
  </si>
  <si>
    <t>Elias C. Susaya, Jr.</t>
  </si>
  <si>
    <t>Edgar Artoza</t>
  </si>
  <si>
    <t>Estela I. Creer</t>
  </si>
  <si>
    <t>Felipe A. Castillano</t>
  </si>
  <si>
    <t>Floro Katangkatang</t>
  </si>
  <si>
    <t>Frankie A. Tezon</t>
  </si>
  <si>
    <t>Gloria C. Villas</t>
  </si>
  <si>
    <t>Hassan Cabelin</t>
  </si>
  <si>
    <t>Jaime C. Lagado</t>
  </si>
  <si>
    <t>Jay G. Saliente</t>
  </si>
  <si>
    <t>Jay G. Saliente c/o INFRES</t>
  </si>
  <si>
    <t>Jessica Josol</t>
  </si>
  <si>
    <t>Jesucita Guillera</t>
  </si>
  <si>
    <t>Jofrey Gonzaga</t>
  </si>
  <si>
    <t>Johannes Dorado</t>
  </si>
  <si>
    <t>Jovino G. Niemes</t>
  </si>
  <si>
    <t>Juancho C. Bonayon</t>
  </si>
  <si>
    <t>Julius B. Cativo</t>
  </si>
  <si>
    <t>Joebel Garciola</t>
  </si>
  <si>
    <t>Lorenzo M. Lariosa</t>
  </si>
  <si>
    <t>Ma. Lourdes F. Opinion</t>
  </si>
  <si>
    <t>Melchor Winston A. Edusma</t>
  </si>
  <si>
    <t>Mig Joy T. Boleche</t>
  </si>
  <si>
    <t>P. Espinosa</t>
  </si>
  <si>
    <t>Pablito H. Quiñones</t>
  </si>
  <si>
    <t>Patria H. Gariando</t>
  </si>
  <si>
    <t>Redonia K. Tamayo</t>
  </si>
  <si>
    <t>Renerio Horca</t>
  </si>
  <si>
    <t>Rolando Nievera</t>
  </si>
  <si>
    <t>Romeo S. Trota, Jr.</t>
  </si>
  <si>
    <t>Solomon U. Aujero</t>
  </si>
  <si>
    <t>Sonia A. Yunting</t>
  </si>
  <si>
    <t>Teofilo C. Cabello</t>
  </si>
  <si>
    <t>T. Gelig</t>
  </si>
  <si>
    <t>Yvette M. Dizon</t>
  </si>
  <si>
    <t>Zoilo S. Trota II</t>
  </si>
  <si>
    <t>Nestor C. Tamayo (TEV)</t>
  </si>
  <si>
    <t>Nestor C. Tamayo (c/o Others)</t>
  </si>
  <si>
    <t>JUDY G. PARADO, CPA</t>
  </si>
  <si>
    <t>Statement of Changes in Net Assets/Equity</t>
  </si>
  <si>
    <t>Accumulated</t>
  </si>
  <si>
    <t>Surpluses/(Deficits)</t>
  </si>
  <si>
    <t>Gov. Equity</t>
  </si>
  <si>
    <t>Add (Deduct)</t>
  </si>
  <si>
    <t>Change in Accounting Policy</t>
  </si>
  <si>
    <t>Prior Period Errors</t>
  </si>
  <si>
    <t>Prior Period</t>
  </si>
  <si>
    <t>Restated Balance</t>
  </si>
  <si>
    <t>Add (Deduct) Changes in Net Assets/Equity dering the year</t>
  </si>
  <si>
    <t>Adjustment of net revenue recognized directly in net assets/equity</t>
  </si>
  <si>
    <t>Surplus (Deficit) for the period</t>
  </si>
  <si>
    <t>Income</t>
  </si>
  <si>
    <t>Total recognized revenue and expenses for the period</t>
  </si>
  <si>
    <t xml:space="preserve">checking balances </t>
  </si>
  <si>
    <t>As of December 31, 2019</t>
  </si>
  <si>
    <t>RIMMP</t>
  </si>
  <si>
    <t>IRA</t>
  </si>
  <si>
    <t>LGU EQUITY - PNP</t>
  </si>
  <si>
    <t>LBP 20%</t>
  </si>
  <si>
    <t>PPSB (5%)</t>
  </si>
  <si>
    <t xml:space="preserve">1-01-02-010 - 4 </t>
  </si>
  <si>
    <t>DBP (20%)</t>
  </si>
  <si>
    <t xml:space="preserve">1-01-02-010 - 5 </t>
  </si>
  <si>
    <t>DBP (5%)</t>
  </si>
  <si>
    <t>GPBP</t>
  </si>
  <si>
    <t>JARO SPORTS COMPLEX (JSC)</t>
  </si>
  <si>
    <t>KFW</t>
  </si>
  <si>
    <t>RAY 2</t>
  </si>
  <si>
    <t>RAY 3</t>
  </si>
  <si>
    <t>Aquilino Colibao</t>
  </si>
  <si>
    <t>Elma C. Cañega</t>
  </si>
  <si>
    <t>Edgar Raagas</t>
  </si>
  <si>
    <t>Elena A. Emnas</t>
  </si>
  <si>
    <t>Leonil Jun Arañez</t>
  </si>
  <si>
    <t>Maria Wilma T. Lizarondo</t>
  </si>
  <si>
    <t>Rey P. Aure</t>
  </si>
  <si>
    <t>Teofila L. Go</t>
  </si>
  <si>
    <t>1-07-03-010</t>
  </si>
  <si>
    <t>1-07-05-100</t>
  </si>
  <si>
    <t>Military, Police &amp; Security Equipment</t>
  </si>
  <si>
    <t>1-07-07-021</t>
  </si>
  <si>
    <t>Accum. Depreciation - Books</t>
  </si>
  <si>
    <t>MJ TUALLA</t>
  </si>
  <si>
    <t>JOFREY GONZAGA</t>
  </si>
  <si>
    <t>BENILDA MOMO</t>
  </si>
  <si>
    <t>73 -</t>
  </si>
  <si>
    <t>2-99-99-990 - 1</t>
  </si>
  <si>
    <t>CFI</t>
  </si>
  <si>
    <t>2-99-99-990 - 2</t>
  </si>
  <si>
    <t>OCCCI</t>
  </si>
  <si>
    <t xml:space="preserve">76 - </t>
  </si>
  <si>
    <t>AICS</t>
  </si>
  <si>
    <t xml:space="preserve"> </t>
  </si>
  <si>
    <t>JESSA S. CABIYAAN</t>
  </si>
  <si>
    <t>As of MARCH 31,2022</t>
  </si>
  <si>
    <t>Statement of Financial Position</t>
  </si>
  <si>
    <t>CASH AND CASH EQUIVALENTS</t>
  </si>
  <si>
    <t>Cash in Banks - Local Currency</t>
  </si>
  <si>
    <t>Cash in Bank - Local Currency , Current Account</t>
  </si>
  <si>
    <t>Cash in Banks - Foreign Currency</t>
  </si>
  <si>
    <t>Cash in Bank - Foreign Currency , Current Account</t>
  </si>
  <si>
    <t>Investments in Time Deposits (90 days)</t>
  </si>
  <si>
    <t>Total Cash and Cash Equivalents</t>
  </si>
  <si>
    <t>Investments in Time Deposits (91 days to 1 year)</t>
  </si>
  <si>
    <t>Total Investments</t>
  </si>
  <si>
    <t>Total Inventories</t>
  </si>
  <si>
    <t>Total Prepayments and Deferred Charges</t>
  </si>
  <si>
    <t>Total Current Assets</t>
  </si>
  <si>
    <t>Investments in Time Deposits (more than 1 year)</t>
  </si>
  <si>
    <t xml:space="preserve">Total Investment Property </t>
  </si>
  <si>
    <t>Total Property, Plant and Equipment</t>
  </si>
  <si>
    <t>Total Biological Assets</t>
  </si>
  <si>
    <t>TOTAL INTANGIBLE ASSETS</t>
  </si>
  <si>
    <t>Total Non-Current Assets</t>
  </si>
  <si>
    <t>Total Payables</t>
  </si>
  <si>
    <t>Total Bills/Bonds/Loans Payable</t>
  </si>
  <si>
    <t>Total Financial Liabilities</t>
  </si>
  <si>
    <t>Total Inter-Agency Payables</t>
  </si>
  <si>
    <t>Total Intra-Agency Payables</t>
  </si>
  <si>
    <t>Total Trust Liabilities</t>
  </si>
  <si>
    <t>Total Deferred Credits/Unearned Income</t>
  </si>
  <si>
    <t>Terminations Benefits</t>
  </si>
  <si>
    <t>TOTAL NON- CURRENT LIABILITIES</t>
  </si>
  <si>
    <t>TOTAL LIABILITIES</t>
  </si>
  <si>
    <t>Net Assets/Equity (Annex D per LGAM)</t>
  </si>
  <si>
    <t>Total  Net Assets/Equity</t>
  </si>
  <si>
    <t>TOTAL LIABILITIES AND EQUITY</t>
  </si>
  <si>
    <t>For the Quarter Ended March 2022</t>
  </si>
  <si>
    <t>Balance at March 31,2022.</t>
  </si>
  <si>
    <t>ok</t>
  </si>
  <si>
    <t xml:space="preserve"> STATEMENT OF CONDENSED CASH FLOWS </t>
  </si>
  <si>
    <t>As of March 31,2022</t>
  </si>
  <si>
    <t>P A R T I C U L A R S</t>
  </si>
  <si>
    <t>CASH FLOW FROM OPERATING ACTIVITIES</t>
  </si>
  <si>
    <t xml:space="preserve">       Cash Inflows</t>
  </si>
  <si>
    <t xml:space="preserve">Collection from Taxpayers </t>
  </si>
  <si>
    <t>Share from Internal Revenue Allotment</t>
  </si>
  <si>
    <t>Receipts from Business/Service Income</t>
  </si>
  <si>
    <t>Other Receipts</t>
  </si>
  <si>
    <t>Total Cash Inflows</t>
  </si>
  <si>
    <t xml:space="preserve">       Cash Outflows</t>
  </si>
  <si>
    <t>Payment of Expenses</t>
  </si>
  <si>
    <t>Payments to Suppliers and Creditors</t>
  </si>
  <si>
    <t>Payments to Employees</t>
  </si>
  <si>
    <t>Interest Expense</t>
  </si>
  <si>
    <t>Other Expenses</t>
  </si>
  <si>
    <t>Total Cash Outflows</t>
  </si>
  <si>
    <t xml:space="preserve">       Net Cash Flows from Operating Activities</t>
  </si>
  <si>
    <t>CASH FLOW FROM INVESTING ACTIVITIES</t>
  </si>
  <si>
    <t>Proceeds from Sale of Investment Property</t>
  </si>
  <si>
    <t>Proceeds from Sale/Disposal of Property, Plant and Equipment</t>
  </si>
  <si>
    <t>Proceeds from Sale of Non-Current Investments</t>
  </si>
  <si>
    <t>Collection of Principal on Loans to Other Entities</t>
  </si>
  <si>
    <t>Purchase/Construction of Investment Property</t>
  </si>
  <si>
    <t>Purchase/Construction of Property, Plant and Equipment</t>
  </si>
  <si>
    <t>Investment</t>
  </si>
  <si>
    <t>Purchase of Bearer Biological Assets</t>
  </si>
  <si>
    <t>Purchase of Intangible Assets</t>
  </si>
  <si>
    <t>Grant of Loans</t>
  </si>
  <si>
    <t xml:space="preserve">       Net Cash Flows from Investing Activities</t>
  </si>
  <si>
    <t>CASH FLOWS FROM FINANCING ACTIVITIES</t>
  </si>
  <si>
    <t>Proceeds from Issuance of Bonds</t>
  </si>
  <si>
    <t>Proceeds from Loans</t>
  </si>
  <si>
    <t>Payment of Long-Term Liabilities</t>
  </si>
  <si>
    <t>Retirement/Redemption of Debt Securities</t>
  </si>
  <si>
    <t>Payment of Loan Amortization</t>
  </si>
  <si>
    <t xml:space="preserve">       Net Cash Flows from Financing Activities</t>
  </si>
  <si>
    <t>Total Cash Provided by Operating, Investing and Financing Activities</t>
  </si>
  <si>
    <t>Add: Cash at the Beginning of the Year</t>
  </si>
  <si>
    <t>CASH BALANCE AT THE END OF THE YEAR</t>
  </si>
  <si>
    <t xml:space="preserve">          Certified Correct:</t>
  </si>
  <si>
    <t>tb</t>
  </si>
  <si>
    <t>Admin. Aide III</t>
  </si>
  <si>
    <t>For the year ended December 31, 2020</t>
  </si>
  <si>
    <t>As of December 31, 2020</t>
  </si>
  <si>
    <t>For the Year Ended December 31, 2020</t>
  </si>
  <si>
    <t>Job Order Employee</t>
  </si>
  <si>
    <t>Beginning Balance as of January 01,2020</t>
  </si>
  <si>
    <t>JJUVELYN A. CABARRUBIAS</t>
  </si>
  <si>
    <t>JUVELYN A. CABARRUBIAS</t>
  </si>
  <si>
    <t xml:space="preserve">   Job Order Employee</t>
  </si>
  <si>
    <t>JUDY G. PARADO,CPA</t>
  </si>
  <si>
    <t xml:space="preserve">       Job Order Employee</t>
  </si>
  <si>
    <t xml:space="preserve">    Job Order Employee</t>
  </si>
  <si>
    <t xml:space="preserve">      Job Order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</si>
</sst>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[$-409]mmmm\ d\,\ yyyy;@"/>
  </numFmts>
  <fonts count="7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u val="doubleAccounting"/>
      <sz val="10"/>
      <name val="Arial"/>
      <family val="2"/>
    </font>
    <font>
      <u val="singleAccounting"/>
      <sz val="10"/>
      <name val="Arial"/>
      <family val="2"/>
    </font>
    <font>
      <b/>
      <sz val="12"/>
      <name val="Times New Roman"/>
      <family val="1"/>
    </font>
    <font>
      <b/>
      <sz val="13"/>
      <name val="Arial Rounded MT Bold"/>
      <family val="2"/>
    </font>
    <font>
      <sz val="11"/>
      <name val="Times New Roman"/>
      <family val="1"/>
    </font>
    <font>
      <b/>
      <sz val="18"/>
      <name val="Arial Rounded MT Bold"/>
      <family val="2"/>
    </font>
    <font>
      <b/>
      <u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u val="singleAccounting"/>
      <sz val="10"/>
      <name val="Arial"/>
      <family val="2"/>
    </font>
    <font>
      <u val="doubleAccounting"/>
      <sz val="10"/>
      <name val="Arial"/>
      <family val="2"/>
    </font>
    <font>
      <b/>
      <u val="double"/>
      <sz val="10"/>
      <name val="Arial"/>
      <family val="2"/>
    </font>
    <font>
      <sz val="10"/>
      <name val="Arial"/>
      <family val="2"/>
    </font>
    <font>
      <b/>
      <sz val="12"/>
      <name val="Arial Rounded MT Bold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3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i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12"/>
      <color theme="1"/>
      <name val="Arial"/>
      <family val="2"/>
    </font>
    <font>
      <b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u val="doubleAccounting"/>
      <sz val="14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u/>
      <sz val="10"/>
      <color rgb="FF0070C0"/>
      <name val="Arial"/>
      <family val="2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theme="9" tint="-0.499984740745262"/>
      <name val="Times New Roman"/>
      <family val="1"/>
    </font>
    <font>
      <b/>
      <u val="doubleAccounting"/>
      <sz val="12"/>
      <color rgb="FFFF0000"/>
      <name val="Calibri"/>
      <family val="2"/>
      <scheme val="minor"/>
    </font>
    <font>
      <sz val="12"/>
      <color rgb="FFFF0000"/>
      <name val="Times New Roman"/>
      <family val="1"/>
    </font>
    <font>
      <b/>
      <sz val="12"/>
      <color rgb="FFFF0000"/>
      <name val="Arial"/>
      <family val="2"/>
    </font>
    <font>
      <b/>
      <sz val="12"/>
      <color theme="1"/>
      <name val="Arial Rounded MT Bold"/>
      <family val="2"/>
    </font>
    <font>
      <b/>
      <sz val="16"/>
      <color rgb="FFFF0000"/>
      <name val="Arial Rounded MT Bold"/>
      <family val="2"/>
    </font>
    <font>
      <b/>
      <sz val="12"/>
      <color rgb="FF002060"/>
      <name val="Calibri"/>
      <family val="2"/>
      <scheme val="minor"/>
    </font>
    <font>
      <sz val="16"/>
      <color rgb="FFFF0000"/>
      <name val="Bernard MT Condensed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6" fillId="0" borderId="0"/>
    <xf numFmtId="0" fontId="6" fillId="0" borderId="0"/>
  </cellStyleXfs>
  <cellXfs count="47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43" fontId="0" fillId="0" borderId="0" xfId="1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43" fontId="0" fillId="0" borderId="0" xfId="0" applyNumberFormat="1"/>
    <xf numFmtId="43" fontId="0" fillId="0" borderId="0" xfId="1" applyFont="1"/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43" fontId="7" fillId="0" borderId="0" xfId="1" applyFont="1" applyBorder="1"/>
    <xf numFmtId="43" fontId="7" fillId="0" borderId="3" xfId="1" applyFont="1" applyBorder="1"/>
    <xf numFmtId="43" fontId="7" fillId="0" borderId="0" xfId="1" applyFont="1"/>
    <xf numFmtId="43" fontId="2" fillId="0" borderId="4" xfId="1" applyFont="1" applyBorder="1"/>
    <xf numFmtId="0" fontId="7" fillId="0" borderId="0" xfId="0" applyFont="1" applyAlignment="1">
      <alignment horizontal="right"/>
    </xf>
    <xf numFmtId="43" fontId="2" fillId="0" borderId="5" xfId="1" applyFont="1" applyBorder="1"/>
    <xf numFmtId="43" fontId="2" fillId="0" borderId="0" xfId="1" applyFont="1" applyBorder="1"/>
    <xf numFmtId="43" fontId="2" fillId="0" borderId="5" xfId="1" applyFont="1" applyFill="1" applyBorder="1"/>
    <xf numFmtId="43" fontId="7" fillId="0" borderId="0" xfId="0" applyNumberFormat="1" applyFont="1"/>
    <xf numFmtId="43" fontId="7" fillId="0" borderId="3" xfId="0" applyNumberFormat="1" applyFont="1" applyBorder="1"/>
    <xf numFmtId="16" fontId="7" fillId="0" borderId="0" xfId="0" applyNumberFormat="1" applyFont="1"/>
    <xf numFmtId="43" fontId="0" fillId="0" borderId="3" xfId="0" applyNumberFormat="1" applyBorder="1"/>
    <xf numFmtId="4" fontId="0" fillId="0" borderId="0" xfId="0" applyNumberFormat="1"/>
    <xf numFmtId="43" fontId="6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center"/>
    </xf>
    <xf numFmtId="43" fontId="11" fillId="0" borderId="0" xfId="1" applyFont="1" applyBorder="1" applyAlignment="1">
      <alignment horizontal="center"/>
    </xf>
    <xf numFmtId="0" fontId="6" fillId="0" borderId="7" xfId="0" applyFont="1" applyBorder="1"/>
    <xf numFmtId="0" fontId="0" fillId="0" borderId="7" xfId="0" applyBorder="1"/>
    <xf numFmtId="0" fontId="8" fillId="0" borderId="0" xfId="0" applyFont="1" applyAlignment="1">
      <alignment horizontal="center"/>
    </xf>
    <xf numFmtId="0" fontId="7" fillId="0" borderId="2" xfId="0" applyFont="1" applyBorder="1"/>
    <xf numFmtId="0" fontId="7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43" fontId="2" fillId="0" borderId="9" xfId="1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7" fillId="0" borderId="8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43" fontId="0" fillId="0" borderId="2" xfId="0" applyNumberFormat="1" applyBorder="1"/>
    <xf numFmtId="43" fontId="0" fillId="0" borderId="12" xfId="0" applyNumberFormat="1" applyBorder="1"/>
    <xf numFmtId="0" fontId="7" fillId="0" borderId="1" xfId="0" applyFont="1" applyBorder="1"/>
    <xf numFmtId="43" fontId="7" fillId="0" borderId="2" xfId="0" applyNumberFormat="1" applyFont="1" applyBorder="1"/>
    <xf numFmtId="43" fontId="7" fillId="0" borderId="2" xfId="1" applyFont="1" applyBorder="1"/>
    <xf numFmtId="43" fontId="7" fillId="0" borderId="12" xfId="1" applyFont="1" applyBorder="1"/>
    <xf numFmtId="43" fontId="0" fillId="0" borderId="6" xfId="0" applyNumberFormat="1" applyBorder="1"/>
    <xf numFmtId="0" fontId="7" fillId="0" borderId="6" xfId="0" applyFont="1" applyBorder="1"/>
    <xf numFmtId="43" fontId="7" fillId="0" borderId="6" xfId="1" applyFont="1" applyBorder="1"/>
    <xf numFmtId="43" fontId="0" fillId="0" borderId="1" xfId="0" applyNumberFormat="1" applyBorder="1"/>
    <xf numFmtId="43" fontId="7" fillId="0" borderId="1" xfId="1" applyFont="1" applyBorder="1"/>
    <xf numFmtId="43" fontId="0" fillId="0" borderId="8" xfId="0" applyNumberFormat="1" applyBorder="1"/>
    <xf numFmtId="0" fontId="7" fillId="0" borderId="10" xfId="0" applyFont="1" applyBorder="1"/>
    <xf numFmtId="0" fontId="7" fillId="0" borderId="13" xfId="0" applyFont="1" applyBorder="1"/>
    <xf numFmtId="43" fontId="7" fillId="0" borderId="8" xfId="0" applyNumberFormat="1" applyFont="1" applyBorder="1"/>
    <xf numFmtId="43" fontId="7" fillId="0" borderId="12" xfId="0" applyNumberFormat="1" applyFont="1" applyBorder="1"/>
    <xf numFmtId="43" fontId="7" fillId="0" borderId="6" xfId="0" applyNumberFormat="1" applyFont="1" applyBorder="1"/>
    <xf numFmtId="43" fontId="7" fillId="0" borderId="8" xfId="1" applyFont="1" applyBorder="1"/>
    <xf numFmtId="43" fontId="2" fillId="0" borderId="8" xfId="1" applyFont="1" applyBorder="1"/>
    <xf numFmtId="0" fontId="2" fillId="0" borderId="14" xfId="0" applyFont="1" applyBorder="1"/>
    <xf numFmtId="0" fontId="2" fillId="0" borderId="15" xfId="0" applyFont="1" applyBorder="1"/>
    <xf numFmtId="0" fontId="7" fillId="0" borderId="3" xfId="0" applyFont="1" applyBorder="1"/>
    <xf numFmtId="4" fontId="7" fillId="0" borderId="6" xfId="0" applyNumberFormat="1" applyFont="1" applyBorder="1"/>
    <xf numFmtId="4" fontId="0" fillId="0" borderId="2" xfId="0" applyNumberFormat="1" applyBorder="1"/>
    <xf numFmtId="4" fontId="7" fillId="0" borderId="2" xfId="0" applyNumberFormat="1" applyFont="1" applyBorder="1"/>
    <xf numFmtId="4" fontId="2" fillId="0" borderId="9" xfId="0" applyNumberFormat="1" applyFont="1" applyBorder="1"/>
    <xf numFmtId="0" fontId="7" fillId="0" borderId="14" xfId="0" applyFont="1" applyBorder="1"/>
    <xf numFmtId="0" fontId="10" fillId="0" borderId="0" xfId="0" applyFont="1"/>
    <xf numFmtId="4" fontId="10" fillId="0" borderId="0" xfId="0" applyNumberFormat="1" applyFont="1"/>
    <xf numFmtId="4" fontId="2" fillId="0" borderId="2" xfId="0" applyNumberFormat="1" applyFont="1" applyBorder="1"/>
    <xf numFmtId="4" fontId="0" fillId="0" borderId="6" xfId="0" applyNumberFormat="1" applyBorder="1"/>
    <xf numFmtId="4" fontId="10" fillId="0" borderId="10" xfId="0" applyNumberFormat="1" applyFont="1" applyBorder="1"/>
    <xf numFmtId="39" fontId="0" fillId="0" borderId="2" xfId="0" applyNumberFormat="1" applyBorder="1"/>
    <xf numFmtId="43" fontId="6" fillId="0" borderId="2" xfId="1" applyFont="1" applyBorder="1"/>
    <xf numFmtId="43" fontId="2" fillId="0" borderId="0" xfId="1" applyFont="1" applyAlignment="1"/>
    <xf numFmtId="43" fontId="7" fillId="0" borderId="0" xfId="1" applyFont="1" applyFill="1" applyBorder="1"/>
    <xf numFmtId="43" fontId="7" fillId="0" borderId="0" xfId="1" applyFont="1" applyFill="1"/>
    <xf numFmtId="43" fontId="2" fillId="0" borderId="0" xfId="0" applyNumberFormat="1" applyFont="1"/>
    <xf numFmtId="43" fontId="7" fillId="0" borderId="0" xfId="1" applyFont="1" applyAlignment="1"/>
    <xf numFmtId="43" fontId="7" fillId="0" borderId="0" xfId="1" applyFont="1" applyAlignment="1">
      <alignment horizontal="center"/>
    </xf>
    <xf numFmtId="43" fontId="11" fillId="0" borderId="0" xfId="1" applyFont="1" applyFill="1" applyBorder="1" applyAlignment="1">
      <alignment horizontal="center"/>
    </xf>
    <xf numFmtId="43" fontId="6" fillId="0" borderId="0" xfId="1" applyFont="1" applyBorder="1"/>
    <xf numFmtId="43" fontId="2" fillId="0" borderId="6" xfId="1" applyFont="1" applyBorder="1"/>
    <xf numFmtId="43" fontId="0" fillId="0" borderId="12" xfId="1" applyFont="1" applyBorder="1"/>
    <xf numFmtId="43" fontId="6" fillId="0" borderId="3" xfId="1" applyFont="1" applyBorder="1"/>
    <xf numFmtId="43" fontId="6" fillId="0" borderId="0" xfId="1" applyFont="1" applyFill="1" applyBorder="1"/>
    <xf numFmtId="0" fontId="32" fillId="0" borderId="0" xfId="0" applyFont="1"/>
    <xf numFmtId="0" fontId="7" fillId="0" borderId="15" xfId="0" applyFont="1" applyBorder="1"/>
    <xf numFmtId="0" fontId="7" fillId="2" borderId="0" xfId="0" applyFont="1" applyFill="1"/>
    <xf numFmtId="4" fontId="0" fillId="2" borderId="2" xfId="0" applyNumberFormat="1" applyFill="1" applyBorder="1"/>
    <xf numFmtId="4" fontId="10" fillId="2" borderId="0" xfId="0" applyNumberFormat="1" applyFont="1" applyFill="1"/>
    <xf numFmtId="4" fontId="0" fillId="0" borderId="12" xfId="0" applyNumberFormat="1" applyBorder="1"/>
    <xf numFmtId="4" fontId="10" fillId="0" borderId="3" xfId="0" applyNumberFormat="1" applyFont="1" applyBorder="1"/>
    <xf numFmtId="4" fontId="0" fillId="0" borderId="1" xfId="0" applyNumberFormat="1" applyBorder="1"/>
    <xf numFmtId="4" fontId="10" fillId="0" borderId="13" xfId="0" applyNumberFormat="1" applyFont="1" applyBorder="1"/>
    <xf numFmtId="4" fontId="7" fillId="0" borderId="12" xfId="0" applyNumberFormat="1" applyFont="1" applyBorder="1"/>
    <xf numFmtId="4" fontId="7" fillId="0" borderId="1" xfId="0" applyNumberFormat="1" applyFont="1" applyBorder="1"/>
    <xf numFmtId="0" fontId="2" fillId="0" borderId="3" xfId="0" applyFont="1" applyBorder="1"/>
    <xf numFmtId="0" fontId="7" fillId="0" borderId="16" xfId="0" applyFont="1" applyBorder="1"/>
    <xf numFmtId="43" fontId="15" fillId="0" borderId="0" xfId="1" applyFont="1" applyBorder="1"/>
    <xf numFmtId="43" fontId="16" fillId="0" borderId="0" xfId="1" applyFont="1" applyBorder="1"/>
    <xf numFmtId="0" fontId="33" fillId="0" borderId="0" xfId="0" applyFont="1"/>
    <xf numFmtId="0" fontId="34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43" fontId="6" fillId="0" borderId="6" xfId="1" applyFont="1" applyBorder="1" applyAlignment="1">
      <alignment horizontal="right" vertical="center"/>
    </xf>
    <xf numFmtId="0" fontId="0" fillId="0" borderId="6" xfId="0" quotePrefix="1" applyBorder="1" applyAlignment="1">
      <alignment vertical="center"/>
    </xf>
    <xf numFmtId="0" fontId="0" fillId="2" borderId="6" xfId="0" applyFill="1" applyBorder="1" applyAlignment="1">
      <alignment vertical="center"/>
    </xf>
    <xf numFmtId="43" fontId="6" fillId="0" borderId="6" xfId="1" applyFont="1" applyFill="1" applyBorder="1" applyAlignment="1">
      <alignment horizontal="right" vertical="center"/>
    </xf>
    <xf numFmtId="0" fontId="0" fillId="2" borderId="6" xfId="0" quotePrefix="1" applyFill="1" applyBorder="1" applyAlignment="1">
      <alignment vertical="center"/>
    </xf>
    <xf numFmtId="0" fontId="35" fillId="2" borderId="6" xfId="0" applyFont="1" applyFill="1" applyBorder="1" applyAlignment="1">
      <alignment vertical="center"/>
    </xf>
    <xf numFmtId="0" fontId="35" fillId="2" borderId="6" xfId="0" quotePrefix="1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43" fontId="6" fillId="3" borderId="6" xfId="1" applyFont="1" applyFill="1" applyBorder="1" applyAlignment="1">
      <alignment horizontal="right" vertical="center"/>
    </xf>
    <xf numFmtId="0" fontId="2" fillId="6" borderId="6" xfId="0" applyFont="1" applyFill="1" applyBorder="1" applyAlignment="1">
      <alignment vertical="center"/>
    </xf>
    <xf numFmtId="43" fontId="2" fillId="6" borderId="6" xfId="1" applyFont="1" applyFill="1" applyBorder="1" applyAlignment="1">
      <alignment horizontal="right" vertical="center"/>
    </xf>
    <xf numFmtId="4" fontId="6" fillId="3" borderId="6" xfId="1" applyNumberFormat="1" applyFont="1" applyFill="1" applyBorder="1" applyAlignment="1">
      <alignment horizontal="center" vertical="center"/>
    </xf>
    <xf numFmtId="43" fontId="2" fillId="3" borderId="6" xfId="1" applyFont="1" applyFill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2" fillId="6" borderId="6" xfId="0" quotePrefix="1" applyFont="1" applyFill="1" applyBorder="1" applyAlignment="1">
      <alignment horizontal="center" vertical="center"/>
    </xf>
    <xf numFmtId="0" fontId="2" fillId="3" borderId="6" xfId="0" quotePrefix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43" fontId="2" fillId="5" borderId="6" xfId="1" applyFont="1" applyFill="1" applyBorder="1" applyAlignment="1">
      <alignment horizontal="right" vertical="center"/>
    </xf>
    <xf numFmtId="0" fontId="32" fillId="0" borderId="0" xfId="0" applyFont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right" vertical="center"/>
    </xf>
    <xf numFmtId="0" fontId="2" fillId="6" borderId="6" xfId="0" quotePrefix="1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2" fillId="0" borderId="0" xfId="1" applyFont="1" applyAlignment="1">
      <alignment vertical="center"/>
    </xf>
    <xf numFmtId="0" fontId="0" fillId="3" borderId="6" xfId="0" applyFill="1" applyBorder="1" applyAlignment="1">
      <alignment vertical="center"/>
    </xf>
    <xf numFmtId="0" fontId="0" fillId="0" borderId="6" xfId="0" applyBorder="1" applyAlignment="1">
      <alignment vertical="center" wrapText="1"/>
    </xf>
    <xf numFmtId="43" fontId="10" fillId="0" borderId="6" xfId="1" applyFont="1" applyBorder="1" applyAlignment="1">
      <alignment horizontal="right" vertical="center"/>
    </xf>
    <xf numFmtId="43" fontId="8" fillId="6" borderId="6" xfId="1" applyFont="1" applyFill="1" applyBorder="1" applyAlignment="1">
      <alignment horizontal="right" vertical="center"/>
    </xf>
    <xf numFmtId="43" fontId="8" fillId="5" borderId="6" xfId="1" applyFont="1" applyFill="1" applyBorder="1" applyAlignment="1">
      <alignment horizontal="right" vertical="center"/>
    </xf>
    <xf numFmtId="43" fontId="8" fillId="3" borderId="6" xfId="1" applyFont="1" applyFill="1" applyBorder="1" applyAlignment="1">
      <alignment horizontal="right" vertical="center"/>
    </xf>
    <xf numFmtId="43" fontId="10" fillId="3" borderId="6" xfId="1" applyFont="1" applyFill="1" applyBorder="1" applyAlignment="1">
      <alignment horizontal="right" vertical="center"/>
    </xf>
    <xf numFmtId="43" fontId="10" fillId="0" borderId="6" xfId="1" applyFont="1" applyFill="1" applyBorder="1" applyAlignment="1">
      <alignment horizontal="right" vertical="center"/>
    </xf>
    <xf numFmtId="0" fontId="30" fillId="0" borderId="0" xfId="0" applyFont="1"/>
    <xf numFmtId="43" fontId="6" fillId="7" borderId="6" xfId="1" applyFont="1" applyFill="1" applyBorder="1" applyAlignment="1">
      <alignment horizontal="right" vertical="center"/>
    </xf>
    <xf numFmtId="0" fontId="0" fillId="3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43" fontId="2" fillId="7" borderId="6" xfId="1" applyFont="1" applyFill="1" applyBorder="1" applyAlignment="1">
      <alignment horizontal="right" vertical="center"/>
    </xf>
    <xf numFmtId="49" fontId="6" fillId="0" borderId="6" xfId="0" applyNumberFormat="1" applyFont="1" applyBorder="1" applyAlignment="1">
      <alignment vertical="center"/>
    </xf>
    <xf numFmtId="0" fontId="36" fillId="2" borderId="6" xfId="0" applyFont="1" applyFill="1" applyBorder="1" applyAlignment="1">
      <alignment vertical="center" wrapText="1"/>
    </xf>
    <xf numFmtId="0" fontId="36" fillId="0" borderId="6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2" fillId="6" borderId="6" xfId="0" applyFont="1" applyFill="1" applyBorder="1" applyAlignment="1">
      <alignment vertical="center" wrapText="1"/>
    </xf>
    <xf numFmtId="0" fontId="37" fillId="6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43" fontId="2" fillId="5" borderId="6" xfId="0" applyNumberFormat="1" applyFont="1" applyFill="1" applyBorder="1" applyAlignment="1">
      <alignment vertical="center"/>
    </xf>
    <xf numFmtId="0" fontId="19" fillId="0" borderId="0" xfId="0" applyFont="1"/>
    <xf numFmtId="0" fontId="6" fillId="0" borderId="6" xfId="0" applyFont="1" applyBorder="1" applyAlignment="1">
      <alignment vertical="center" wrapText="1"/>
    </xf>
    <xf numFmtId="0" fontId="38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4" fontId="39" fillId="3" borderId="0" xfId="0" applyNumberFormat="1" applyFont="1" applyFill="1"/>
    <xf numFmtId="0" fontId="31" fillId="0" borderId="0" xfId="0" applyFont="1"/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43" fillId="0" borderId="8" xfId="0" applyFont="1" applyBorder="1" applyAlignment="1">
      <alignment vertical="center"/>
    </xf>
    <xf numFmtId="0" fontId="43" fillId="0" borderId="10" xfId="0" applyFont="1" applyBorder="1" applyAlignment="1">
      <alignment vertical="center"/>
    </xf>
    <xf numFmtId="0" fontId="44" fillId="0" borderId="11" xfId="0" applyFont="1" applyBorder="1" applyAlignment="1">
      <alignment horizontal="left" vertical="center"/>
    </xf>
    <xf numFmtId="43" fontId="45" fillId="0" borderId="6" xfId="1" applyFont="1" applyFill="1" applyBorder="1" applyAlignment="1">
      <alignment vertical="center"/>
    </xf>
    <xf numFmtId="0" fontId="38" fillId="0" borderId="8" xfId="0" applyFont="1" applyBorder="1" applyAlignment="1">
      <alignment vertical="center"/>
    </xf>
    <xf numFmtId="0" fontId="38" fillId="0" borderId="10" xfId="0" applyFont="1" applyBorder="1" applyAlignment="1">
      <alignment vertical="center"/>
    </xf>
    <xf numFmtId="0" fontId="38" fillId="0" borderId="11" xfId="0" applyFont="1" applyBorder="1" applyAlignment="1">
      <alignment vertical="center"/>
    </xf>
    <xf numFmtId="43" fontId="46" fillId="0" borderId="6" xfId="1" applyFont="1" applyFill="1" applyBorder="1" applyAlignment="1">
      <alignment vertical="center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right"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43" fontId="38" fillId="0" borderId="0" xfId="1" applyFont="1" applyFill="1" applyBorder="1" applyAlignment="1">
      <alignment vertical="center"/>
    </xf>
    <xf numFmtId="4" fontId="17" fillId="5" borderId="0" xfId="0" applyNumberFormat="1" applyFont="1" applyFill="1" applyAlignment="1">
      <alignment vertical="center"/>
    </xf>
    <xf numFmtId="49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vertical="center"/>
    </xf>
    <xf numFmtId="43" fontId="10" fillId="0" borderId="0" xfId="0" applyNumberFormat="1" applyFont="1" applyAlignment="1">
      <alignment vertical="center"/>
    </xf>
    <xf numFmtId="43" fontId="8" fillId="0" borderId="4" xfId="0" applyNumberFormat="1" applyFont="1" applyBorder="1" applyAlignment="1">
      <alignment vertical="center"/>
    </xf>
    <xf numFmtId="43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4" fontId="2" fillId="0" borderId="0" xfId="0" applyNumberFormat="1" applyFont="1"/>
    <xf numFmtId="4" fontId="6" fillId="0" borderId="0" xfId="0" applyNumberFormat="1" applyFont="1"/>
    <xf numFmtId="4" fontId="8" fillId="0" borderId="4" xfId="0" applyNumberFormat="1" applyFont="1" applyBorder="1" applyAlignment="1">
      <alignment vertical="center"/>
    </xf>
    <xf numFmtId="4" fontId="8" fillId="0" borderId="0" xfId="0" applyNumberFormat="1" applyFont="1" applyAlignment="1">
      <alignment vertical="center"/>
    </xf>
    <xf numFmtId="43" fontId="8" fillId="0" borderId="0" xfId="0" applyNumberFormat="1" applyFont="1"/>
    <xf numFmtId="0" fontId="2" fillId="3" borderId="0" xfId="0" applyFont="1" applyFill="1" applyAlignment="1">
      <alignment horizontal="right"/>
    </xf>
    <xf numFmtId="43" fontId="8" fillId="3" borderId="0" xfId="0" applyNumberFormat="1" applyFont="1" applyFill="1"/>
    <xf numFmtId="43" fontId="47" fillId="0" borderId="0" xfId="0" applyNumberFormat="1" applyFont="1"/>
    <xf numFmtId="4" fontId="10" fillId="0" borderId="0" xfId="0" applyNumberFormat="1" applyFont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0" fontId="48" fillId="5" borderId="6" xfId="0" applyFont="1" applyFill="1" applyBorder="1" applyAlignment="1">
      <alignment horizontal="center" vertical="center"/>
    </xf>
    <xf numFmtId="43" fontId="46" fillId="5" borderId="6" xfId="1" applyFont="1" applyFill="1" applyBorder="1" applyAlignment="1">
      <alignment vertical="center"/>
    </xf>
    <xf numFmtId="43" fontId="46" fillId="8" borderId="17" xfId="1" applyFont="1" applyFill="1" applyBorder="1" applyAlignment="1">
      <alignment vertical="center"/>
    </xf>
    <xf numFmtId="43" fontId="46" fillId="8" borderId="6" xfId="1" applyFont="1" applyFill="1" applyBorder="1" applyAlignment="1">
      <alignment vertical="center"/>
    </xf>
    <xf numFmtId="43" fontId="46" fillId="8" borderId="1" xfId="1" applyFont="1" applyFill="1" applyBorder="1" applyAlignment="1">
      <alignment vertical="center"/>
    </xf>
    <xf numFmtId="0" fontId="49" fillId="0" borderId="0" xfId="0" applyFont="1"/>
    <xf numFmtId="0" fontId="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43" fontId="50" fillId="0" borderId="3" xfId="3" applyFont="1" applyBorder="1"/>
    <xf numFmtId="4" fontId="0" fillId="0" borderId="3" xfId="0" applyNumberFormat="1" applyBorder="1"/>
    <xf numFmtId="4" fontId="2" fillId="0" borderId="5" xfId="0" applyNumberFormat="1" applyFont="1" applyBorder="1"/>
    <xf numFmtId="164" fontId="0" fillId="0" borderId="0" xfId="0" applyNumberFormat="1"/>
    <xf numFmtId="4" fontId="47" fillId="3" borderId="0" xfId="0" applyNumberFormat="1" applyFont="1" applyFill="1"/>
    <xf numFmtId="0" fontId="51" fillId="0" borderId="0" xfId="0" applyFont="1"/>
    <xf numFmtId="0" fontId="52" fillId="0" borderId="0" xfId="0" applyFont="1"/>
    <xf numFmtId="0" fontId="53" fillId="0" borderId="0" xfId="0" applyFont="1"/>
    <xf numFmtId="43" fontId="54" fillId="0" borderId="4" xfId="0" applyNumberFormat="1" applyFont="1" applyBorder="1" applyAlignment="1">
      <alignment vertical="center"/>
    </xf>
    <xf numFmtId="43" fontId="54" fillId="0" borderId="5" xfId="0" applyNumberFormat="1" applyFont="1" applyBorder="1" applyAlignment="1">
      <alignment vertical="center"/>
    </xf>
    <xf numFmtId="4" fontId="54" fillId="0" borderId="4" xfId="0" applyNumberFormat="1" applyFont="1" applyBorder="1" applyAlignment="1">
      <alignment vertical="center"/>
    </xf>
    <xf numFmtId="4" fontId="30" fillId="0" borderId="0" xfId="0" applyNumberFormat="1" applyFont="1"/>
    <xf numFmtId="4" fontId="19" fillId="0" borderId="0" xfId="0" applyNumberFormat="1" applyFont="1"/>
    <xf numFmtId="4" fontId="0" fillId="0" borderId="0" xfId="0" applyNumberFormat="1" applyAlignment="1">
      <alignment horizontal="center"/>
    </xf>
    <xf numFmtId="4" fontId="0" fillId="0" borderId="3" xfId="0" applyNumberFormat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43" fontId="50" fillId="0" borderId="3" xfId="3" applyFont="1" applyBorder="1" applyAlignment="1">
      <alignment horizontal="center" vertical="top"/>
    </xf>
    <xf numFmtId="0" fontId="55" fillId="0" borderId="0" xfId="0" applyFont="1" applyAlignment="1">
      <alignment horizontal="center" vertical="center"/>
    </xf>
    <xf numFmtId="0" fontId="46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43" fontId="45" fillId="0" borderId="0" xfId="1" applyFont="1" applyFill="1" applyBorder="1" applyAlignment="1">
      <alignment vertical="center"/>
    </xf>
    <xf numFmtId="43" fontId="43" fillId="0" borderId="5" xfId="1" applyFont="1" applyFill="1" applyBorder="1" applyAlignment="1">
      <alignment vertical="center"/>
    </xf>
    <xf numFmtId="43" fontId="57" fillId="0" borderId="0" xfId="1" applyFont="1" applyFill="1" applyBorder="1" applyAlignment="1">
      <alignment vertical="center"/>
    </xf>
    <xf numFmtId="43" fontId="58" fillId="0" borderId="0" xfId="1" applyFont="1" applyFill="1" applyBorder="1" applyAlignment="1">
      <alignment vertical="center"/>
    </xf>
    <xf numFmtId="43" fontId="59" fillId="0" borderId="0" xfId="1" applyFont="1" applyFill="1" applyBorder="1" applyAlignment="1">
      <alignment vertical="center"/>
    </xf>
    <xf numFmtId="4" fontId="30" fillId="2" borderId="0" xfId="0" applyNumberFormat="1" applyFont="1" applyFill="1"/>
    <xf numFmtId="0" fontId="33" fillId="0" borderId="0" xfId="0" applyFont="1" applyAlignment="1">
      <alignment horizontal="center" vertical="top"/>
    </xf>
    <xf numFmtId="0" fontId="55" fillId="5" borderId="6" xfId="0" applyFont="1" applyFill="1" applyBorder="1" applyAlignment="1">
      <alignment horizontal="center" vertical="top"/>
    </xf>
    <xf numFmtId="0" fontId="30" fillId="0" borderId="6" xfId="0" applyFont="1" applyBorder="1" applyAlignment="1">
      <alignment horizontal="center" vertical="top"/>
    </xf>
    <xf numFmtId="4" fontId="30" fillId="0" borderId="6" xfId="0" applyNumberFormat="1" applyFont="1" applyBorder="1" applyAlignment="1">
      <alignment horizontal="center" vertical="top"/>
    </xf>
    <xf numFmtId="4" fontId="43" fillId="2" borderId="6" xfId="0" applyNumberFormat="1" applyFont="1" applyFill="1" applyBorder="1" applyAlignment="1">
      <alignment horizontal="center" vertical="top"/>
    </xf>
    <xf numFmtId="0" fontId="38" fillId="0" borderId="0" xfId="0" applyFont="1" applyAlignment="1">
      <alignment horizontal="center" vertical="top"/>
    </xf>
    <xf numFmtId="4" fontId="31" fillId="2" borderId="6" xfId="0" applyNumberFormat="1" applyFont="1" applyFill="1" applyBorder="1" applyAlignment="1">
      <alignment horizontal="center" vertical="top"/>
    </xf>
    <xf numFmtId="4" fontId="43" fillId="5" borderId="6" xfId="0" applyNumberFormat="1" applyFont="1" applyFill="1" applyBorder="1" applyAlignment="1">
      <alignment horizontal="center" vertical="top"/>
    </xf>
    <xf numFmtId="4" fontId="43" fillId="2" borderId="1" xfId="0" applyNumberFormat="1" applyFont="1" applyFill="1" applyBorder="1" applyAlignment="1">
      <alignment horizontal="center" vertical="top"/>
    </xf>
    <xf numFmtId="4" fontId="30" fillId="0" borderId="12" xfId="0" applyNumberFormat="1" applyFont="1" applyBorder="1" applyAlignment="1">
      <alignment horizontal="center" vertical="top"/>
    </xf>
    <xf numFmtId="4" fontId="43" fillId="0" borderId="18" xfId="0" applyNumberFormat="1" applyFont="1" applyBorder="1" applyAlignment="1">
      <alignment horizontal="center" vertical="top"/>
    </xf>
    <xf numFmtId="4" fontId="38" fillId="0" borderId="6" xfId="0" applyNumberFormat="1" applyFont="1" applyBorder="1" applyAlignment="1">
      <alignment horizontal="center" vertical="top"/>
    </xf>
    <xf numFmtId="43" fontId="60" fillId="2" borderId="6" xfId="1" applyFont="1" applyFill="1" applyBorder="1" applyAlignment="1">
      <alignment vertical="center"/>
    </xf>
    <xf numFmtId="165" fontId="2" fillId="0" borderId="0" xfId="0" applyNumberFormat="1" applyFont="1"/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43" fontId="0" fillId="0" borderId="3" xfId="1" applyFont="1" applyBorder="1"/>
    <xf numFmtId="43" fontId="2" fillId="0" borderId="0" xfId="1" applyFont="1"/>
    <xf numFmtId="43" fontId="6" fillId="0" borderId="0" xfId="1" applyFont="1"/>
    <xf numFmtId="0" fontId="23" fillId="0" borderId="0" xfId="0" applyFont="1"/>
    <xf numFmtId="0" fontId="61" fillId="0" borderId="0" xfId="0" applyFont="1" applyAlignment="1">
      <alignment horizontal="left" vertical="center"/>
    </xf>
    <xf numFmtId="165" fontId="61" fillId="0" borderId="0" xfId="0" applyNumberFormat="1" applyFont="1"/>
    <xf numFmtId="0" fontId="23" fillId="0" borderId="7" xfId="0" applyFont="1" applyBorder="1" applyAlignment="1">
      <alignment horizontal="left" vertical="center"/>
    </xf>
    <xf numFmtId="0" fontId="23" fillId="0" borderId="16" xfId="0" applyFont="1" applyBorder="1" applyAlignment="1">
      <alignment vertical="center"/>
    </xf>
    <xf numFmtId="0" fontId="22" fillId="0" borderId="7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16" xfId="0" applyFont="1" applyBorder="1" applyAlignment="1">
      <alignment vertical="center"/>
    </xf>
    <xf numFmtId="43" fontId="22" fillId="0" borderId="0" xfId="0" applyNumberFormat="1" applyFont="1" applyAlignment="1">
      <alignment vertical="center"/>
    </xf>
    <xf numFmtId="0" fontId="43" fillId="0" borderId="0" xfId="0" applyFont="1"/>
    <xf numFmtId="0" fontId="23" fillId="0" borderId="7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31" fillId="2" borderId="0" xfId="0" applyFont="1" applyFill="1"/>
    <xf numFmtId="43" fontId="23" fillId="0" borderId="0" xfId="0" applyNumberFormat="1" applyFont="1" applyAlignment="1">
      <alignment vertical="center"/>
    </xf>
    <xf numFmtId="43" fontId="6" fillId="0" borderId="0" xfId="1" applyFont="1" applyBorder="1" applyAlignment="1">
      <alignment horizontal="right"/>
    </xf>
    <xf numFmtId="4" fontId="0" fillId="3" borderId="0" xfId="0" applyNumberFormat="1" applyFill="1"/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22" fillId="0" borderId="3" xfId="0" applyFont="1" applyBorder="1" applyAlignment="1">
      <alignment horizontal="left" vertical="center"/>
    </xf>
    <xf numFmtId="0" fontId="22" fillId="0" borderId="3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4" fontId="2" fillId="3" borderId="0" xfId="0" applyNumberFormat="1" applyFont="1" applyFill="1"/>
    <xf numFmtId="43" fontId="45" fillId="0" borderId="0" xfId="2" applyFont="1" applyFill="1" applyBorder="1" applyAlignment="1">
      <alignment vertical="center"/>
    </xf>
    <xf numFmtId="43" fontId="38" fillId="0" borderId="0" xfId="2" applyFont="1" applyFill="1" applyBorder="1" applyAlignment="1">
      <alignment vertical="center"/>
    </xf>
    <xf numFmtId="43" fontId="43" fillId="0" borderId="5" xfId="2" applyFont="1" applyFill="1" applyBorder="1" applyAlignment="1">
      <alignment vertical="center"/>
    </xf>
    <xf numFmtId="43" fontId="59" fillId="0" borderId="0" xfId="2" applyFont="1" applyFill="1" applyBorder="1" applyAlignment="1">
      <alignment vertical="center"/>
    </xf>
    <xf numFmtId="43" fontId="57" fillId="0" borderId="0" xfId="2" applyFont="1" applyFill="1" applyBorder="1" applyAlignment="1">
      <alignment vertical="center"/>
    </xf>
    <xf numFmtId="43" fontId="58" fillId="0" borderId="0" xfId="2" applyFont="1" applyFill="1" applyBorder="1" applyAlignment="1">
      <alignment vertical="center"/>
    </xf>
    <xf numFmtId="43" fontId="24" fillId="0" borderId="0" xfId="1" applyFont="1"/>
    <xf numFmtId="43" fontId="2" fillId="0" borderId="3" xfId="1" applyFont="1" applyBorder="1"/>
    <xf numFmtId="164" fontId="2" fillId="0" borderId="0" xfId="0" applyNumberFormat="1" applyFont="1"/>
    <xf numFmtId="4" fontId="0" fillId="2" borderId="0" xfId="0" applyNumberFormat="1" applyFill="1"/>
    <xf numFmtId="43" fontId="24" fillId="0" borderId="3" xfId="1" applyFont="1" applyBorder="1"/>
    <xf numFmtId="43" fontId="25" fillId="0" borderId="0" xfId="1" applyFont="1"/>
    <xf numFmtId="43" fontId="27" fillId="2" borderId="0" xfId="1" applyFont="1" applyFill="1"/>
    <xf numFmtId="4" fontId="21" fillId="2" borderId="0" xfId="0" applyNumberFormat="1" applyFont="1" applyFill="1"/>
    <xf numFmtId="43" fontId="2" fillId="2" borderId="0" xfId="0" applyNumberFormat="1" applyFont="1" applyFill="1"/>
    <xf numFmtId="164" fontId="24" fillId="2" borderId="0" xfId="0" applyNumberFormat="1" applyFont="1" applyFill="1"/>
    <xf numFmtId="43" fontId="24" fillId="2" borderId="0" xfId="1" applyFont="1" applyFill="1"/>
    <xf numFmtId="0" fontId="0" fillId="2" borderId="0" xfId="0" applyFill="1"/>
    <xf numFmtId="43" fontId="24" fillId="0" borderId="0" xfId="0" applyNumberFormat="1" applyFont="1"/>
    <xf numFmtId="43" fontId="15" fillId="9" borderId="0" xfId="0" applyNumberFormat="1" applyFont="1" applyFill="1"/>
    <xf numFmtId="43" fontId="24" fillId="2" borderId="0" xfId="0" applyNumberFormat="1" applyFont="1" applyFill="1"/>
    <xf numFmtId="43" fontId="27" fillId="2" borderId="0" xfId="1" applyFont="1" applyFill="1" applyBorder="1"/>
    <xf numFmtId="4" fontId="21" fillId="0" borderId="0" xfId="0" applyNumberFormat="1" applyFont="1"/>
    <xf numFmtId="4" fontId="26" fillId="10" borderId="0" xfId="0" applyNumberFormat="1" applyFont="1" applyFill="1"/>
    <xf numFmtId="4" fontId="26" fillId="9" borderId="0" xfId="0" applyNumberFormat="1" applyFont="1" applyFill="1"/>
    <xf numFmtId="4" fontId="21" fillId="9" borderId="0" xfId="0" applyNumberFormat="1" applyFont="1" applyFill="1"/>
    <xf numFmtId="164" fontId="15" fillId="9" borderId="0" xfId="0" applyNumberFormat="1" applyFont="1" applyFill="1"/>
    <xf numFmtId="164" fontId="15" fillId="2" borderId="0" xfId="0" applyNumberFormat="1" applyFont="1" applyFill="1"/>
    <xf numFmtId="164" fontId="2" fillId="10" borderId="0" xfId="0" applyNumberFormat="1" applyFont="1" applyFill="1"/>
    <xf numFmtId="43" fontId="2" fillId="2" borderId="0" xfId="1" applyFont="1" applyFill="1" applyBorder="1"/>
    <xf numFmtId="43" fontId="2" fillId="2" borderId="0" xfId="1" applyFont="1" applyFill="1"/>
    <xf numFmtId="43" fontId="15" fillId="2" borderId="0" xfId="0" applyNumberFormat="1" applyFont="1" applyFill="1"/>
    <xf numFmtId="164" fontId="2" fillId="3" borderId="0" xfId="0" applyNumberFormat="1" applyFont="1" applyFill="1"/>
    <xf numFmtId="0" fontId="38" fillId="0" borderId="0" xfId="0" applyFont="1" applyAlignment="1">
      <alignment horizontal="left" vertical="center"/>
    </xf>
    <xf numFmtId="4" fontId="34" fillId="0" borderId="0" xfId="0" applyNumberFormat="1" applyFont="1"/>
    <xf numFmtId="43" fontId="45" fillId="0" borderId="0" xfId="1" applyFont="1" applyFill="1" applyAlignment="1">
      <alignment vertical="center"/>
    </xf>
    <xf numFmtId="43" fontId="45" fillId="0" borderId="0" xfId="1" applyFont="1" applyAlignment="1">
      <alignment vertical="center"/>
    </xf>
    <xf numFmtId="0" fontId="46" fillId="0" borderId="20" xfId="1" applyNumberFormat="1" applyFont="1" applyFill="1" applyBorder="1" applyAlignment="1">
      <alignment horizontal="center" vertical="center"/>
    </xf>
    <xf numFmtId="0" fontId="46" fillId="3" borderId="20" xfId="1" applyNumberFormat="1" applyFont="1" applyFill="1" applyBorder="1" applyAlignment="1">
      <alignment horizontal="center" vertical="center"/>
    </xf>
    <xf numFmtId="0" fontId="46" fillId="0" borderId="7" xfId="0" applyFont="1" applyBorder="1" applyAlignment="1">
      <alignment vertical="center"/>
    </xf>
    <xf numFmtId="0" fontId="45" fillId="0" borderId="16" xfId="0" applyFont="1" applyBorder="1" applyAlignment="1">
      <alignment vertical="center"/>
    </xf>
    <xf numFmtId="43" fontId="45" fillId="0" borderId="2" xfId="1" applyFont="1" applyFill="1" applyBorder="1" applyAlignment="1">
      <alignment vertical="center"/>
    </xf>
    <xf numFmtId="43" fontId="45" fillId="11" borderId="0" xfId="1" applyFont="1" applyFill="1" applyBorder="1" applyAlignment="1">
      <alignment vertical="center"/>
    </xf>
    <xf numFmtId="43" fontId="45" fillId="0" borderId="0" xfId="1" applyFont="1" applyBorder="1" applyAlignment="1">
      <alignment vertical="center"/>
    </xf>
    <xf numFmtId="4" fontId="38" fillId="0" borderId="0" xfId="0" applyNumberFormat="1" applyFont="1"/>
    <xf numFmtId="0" fontId="45" fillId="0" borderId="7" xfId="0" applyFont="1" applyBorder="1" applyAlignment="1">
      <alignment vertical="center"/>
    </xf>
    <xf numFmtId="0" fontId="45" fillId="0" borderId="0" xfId="0" applyFont="1"/>
    <xf numFmtId="4" fontId="45" fillId="0" borderId="0" xfId="0" applyNumberFormat="1" applyFont="1"/>
    <xf numFmtId="0" fontId="45" fillId="2" borderId="0" xfId="0" applyFont="1" applyFill="1"/>
    <xf numFmtId="0" fontId="29" fillId="2" borderId="0" xfId="0" applyFont="1" applyFill="1"/>
    <xf numFmtId="0" fontId="29" fillId="0" borderId="0" xfId="0" applyFont="1"/>
    <xf numFmtId="43" fontId="45" fillId="0" borderId="0" xfId="0" applyNumberFormat="1" applyFont="1"/>
    <xf numFmtId="0" fontId="62" fillId="0" borderId="0" xfId="0" applyFont="1"/>
    <xf numFmtId="43" fontId="63" fillId="0" borderId="17" xfId="1" applyFont="1" applyFill="1" applyBorder="1" applyAlignment="1">
      <alignment vertical="center"/>
    </xf>
    <xf numFmtId="43" fontId="60" fillId="0" borderId="21" xfId="1" applyFont="1" applyBorder="1" applyAlignment="1">
      <alignment vertical="center"/>
    </xf>
    <xf numFmtId="43" fontId="43" fillId="0" borderId="0" xfId="0" applyNumberFormat="1" applyFont="1"/>
    <xf numFmtId="0" fontId="38" fillId="2" borderId="0" xfId="0" applyFont="1" applyFill="1"/>
    <xf numFmtId="0" fontId="34" fillId="2" borderId="0" xfId="0" applyFont="1" applyFill="1"/>
    <xf numFmtId="43" fontId="63" fillId="0" borderId="21" xfId="1" applyFont="1" applyBorder="1" applyAlignment="1">
      <alignment vertical="center"/>
    </xf>
    <xf numFmtId="0" fontId="64" fillId="0" borderId="7" xfId="0" applyFont="1" applyBorder="1" applyAlignment="1">
      <alignment vertical="center"/>
    </xf>
    <xf numFmtId="0" fontId="65" fillId="0" borderId="0" xfId="0" applyFont="1" applyAlignment="1">
      <alignment vertical="center"/>
    </xf>
    <xf numFmtId="0" fontId="65" fillId="0" borderId="16" xfId="0" applyFont="1" applyBorder="1" applyAlignment="1">
      <alignment vertical="center"/>
    </xf>
    <xf numFmtId="43" fontId="64" fillId="0" borderId="22" xfId="1" applyFont="1" applyFill="1" applyBorder="1" applyAlignment="1">
      <alignment vertical="center"/>
    </xf>
    <xf numFmtId="43" fontId="65" fillId="0" borderId="23" xfId="1" applyFont="1" applyBorder="1" applyAlignment="1">
      <alignment vertical="center"/>
    </xf>
    <xf numFmtId="0" fontId="65" fillId="0" borderId="0" xfId="0" applyFont="1"/>
    <xf numFmtId="4" fontId="65" fillId="0" borderId="0" xfId="0" applyNumberFormat="1" applyFont="1"/>
    <xf numFmtId="0" fontId="65" fillId="2" borderId="0" xfId="0" applyFont="1" applyFill="1"/>
    <xf numFmtId="4" fontId="66" fillId="2" borderId="0" xfId="0" applyNumberFormat="1" applyFont="1" applyFill="1"/>
    <xf numFmtId="4" fontId="66" fillId="0" borderId="0" xfId="0" applyNumberFormat="1" applyFont="1"/>
    <xf numFmtId="0" fontId="66" fillId="0" borderId="0" xfId="0" applyFont="1"/>
    <xf numFmtId="43" fontId="45" fillId="0" borderId="21" xfId="1" applyFont="1" applyBorder="1" applyAlignment="1">
      <alignment vertical="center"/>
    </xf>
    <xf numFmtId="43" fontId="45" fillId="0" borderId="21" xfId="1" applyFont="1" applyFill="1" applyBorder="1" applyAlignment="1">
      <alignment vertical="center"/>
    </xf>
    <xf numFmtId="43" fontId="65" fillId="0" borderId="23" xfId="1" applyFont="1" applyFill="1" applyBorder="1" applyAlignment="1">
      <alignment vertical="center"/>
    </xf>
    <xf numFmtId="43" fontId="46" fillId="0" borderId="24" xfId="1" applyFont="1" applyFill="1" applyBorder="1" applyAlignment="1">
      <alignment vertical="center"/>
    </xf>
    <xf numFmtId="43" fontId="45" fillId="0" borderId="25" xfId="1" applyFont="1" applyFill="1" applyBorder="1" applyAlignment="1">
      <alignment vertical="center"/>
    </xf>
    <xf numFmtId="43" fontId="38" fillId="0" borderId="0" xfId="0" applyNumberFormat="1" applyFont="1"/>
    <xf numFmtId="43" fontId="46" fillId="0" borderId="17" xfId="1" applyFont="1" applyFill="1" applyBorder="1" applyAlignment="1">
      <alignment vertical="center"/>
    </xf>
    <xf numFmtId="43" fontId="63" fillId="0" borderId="22" xfId="1" applyFont="1" applyFill="1" applyBorder="1" applyAlignment="1">
      <alignment vertical="center"/>
    </xf>
    <xf numFmtId="43" fontId="67" fillId="0" borderId="22" xfId="1" applyFont="1" applyBorder="1" applyAlignment="1">
      <alignment vertical="center"/>
    </xf>
    <xf numFmtId="0" fontId="60" fillId="0" borderId="0" xfId="0" applyFont="1"/>
    <xf numFmtId="43" fontId="63" fillId="0" borderId="0" xfId="0" applyNumberFormat="1" applyFont="1"/>
    <xf numFmtId="4" fontId="60" fillId="0" borderId="0" xfId="0" applyNumberFormat="1" applyFont="1"/>
    <xf numFmtId="0" fontId="68" fillId="0" borderId="0" xfId="0" applyFont="1"/>
    <xf numFmtId="4" fontId="68" fillId="2" borderId="0" xfId="0" applyNumberFormat="1" applyFont="1" applyFill="1"/>
    <xf numFmtId="164" fontId="34" fillId="2" borderId="0" xfId="0" applyNumberFormat="1" applyFont="1" applyFill="1"/>
    <xf numFmtId="4" fontId="34" fillId="3" borderId="0" xfId="0" applyNumberFormat="1" applyFont="1" applyFill="1"/>
    <xf numFmtId="0" fontId="38" fillId="0" borderId="14" xfId="0" applyFont="1" applyBorder="1" applyAlignment="1">
      <alignment vertical="center"/>
    </xf>
    <xf numFmtId="0" fontId="38" fillId="0" borderId="13" xfId="0" applyFont="1" applyBorder="1" applyAlignment="1">
      <alignment vertical="center"/>
    </xf>
    <xf numFmtId="0" fontId="38" fillId="0" borderId="26" xfId="0" applyFont="1" applyBorder="1" applyAlignment="1">
      <alignment vertical="center"/>
    </xf>
    <xf numFmtId="43" fontId="45" fillId="0" borderId="1" xfId="1" applyFont="1" applyFill="1" applyBorder="1" applyAlignment="1">
      <alignment vertical="center"/>
    </xf>
    <xf numFmtId="4" fontId="38" fillId="0" borderId="1" xfId="0" applyNumberFormat="1" applyFont="1" applyBorder="1" applyAlignment="1">
      <alignment horizontal="center" vertical="top"/>
    </xf>
    <xf numFmtId="43" fontId="33" fillId="0" borderId="0" xfId="1" applyFont="1"/>
    <xf numFmtId="43" fontId="30" fillId="0" borderId="0" xfId="1" applyFont="1"/>
    <xf numFmtId="43" fontId="38" fillId="0" borderId="0" xfId="1" applyFont="1"/>
    <xf numFmtId="164" fontId="38" fillId="0" borderId="0" xfId="0" applyNumberFormat="1" applyFont="1" applyAlignment="1">
      <alignment vertical="center"/>
    </xf>
    <xf numFmtId="43" fontId="38" fillId="0" borderId="0" xfId="1" applyFont="1" applyFill="1" applyAlignment="1">
      <alignment vertical="center"/>
    </xf>
    <xf numFmtId="0" fontId="5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2" fillId="6" borderId="11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4" fillId="12" borderId="6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7" borderId="8" xfId="0" applyFont="1" applyFill="1" applyBorder="1" applyAlignment="1">
      <alignment horizontal="left" vertical="center"/>
    </xf>
    <xf numFmtId="0" fontId="2" fillId="7" borderId="10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4" fillId="0" borderId="6" xfId="0" applyFont="1" applyBorder="1" applyAlignment="1">
      <alignment horizontal="left" vertical="center"/>
    </xf>
    <xf numFmtId="0" fontId="44" fillId="5" borderId="8" xfId="0" applyFont="1" applyFill="1" applyBorder="1" applyAlignment="1">
      <alignment horizontal="left" vertical="center"/>
    </xf>
    <xf numFmtId="0" fontId="44" fillId="5" borderId="10" xfId="0" applyFont="1" applyFill="1" applyBorder="1" applyAlignment="1">
      <alignment horizontal="left" vertical="center"/>
    </xf>
    <xf numFmtId="0" fontId="44" fillId="5" borderId="11" xfId="0" applyFont="1" applyFill="1" applyBorder="1" applyAlignment="1">
      <alignment horizontal="left" vertical="center"/>
    </xf>
    <xf numFmtId="0" fontId="43" fillId="0" borderId="6" xfId="0" applyFont="1" applyBorder="1" applyAlignment="1">
      <alignment horizontal="center" vertical="center"/>
    </xf>
    <xf numFmtId="0" fontId="43" fillId="8" borderId="6" xfId="0" applyFont="1" applyFill="1" applyBorder="1" applyAlignment="1">
      <alignment horizontal="center" vertical="center"/>
    </xf>
    <xf numFmtId="0" fontId="55" fillId="5" borderId="6" xfId="0" applyFont="1" applyFill="1" applyBorder="1" applyAlignment="1">
      <alignment horizontal="center" vertical="center"/>
    </xf>
    <xf numFmtId="0" fontId="40" fillId="5" borderId="6" xfId="0" applyFont="1" applyFill="1" applyBorder="1" applyAlignment="1">
      <alignment horizontal="center" vertical="center"/>
    </xf>
    <xf numFmtId="0" fontId="43" fillId="8" borderId="1" xfId="0" applyFont="1" applyFill="1" applyBorder="1" applyAlignment="1">
      <alignment horizontal="center" vertical="center"/>
    </xf>
    <xf numFmtId="0" fontId="43" fillId="8" borderId="27" xfId="0" applyFont="1" applyFill="1" applyBorder="1" applyAlignment="1">
      <alignment horizontal="center" vertical="center"/>
    </xf>
    <xf numFmtId="0" fontId="43" fillId="8" borderId="21" xfId="0" applyFont="1" applyFill="1" applyBorder="1" applyAlignment="1">
      <alignment horizontal="center" vertical="center"/>
    </xf>
    <xf numFmtId="0" fontId="43" fillId="8" borderId="28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46" fillId="0" borderId="29" xfId="0" applyFont="1" applyBorder="1" applyAlignment="1">
      <alignment horizontal="center" vertical="center"/>
    </xf>
    <xf numFmtId="0" fontId="46" fillId="0" borderId="30" xfId="0" applyFont="1" applyBorder="1" applyAlignment="1">
      <alignment horizontal="center" vertical="center"/>
    </xf>
    <xf numFmtId="0" fontId="46" fillId="0" borderId="31" xfId="0" applyFont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45" fillId="0" borderId="16" xfId="0" applyFont="1" applyBorder="1" applyAlignment="1">
      <alignment vertical="center"/>
    </xf>
    <xf numFmtId="0" fontId="63" fillId="0" borderId="0" xfId="0" applyFont="1" applyAlignment="1">
      <alignment vertical="center"/>
    </xf>
    <xf numFmtId="0" fontId="63" fillId="0" borderId="16" xfId="0" applyFont="1" applyBorder="1" applyAlignment="1">
      <alignment vertical="center"/>
    </xf>
    <xf numFmtId="0" fontId="45" fillId="0" borderId="0" xfId="0" applyFont="1" applyAlignment="1">
      <alignment horizontal="left" vertical="center"/>
    </xf>
    <xf numFmtId="0" fontId="45" fillId="0" borderId="16" xfId="0" applyFont="1" applyBorder="1" applyAlignment="1">
      <alignment horizontal="left" vertical="center"/>
    </xf>
    <xf numFmtId="0" fontId="63" fillId="0" borderId="0" xfId="0" applyFont="1" applyAlignment="1">
      <alignment horizontal="left" vertical="center"/>
    </xf>
    <xf numFmtId="0" fontId="63" fillId="0" borderId="16" xfId="0" applyFont="1" applyBorder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46" fillId="0" borderId="7" xfId="0" applyFont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6" fillId="0" borderId="16" xfId="0" applyFont="1" applyBorder="1" applyAlignment="1">
      <alignment horizontal="left" vertical="center"/>
    </xf>
    <xf numFmtId="0" fontId="63" fillId="0" borderId="32" xfId="0" applyFont="1" applyBorder="1" applyAlignment="1">
      <alignment horizontal="left" vertical="center"/>
    </xf>
    <xf numFmtId="0" fontId="63" fillId="0" borderId="5" xfId="0" applyFont="1" applyBorder="1" applyAlignment="1">
      <alignment horizontal="left" vertical="center"/>
    </xf>
    <xf numFmtId="0" fontId="63" fillId="0" borderId="33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73" fillId="0" borderId="0" xfId="0" applyFont="1" applyAlignment="1">
      <alignment horizontal="center" vertical="center"/>
    </xf>
  </cellXfs>
  <cellStyles count="8">
    <cellStyle name="Comma" xfId="1" builtinId="3"/>
    <cellStyle name="Comma 10 2" xfId="2" xr:uid="{00000000-0005-0000-0000-000001000000}"/>
    <cellStyle name="Comma 2" xfId="3" xr:uid="{00000000-0005-0000-0000-000002000000}"/>
    <cellStyle name="Comma 3" xfId="4" xr:uid="{00000000-0005-0000-0000-000003000000}"/>
    <cellStyle name="Comma 4" xfId="5" xr:uid="{00000000-0005-0000-0000-000004000000}"/>
    <cellStyle name="Normal" xfId="0" builtinId="0"/>
    <cellStyle name="Normal 2" xfId="6" xr:uid="{00000000-0005-0000-0000-000006000000}"/>
    <cellStyle name="Normal 3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1</xdr:col>
      <xdr:colOff>447675</xdr:colOff>
      <xdr:row>4</xdr:row>
      <xdr:rowOff>180975</xdr:rowOff>
    </xdr:to>
    <xdr:pic>
      <xdr:nvPicPr>
        <xdr:cNvPr id="98893" name="Picture 1">
          <a:extLst>
            <a:ext uri="{FF2B5EF4-FFF2-40B4-BE49-F238E27FC236}">
              <a16:creationId xmlns:a16="http://schemas.microsoft.com/office/drawing/2014/main" id="{51D49D7B-0EE9-DE42-C77A-C1466DB58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4775"/>
          <a:ext cx="9906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76200</xdr:rowOff>
    </xdr:from>
    <xdr:to>
      <xdr:col>4</xdr:col>
      <xdr:colOff>76200</xdr:colOff>
      <xdr:row>5</xdr:row>
      <xdr:rowOff>123825</xdr:rowOff>
    </xdr:to>
    <xdr:pic>
      <xdr:nvPicPr>
        <xdr:cNvPr id="106823" name="Picture 1">
          <a:extLst>
            <a:ext uri="{FF2B5EF4-FFF2-40B4-BE49-F238E27FC236}">
              <a16:creationId xmlns:a16="http://schemas.microsoft.com/office/drawing/2014/main" id="{D3EC4D41-C7EA-EC7D-CA02-A4CF525E4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6200"/>
          <a:ext cx="9715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2</xdr:col>
      <xdr:colOff>333375</xdr:colOff>
      <xdr:row>5</xdr:row>
      <xdr:rowOff>38100</xdr:rowOff>
    </xdr:to>
    <xdr:pic>
      <xdr:nvPicPr>
        <xdr:cNvPr id="104836" name="Picture 1">
          <a:extLst>
            <a:ext uri="{FF2B5EF4-FFF2-40B4-BE49-F238E27FC236}">
              <a16:creationId xmlns:a16="http://schemas.microsoft.com/office/drawing/2014/main" id="{EAEFB2BE-81D6-764F-0E94-2D11B07EB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0"/>
          <a:ext cx="11334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0</xdr:rowOff>
    </xdr:from>
    <xdr:to>
      <xdr:col>4</xdr:col>
      <xdr:colOff>314325</xdr:colOff>
      <xdr:row>5</xdr:row>
      <xdr:rowOff>95250</xdr:rowOff>
    </xdr:to>
    <xdr:pic>
      <xdr:nvPicPr>
        <xdr:cNvPr id="108864" name="Picture 1">
          <a:extLst>
            <a:ext uri="{FF2B5EF4-FFF2-40B4-BE49-F238E27FC236}">
              <a16:creationId xmlns:a16="http://schemas.microsoft.com/office/drawing/2014/main" id="{C519AC43-BC50-7B75-936A-7FF205303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0"/>
          <a:ext cx="10001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0</xdr:row>
      <xdr:rowOff>0</xdr:rowOff>
    </xdr:from>
    <xdr:to>
      <xdr:col>0</xdr:col>
      <xdr:colOff>1352550</xdr:colOff>
      <xdr:row>5</xdr:row>
      <xdr:rowOff>104775</xdr:rowOff>
    </xdr:to>
    <xdr:pic>
      <xdr:nvPicPr>
        <xdr:cNvPr id="109874" name="Picture 1">
          <a:extLst>
            <a:ext uri="{FF2B5EF4-FFF2-40B4-BE49-F238E27FC236}">
              <a16:creationId xmlns:a16="http://schemas.microsoft.com/office/drawing/2014/main" id="{8601E297-6B39-AA62-3EFC-A4272560B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0"/>
          <a:ext cx="9144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9525</xdr:rowOff>
    </xdr:from>
    <xdr:to>
      <xdr:col>3</xdr:col>
      <xdr:colOff>219075</xdr:colOff>
      <xdr:row>5</xdr:row>
      <xdr:rowOff>171450</xdr:rowOff>
    </xdr:to>
    <xdr:pic>
      <xdr:nvPicPr>
        <xdr:cNvPr id="99861" name="Picture 1">
          <a:extLst>
            <a:ext uri="{FF2B5EF4-FFF2-40B4-BE49-F238E27FC236}">
              <a16:creationId xmlns:a16="http://schemas.microsoft.com/office/drawing/2014/main" id="{331A94C3-2201-E160-9D7D-BC315F30A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00025"/>
          <a:ext cx="94297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200025</xdr:rowOff>
    </xdr:from>
    <xdr:to>
      <xdr:col>2</xdr:col>
      <xdr:colOff>942975</xdr:colOff>
      <xdr:row>5</xdr:row>
      <xdr:rowOff>152400</xdr:rowOff>
    </xdr:to>
    <xdr:pic>
      <xdr:nvPicPr>
        <xdr:cNvPr id="100733" name="Picture 1">
          <a:extLst>
            <a:ext uri="{FF2B5EF4-FFF2-40B4-BE49-F238E27FC236}">
              <a16:creationId xmlns:a16="http://schemas.microsoft.com/office/drawing/2014/main" id="{830EF16E-2A4D-682B-972E-00127214C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200025"/>
          <a:ext cx="111442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9525</xdr:rowOff>
    </xdr:from>
    <xdr:to>
      <xdr:col>2</xdr:col>
      <xdr:colOff>0</xdr:colOff>
      <xdr:row>4</xdr:row>
      <xdr:rowOff>0</xdr:rowOff>
    </xdr:to>
    <xdr:pic>
      <xdr:nvPicPr>
        <xdr:cNvPr id="107862" name="Picture 1">
          <a:extLst>
            <a:ext uri="{FF2B5EF4-FFF2-40B4-BE49-F238E27FC236}">
              <a16:creationId xmlns:a16="http://schemas.microsoft.com/office/drawing/2014/main" id="{D9AFEC16-0A75-00DC-90CA-4E974D094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90500"/>
          <a:ext cx="4095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0</xdr:rowOff>
    </xdr:from>
    <xdr:to>
      <xdr:col>2</xdr:col>
      <xdr:colOff>114300</xdr:colOff>
      <xdr:row>6</xdr:row>
      <xdr:rowOff>28575</xdr:rowOff>
    </xdr:to>
    <xdr:pic>
      <xdr:nvPicPr>
        <xdr:cNvPr id="98029" name="Picture 1">
          <a:extLst>
            <a:ext uri="{FF2B5EF4-FFF2-40B4-BE49-F238E27FC236}">
              <a16:creationId xmlns:a16="http://schemas.microsoft.com/office/drawing/2014/main" id="{3BBEEDA7-9249-495E-2CA5-4CE2F6FE2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10001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123825</xdr:rowOff>
    </xdr:from>
    <xdr:to>
      <xdr:col>2</xdr:col>
      <xdr:colOff>790575</xdr:colOff>
      <xdr:row>5</xdr:row>
      <xdr:rowOff>152400</xdr:rowOff>
    </xdr:to>
    <xdr:pic>
      <xdr:nvPicPr>
        <xdr:cNvPr id="97235" name="Picture 1">
          <a:extLst>
            <a:ext uri="{FF2B5EF4-FFF2-40B4-BE49-F238E27FC236}">
              <a16:creationId xmlns:a16="http://schemas.microsoft.com/office/drawing/2014/main" id="{6ED69F40-14E4-30D2-FBD8-BE2C5A977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23825"/>
          <a:ext cx="10668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JESSA%20CABIYAAN%202021/2021%20SL/2021%20General%20Fund/Financial%20Statements%202021(GeneralFund)/FS%20General%20Fund%202021%20-%204th%20QuART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esktop\BURABOD\POSTING%202019-2021\Trial%20Balances%202019-Buenavis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esktop\KOKIE%202020\FS%202020%20-%20TRUST%20FUND\FS%202020\FS%201ST%20QTR.%202020-%20T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gu%20jaro2\Desktop\JESSA%20CABIYAAN%202021\2021%20SL\2021%20General%20Fund\Trial%20Balances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2019%20SL%20-%20Hubert\2019%20General%20Fund\Subsidiary%20Ledgers\SL%20-%201%20-%20Assets\1-01%20Cash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18%20SL%20-%20Hubert\2018\Trial%20Balances%20201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2019%20SL%20-%20Hubert\2019%20General%20Fund\Subsidiary%20Ledgers\SL%20-%201%20-%20Assets\1-02%20INVESTMENT%20&amp;%20R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2019%20SL%20-%20Hubert\2019%20General%20Fund\Subsidiary%20Ledgers\SL%20-%201%20-%20Assets\1-03%20Receivables%20&amp;%20R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2019%20SL%20-%20Hubert\2019%20General%20Fund\Trial%20Balances%20201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Macco%20File%20Update%202019\macco%20file%202019\GENERAL%20FUND\Aging%20Schedule%20201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2019%20SL%20-%20Hubert\2019%20General%20Fund\Subsidiary%20Ledgers\SL%20-%201%20-%20Assets\1-04%20Inventories%20&amp;%20R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2019%20SL%20-%20Hubert\2019%20General%20Fund\Subsidiary%20Ledgers\SL%20-%201%20-%20Assets\1-05%20Prepayments%20&amp;%20Deferred%20Charges%20%20&amp;%20RE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2019%20SL%20-%20Hubert\2019%20General%20Fund\Subsidiary%20Ledgers\SL%20-%201%20-%20Assets\1-06%20Construction%20in%20Progres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2019%20SL%20-%20Hubert\2019%20General%20Fund\Subsidiary%20Ledgers\SL%20-%201%20-%20Assets\1-07%20Property,%20Plant%20&amp;%20Equipment%20&amp;%20R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2019%20SL%20-%20Hubert\2019%20General%20Fund\Subsidiary%20Ledgers\SL%20-%201%20-%20Assets\1-09%20Other%20Intangible%20Asset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2019%20SL%20-%20Hubert\2019%20General%20Fund\Subsidiary%20Ledgers\SL%20-%202%20-%20Liabilities\2-01%20%20Financial%20Liabilities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2019%20SL%20-%20Hubert\2019%20General%20Fund\Subsidiary%20Ledgers\SL%20-%202%20-%20Liabilities\2-02%20%20Inter-Agency%20Payabl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2019%20SL%20-%20Hubert\2019%20General%20Fund\Subsidiary%20Ledgers\SL%20-%202%20-%20Liabilities\2-03%20Intra-Agency%20Payable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2019%20SL%20-%20Hubert\2019%20General%20Fund\Subsidiary%20Ledgers\SL%20-%202%20-%20Liabilities\2-04%20Trust%20Liabilities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2019%20SL%20-%20Hubert\2019%20General%20Fund\Subsidiary%20Ledgers\SL%20-%202%20-%20Liabilities\2-05%20Deferred%20Credits%20or%20Unearned%20Incom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2019%20SL%20-%20Hubert\2019%20General%20Fund\Subsidiary%20Ledgers\SL%20-%202%20-%20Liabilities\2-06%20Provision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bert's%20SL%20Files\2019%20SL%20-%20Hubert\2019%20General%20Fund\Subsidiary%20Ledgers\SL%20-%203%20-%20Equity\3-01%20Government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18%20SL%20-%20Hubert\2018\General%20Ledgers\GL%20CREDIT%20-%202018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18%20SL%20-%20Hubert\2018\General%20Ledgers\GL%20DEBIT%20-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 "/>
      <sheetName val="Closing Entries"/>
      <sheetName val="Stmt of Changes in Ass"/>
      <sheetName val="Schedule FP"/>
      <sheetName val="Stmt. of Fin'l. Performance"/>
      <sheetName val="Income Statement"/>
      <sheetName val="Sched. fin'l. Position"/>
      <sheetName val="Schedule Balance Sheet"/>
      <sheetName val="Stmt. of Fin'l. Position"/>
      <sheetName val="Balance Sheet"/>
      <sheetName val="Subsidiary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JAN."/>
      <sheetName val="FEB."/>
      <sheetName val="MAR"/>
      <sheetName val="APR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20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3">
          <cell r="E13">
            <v>20343197.299999997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  <sheetName val="ADJUSTED TB"/>
      <sheetName val="SUBSIDIARY SCHED."/>
      <sheetName val="CLOSING ENTRIES"/>
      <sheetName val="POST CLOSING TB"/>
      <sheetName val="TRIAL BALANCE"/>
      <sheetName val="SCHEDULE OF FIN. PERFORMNCE"/>
      <sheetName val="DETAILED FIN. PERFORMANCE"/>
      <sheetName val="STATEMENT OF FIN. PERFORMANCE"/>
      <sheetName val="SCHEDULE OF BS"/>
      <sheetName val="DETAILED FIN. POSITION"/>
      <sheetName val="STATEMENT OF FIN. POSITION"/>
      <sheetName val="STATEMENT OF CHANGES IN EQUITY"/>
      <sheetName val="CASH 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4">
          <cell r="G134">
            <v>0</v>
          </cell>
        </row>
        <row r="273">
          <cell r="G273">
            <v>0</v>
          </cell>
        </row>
        <row r="319">
          <cell r="G319">
            <v>0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 "/>
      <sheetName val="JUNE"/>
      <sheetName val="JULY"/>
      <sheetName val="AUGUST "/>
      <sheetName val="SEPTEMBER"/>
      <sheetName val="OCTOBER"/>
      <sheetName val="NOVEMBER"/>
      <sheetName val="DECEMB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4">
          <cell r="J14">
            <v>72000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Local Treasury"/>
      <sheetName val="Petty Cash-1"/>
      <sheetName val="Petty Cash-2"/>
      <sheetName val="CIB- Mun. IRA"/>
      <sheetName val="CIB-RIMMP"/>
      <sheetName val="CIB- LGU Equity"/>
      <sheetName val="CIB-20% (-2)"/>
      <sheetName val="CIB-3-70%"/>
      <sheetName val="CIB-3-30% QUICK RESPONSE FUND"/>
      <sheetName val="CIB (-4) - DBP (20%)"/>
      <sheetName val="CIB (-5) - DBP (5%)"/>
      <sheetName val="TOTALS"/>
      <sheetName val="Cash Advances"/>
    </sheetNames>
    <sheetDataSet>
      <sheetData sheetId="0">
        <row r="440">
          <cell r="H440">
            <v>397449.10999999195</v>
          </cell>
        </row>
      </sheetData>
      <sheetData sheetId="1">
        <row r="47">
          <cell r="G47">
            <v>21642.369999999995</v>
          </cell>
        </row>
      </sheetData>
      <sheetData sheetId="2">
        <row r="46">
          <cell r="G46">
            <v>22000</v>
          </cell>
        </row>
      </sheetData>
      <sheetData sheetId="3">
        <row r="1826">
          <cell r="H1826">
            <v>49207976.130000025</v>
          </cell>
        </row>
      </sheetData>
      <sheetData sheetId="4">
        <row r="45">
          <cell r="G45">
            <v>14328.66</v>
          </cell>
        </row>
      </sheetData>
      <sheetData sheetId="5">
        <row r="45">
          <cell r="G45">
            <v>33326.04</v>
          </cell>
        </row>
      </sheetData>
      <sheetData sheetId="6">
        <row r="72">
          <cell r="G72">
            <v>1005024.3900000001</v>
          </cell>
        </row>
      </sheetData>
      <sheetData sheetId="7">
        <row r="88">
          <cell r="H88">
            <v>0</v>
          </cell>
        </row>
      </sheetData>
      <sheetData sheetId="8">
        <row r="46">
          <cell r="G46">
            <v>0</v>
          </cell>
        </row>
      </sheetData>
      <sheetData sheetId="9">
        <row r="84">
          <cell r="G84">
            <v>15454976.709999993</v>
          </cell>
        </row>
      </sheetData>
      <sheetData sheetId="10">
        <row r="75">
          <cell r="G75">
            <v>23209542.959999993</v>
          </cell>
        </row>
      </sheetData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Post Closing TB"/>
      <sheetName val="Consolidated Trial Bala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86">
          <cell r="F186">
            <v>363590491.82999998</v>
          </cell>
        </row>
      </sheetData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Investments"/>
    </sheetNames>
    <sheetDataSet>
      <sheetData sheetId="0">
        <row r="45">
          <cell r="G45">
            <v>72000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T Receivable"/>
      <sheetName val="Due from Nat'l Gov't Agencies"/>
      <sheetName val="Due from GOCCs"/>
      <sheetName val="Due from LGUs"/>
      <sheetName val="Due from Other Funds - Unknown"/>
      <sheetName val="Due from Other Funds-DBP"/>
      <sheetName val="Due from Other Funds-SEF"/>
      <sheetName val="Due from Other Funds-TF"/>
      <sheetName val="Due from Other Funds-SALINTUBIG"/>
      <sheetName val="Due from Other Funds-PCF"/>
      <sheetName val="Due from Other Funds - GPBP"/>
      <sheetName val="Due from Other Funds - JSC"/>
      <sheetName val="Due from Other Funds - KWF"/>
      <sheetName val="Due from Other Funds - RAY 2"/>
      <sheetName val="Due from Other Funds - RAY 3"/>
      <sheetName val="Advances for Payroll-REG (GF)"/>
      <sheetName val="Advance for Payroll-REG (LEE)"/>
      <sheetName val="Advances for Payroll - CASUALS"/>
      <sheetName val="Rec.-Disallow. &amp; Charges"/>
      <sheetName val="Other Receivables"/>
      <sheetName val="Due from Officers &amp; Employees"/>
      <sheetName val="Due from Other Funds - TOTALS"/>
    </sheetNames>
    <sheetDataSet>
      <sheetData sheetId="0">
        <row r="141">
          <cell r="G141">
            <v>17255191.620000001</v>
          </cell>
        </row>
      </sheetData>
      <sheetData sheetId="1">
        <row r="45">
          <cell r="G45">
            <v>33742.129999999997</v>
          </cell>
        </row>
      </sheetData>
      <sheetData sheetId="2">
        <row r="45">
          <cell r="G45">
            <v>45818.23</v>
          </cell>
        </row>
      </sheetData>
      <sheetData sheetId="3">
        <row r="45">
          <cell r="G45">
            <v>85141.1</v>
          </cell>
        </row>
      </sheetData>
      <sheetData sheetId="4">
        <row r="12">
          <cell r="G12">
            <v>616844.93999999994</v>
          </cell>
        </row>
      </sheetData>
      <sheetData sheetId="5">
        <row r="48">
          <cell r="G48">
            <v>3204899.48</v>
          </cell>
        </row>
      </sheetData>
      <sheetData sheetId="6">
        <row r="68">
          <cell r="G68">
            <v>7394.7199999999975</v>
          </cell>
        </row>
      </sheetData>
      <sheetData sheetId="7">
        <row r="73">
          <cell r="G73">
            <v>-115307.85999999987</v>
          </cell>
        </row>
      </sheetData>
      <sheetData sheetId="8">
        <row r="62">
          <cell r="G62">
            <v>9985053.4899999984</v>
          </cell>
        </row>
      </sheetData>
      <sheetData sheetId="9">
        <row r="45">
          <cell r="G45">
            <v>127</v>
          </cell>
        </row>
      </sheetData>
      <sheetData sheetId="10">
        <row r="52">
          <cell r="G52">
            <v>0</v>
          </cell>
        </row>
      </sheetData>
      <sheetData sheetId="11">
        <row r="50">
          <cell r="G50">
            <v>4164799.08</v>
          </cell>
        </row>
      </sheetData>
      <sheetData sheetId="12">
        <row r="55">
          <cell r="G55">
            <v>3166644.72</v>
          </cell>
        </row>
      </sheetData>
      <sheetData sheetId="13">
        <row r="45">
          <cell r="G45">
            <v>0</v>
          </cell>
        </row>
      </sheetData>
      <sheetData sheetId="14">
        <row r="46">
          <cell r="G46">
            <v>5625</v>
          </cell>
        </row>
      </sheetData>
      <sheetData sheetId="15" refreshError="1"/>
      <sheetData sheetId="16" refreshError="1"/>
      <sheetData sheetId="17" refreshError="1"/>
      <sheetData sheetId="18">
        <row r="45">
          <cell r="G45">
            <v>23333.02</v>
          </cell>
        </row>
      </sheetData>
      <sheetData sheetId="19">
        <row r="45">
          <cell r="G45">
            <v>250.84</v>
          </cell>
        </row>
      </sheetData>
      <sheetData sheetId="20">
        <row r="45">
          <cell r="G45">
            <v>4002.72</v>
          </cell>
        </row>
      </sheetData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 Collections"/>
      <sheetName val="June"/>
      <sheetName val="July"/>
      <sheetName val="August"/>
      <sheetName val="September"/>
      <sheetName val="October"/>
      <sheetName val="November"/>
      <sheetName val="December"/>
      <sheetName val="Post Closing TB"/>
      <sheetName val="Consolidated Trial Balanc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0">
          <cell r="C20">
            <v>709400</v>
          </cell>
        </row>
        <row r="21">
          <cell r="C21">
            <v>1000.8099999949336</v>
          </cell>
        </row>
        <row r="33">
          <cell r="C33">
            <v>7224640</v>
          </cell>
        </row>
        <row r="75">
          <cell r="D75">
            <v>625850.73999999929</v>
          </cell>
        </row>
        <row r="76">
          <cell r="D76">
            <v>1537238.5600000024</v>
          </cell>
        </row>
      </sheetData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ST QUARTER 2019  "/>
      <sheetName val="2nd Quarter"/>
      <sheetName val="3rd Quarter"/>
      <sheetName val="4th Quarter"/>
      <sheetName val="Sheet3"/>
    </sheetNames>
    <sheetDataSet>
      <sheetData sheetId="0"/>
      <sheetData sheetId="1"/>
      <sheetData sheetId="2"/>
      <sheetData sheetId="3">
        <row r="19">
          <cell r="J19">
            <v>8910</v>
          </cell>
        </row>
        <row r="21">
          <cell r="J21">
            <v>9020</v>
          </cell>
        </row>
        <row r="24">
          <cell r="J24">
            <v>7100</v>
          </cell>
        </row>
        <row r="26">
          <cell r="J26">
            <v>6600</v>
          </cell>
        </row>
        <row r="31">
          <cell r="J31">
            <v>25840</v>
          </cell>
        </row>
        <row r="36">
          <cell r="J36">
            <v>13799</v>
          </cell>
        </row>
        <row r="38">
          <cell r="I38">
            <v>15720</v>
          </cell>
        </row>
        <row r="40">
          <cell r="F40">
            <v>5800</v>
          </cell>
        </row>
        <row r="56">
          <cell r="J56">
            <v>160500</v>
          </cell>
        </row>
        <row r="65">
          <cell r="J65">
            <v>20912</v>
          </cell>
        </row>
        <row r="74">
          <cell r="J74">
            <v>13316</v>
          </cell>
        </row>
        <row r="78">
          <cell r="G78">
            <v>1382</v>
          </cell>
        </row>
        <row r="80">
          <cell r="H80">
            <v>2053.58</v>
          </cell>
        </row>
        <row r="82">
          <cell r="J82">
            <v>200</v>
          </cell>
        </row>
        <row r="84">
          <cell r="J84">
            <v>9800</v>
          </cell>
        </row>
        <row r="87">
          <cell r="J87">
            <v>5570</v>
          </cell>
        </row>
        <row r="93">
          <cell r="E93">
            <v>39397.379999999073</v>
          </cell>
        </row>
        <row r="95">
          <cell r="F95">
            <v>17470</v>
          </cell>
        </row>
        <row r="97">
          <cell r="J97">
            <v>5900</v>
          </cell>
        </row>
        <row r="109">
          <cell r="J109">
            <v>23740</v>
          </cell>
        </row>
        <row r="120">
          <cell r="J120">
            <v>1109933.5</v>
          </cell>
        </row>
        <row r="124">
          <cell r="J124">
            <v>4800</v>
          </cell>
        </row>
        <row r="128">
          <cell r="H128">
            <v>2174.08</v>
          </cell>
        </row>
        <row r="144">
          <cell r="J144">
            <v>268679</v>
          </cell>
        </row>
        <row r="164">
          <cell r="J164">
            <v>164675.6</v>
          </cell>
        </row>
        <row r="172">
          <cell r="J172">
            <v>133100</v>
          </cell>
        </row>
        <row r="174">
          <cell r="J174">
            <v>10000</v>
          </cell>
        </row>
        <row r="176">
          <cell r="J176">
            <v>520</v>
          </cell>
        </row>
        <row r="178">
          <cell r="J178">
            <v>430</v>
          </cell>
        </row>
        <row r="182">
          <cell r="J182">
            <v>10760</v>
          </cell>
        </row>
        <row r="184">
          <cell r="J184">
            <v>5900</v>
          </cell>
        </row>
        <row r="186">
          <cell r="J186">
            <v>610</v>
          </cell>
        </row>
        <row r="229">
          <cell r="J229">
            <v>389337.08</v>
          </cell>
        </row>
        <row r="231">
          <cell r="F231">
            <v>15490</v>
          </cell>
        </row>
        <row r="233">
          <cell r="H233">
            <v>995.84000000000015</v>
          </cell>
        </row>
        <row r="235">
          <cell r="F235">
            <v>8700</v>
          </cell>
        </row>
        <row r="242">
          <cell r="J242">
            <v>3826</v>
          </cell>
        </row>
        <row r="255">
          <cell r="J255">
            <v>8222</v>
          </cell>
        </row>
        <row r="257">
          <cell r="G257">
            <v>21000</v>
          </cell>
        </row>
        <row r="259">
          <cell r="J259">
            <v>9000</v>
          </cell>
        </row>
        <row r="261">
          <cell r="J261">
            <v>22414</v>
          </cell>
        </row>
        <row r="269">
          <cell r="J269">
            <v>300</v>
          </cell>
        </row>
        <row r="271">
          <cell r="J271">
            <v>10000</v>
          </cell>
        </row>
        <row r="273">
          <cell r="J273">
            <v>470</v>
          </cell>
        </row>
        <row r="277">
          <cell r="I277">
            <v>1380</v>
          </cell>
        </row>
        <row r="279">
          <cell r="J279">
            <v>6940</v>
          </cell>
        </row>
        <row r="281">
          <cell r="F281">
            <v>30064</v>
          </cell>
        </row>
        <row r="283">
          <cell r="J283">
            <v>5100</v>
          </cell>
        </row>
        <row r="291">
          <cell r="J291">
            <v>2535</v>
          </cell>
        </row>
        <row r="297">
          <cell r="J297">
            <v>8300</v>
          </cell>
        </row>
        <row r="302">
          <cell r="J302">
            <v>35575.599999999999</v>
          </cell>
        </row>
        <row r="304">
          <cell r="G304">
            <v>1633.5</v>
          </cell>
        </row>
        <row r="306">
          <cell r="F306">
            <v>421</v>
          </cell>
        </row>
        <row r="308">
          <cell r="J308">
            <v>200</v>
          </cell>
        </row>
        <row r="318">
          <cell r="J318">
            <v>85843.4</v>
          </cell>
        </row>
        <row r="328">
          <cell r="J328">
            <v>18766</v>
          </cell>
        </row>
        <row r="330">
          <cell r="J330">
            <v>25000</v>
          </cell>
        </row>
        <row r="335">
          <cell r="J335">
            <v>62879</v>
          </cell>
        </row>
      </sheetData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erty &amp; Equipment for Dist."/>
      <sheetName val="Office Supplies Inventory"/>
      <sheetName val="Agricultural &amp; Marine Supp. Inv"/>
      <sheetName val="Other Supplies &amp; Materials Inv."/>
    </sheetNames>
    <sheetDataSet>
      <sheetData sheetId="0">
        <row r="87">
          <cell r="G87">
            <v>1282599.21</v>
          </cell>
        </row>
      </sheetData>
      <sheetData sheetId="1">
        <row r="87">
          <cell r="G87">
            <v>205150.44999999995</v>
          </cell>
        </row>
      </sheetData>
      <sheetData sheetId="2">
        <row r="45">
          <cell r="G45">
            <v>5406</v>
          </cell>
        </row>
      </sheetData>
      <sheetData sheetId="3">
        <row r="120">
          <cell r="G120">
            <v>1212707.7700000003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vances to Contractors"/>
      <sheetName val="Prepaid Insurance"/>
    </sheetNames>
    <sheetDataSet>
      <sheetData sheetId="0">
        <row r="46">
          <cell r="G46">
            <v>91395.66</v>
          </cell>
        </row>
      </sheetData>
      <sheetData sheetId="1">
        <row r="46">
          <cell r="G46">
            <v>9679.6899999999951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ruction in Progress"/>
    </sheetNames>
    <sheetDataSet>
      <sheetData sheetId="0">
        <row r="45">
          <cell r="G45">
            <v>1386775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Improvements"/>
      <sheetName val="Road Networks"/>
      <sheetName val="Power Supply Systems"/>
      <sheetName val="Accum.Dep'n-Power Supply System"/>
      <sheetName val="Office Buildings"/>
      <sheetName val="School Buildings"/>
      <sheetName val="Markets"/>
      <sheetName val="Slaughterhouse"/>
      <sheetName val="Machinery"/>
      <sheetName val="Accum.Dep'n-Machinery"/>
      <sheetName val="Office Equipment"/>
      <sheetName val="Accum. Dep'n-Office Equipt."/>
      <sheetName val="Info. &amp; Comm'n Technology Equip"/>
      <sheetName val="Accum. Dep'n- IT"/>
      <sheetName val="Agricult'l &amp; Forestry Equip."/>
      <sheetName val="Accum.Dep'n-Agri. Equip."/>
      <sheetName val="Communication Equip."/>
      <sheetName val="Accum. Dep'n-Comm.Equip."/>
      <sheetName val="Cont'n &amp; Heavy Equip."/>
      <sheetName val="Accum.Dep'n-Const'n &amp; Heavy "/>
      <sheetName val="Disaster Response &amp; Rescue Eqpt"/>
      <sheetName val="Accumulated depre. rescue and r"/>
      <sheetName val="Military, Police &amp; Security Equ"/>
      <sheetName val="Sports Equip."/>
      <sheetName val="Technical &amp; Scientific Equip."/>
      <sheetName val="Other Machinery &amp; Equip."/>
      <sheetName val="Accum.Dep'n-Other Machinery"/>
      <sheetName val="Motor Vehicles"/>
      <sheetName val="Accum.Dep'n- Motor Vehicles"/>
      <sheetName val="Furniture &amp; Fixtures"/>
      <sheetName val="Accum.Dep'n-F &amp; F"/>
      <sheetName val="Books"/>
      <sheetName val="Accum. Dep'n - Books"/>
      <sheetName val="Const'n in Progress-Infra.Asset"/>
      <sheetName val="Const'n in Progress-Bldgs.&amp; Oth"/>
      <sheetName val="Other PPE"/>
      <sheetName val="Accum. Dep'n- Other PPE"/>
    </sheetNames>
    <sheetDataSet>
      <sheetData sheetId="0" refreshError="1">
        <row r="45">
          <cell r="G45">
            <v>14263749.449999999</v>
          </cell>
        </row>
      </sheetData>
      <sheetData sheetId="1" refreshError="1">
        <row r="46">
          <cell r="G46">
            <v>92141.5</v>
          </cell>
        </row>
      </sheetData>
      <sheetData sheetId="2" refreshError="1">
        <row r="45">
          <cell r="G45">
            <v>2955.05</v>
          </cell>
        </row>
      </sheetData>
      <sheetData sheetId="3" refreshError="1">
        <row r="45">
          <cell r="G45">
            <v>2659.55</v>
          </cell>
        </row>
      </sheetData>
      <sheetData sheetId="4" refreshError="1">
        <row r="45">
          <cell r="G45">
            <v>4461196.5199999996</v>
          </cell>
        </row>
      </sheetData>
      <sheetData sheetId="5" refreshError="1">
        <row r="45">
          <cell r="G45">
            <v>5572357.3899999997</v>
          </cell>
        </row>
      </sheetData>
      <sheetData sheetId="6" refreshError="1">
        <row r="45">
          <cell r="G45">
            <v>38783276.109999999</v>
          </cell>
        </row>
      </sheetData>
      <sheetData sheetId="7" refreshError="1">
        <row r="45">
          <cell r="G45">
            <v>2496748.44</v>
          </cell>
        </row>
      </sheetData>
      <sheetData sheetId="8" refreshError="1">
        <row r="45">
          <cell r="G45">
            <v>1094131</v>
          </cell>
        </row>
      </sheetData>
      <sheetData sheetId="9" refreshError="1">
        <row r="46">
          <cell r="G46">
            <v>387868.83999999997</v>
          </cell>
        </row>
      </sheetData>
      <sheetData sheetId="10" refreshError="1">
        <row r="45">
          <cell r="G45">
            <v>856776</v>
          </cell>
        </row>
      </sheetData>
      <sheetData sheetId="11" refreshError="1">
        <row r="46">
          <cell r="G46">
            <v>510940.54</v>
          </cell>
        </row>
      </sheetData>
      <sheetData sheetId="12">
        <row r="56">
          <cell r="G56">
            <v>6133087.54</v>
          </cell>
        </row>
      </sheetData>
      <sheetData sheetId="13" refreshError="1">
        <row r="45">
          <cell r="G45">
            <v>3235209.88</v>
          </cell>
        </row>
      </sheetData>
      <sheetData sheetId="14">
        <row r="57">
          <cell r="G57">
            <v>1113332</v>
          </cell>
        </row>
      </sheetData>
      <sheetData sheetId="15" refreshError="1">
        <row r="45">
          <cell r="G45">
            <v>514576.32</v>
          </cell>
        </row>
      </sheetData>
      <sheetData sheetId="16" refreshError="1">
        <row r="45">
          <cell r="G45">
            <v>90861.88</v>
          </cell>
        </row>
      </sheetData>
      <sheetData sheetId="17" refreshError="1">
        <row r="45">
          <cell r="G45">
            <v>69141.5</v>
          </cell>
        </row>
      </sheetData>
      <sheetData sheetId="18" refreshError="1">
        <row r="45">
          <cell r="G45">
            <v>12978512.390000001</v>
          </cell>
        </row>
      </sheetData>
      <sheetData sheetId="19" refreshError="1">
        <row r="45">
          <cell r="G45">
            <v>3259981.02</v>
          </cell>
        </row>
      </sheetData>
      <sheetData sheetId="20" refreshError="1">
        <row r="45">
          <cell r="G45">
            <v>1823626</v>
          </cell>
        </row>
      </sheetData>
      <sheetData sheetId="21" refreshError="1">
        <row r="45">
          <cell r="G45">
            <v>111462.24</v>
          </cell>
        </row>
      </sheetData>
      <sheetData sheetId="22" refreshError="1">
        <row r="45">
          <cell r="G45">
            <v>195316</v>
          </cell>
        </row>
      </sheetData>
      <sheetData sheetId="23" refreshError="1">
        <row r="45">
          <cell r="G45">
            <v>127616.5</v>
          </cell>
        </row>
      </sheetData>
      <sheetData sheetId="24" refreshError="1">
        <row r="45">
          <cell r="G45">
            <v>21340.17</v>
          </cell>
        </row>
      </sheetData>
      <sheetData sheetId="25" refreshError="1">
        <row r="45">
          <cell r="G45">
            <v>476609</v>
          </cell>
        </row>
      </sheetData>
      <sheetData sheetId="26" refreshError="1">
        <row r="45">
          <cell r="G45">
            <v>124175.17</v>
          </cell>
        </row>
      </sheetData>
      <sheetData sheetId="27" refreshError="1">
        <row r="45">
          <cell r="G45">
            <v>3978623.16</v>
          </cell>
        </row>
      </sheetData>
      <sheetData sheetId="28" refreshError="1">
        <row r="45">
          <cell r="G45">
            <v>769851.23</v>
          </cell>
        </row>
      </sheetData>
      <sheetData sheetId="29">
        <row r="47">
          <cell r="G47">
            <v>3607615.4</v>
          </cell>
        </row>
      </sheetData>
      <sheetData sheetId="30" refreshError="1">
        <row r="46">
          <cell r="G46">
            <v>1023335.52</v>
          </cell>
        </row>
      </sheetData>
      <sheetData sheetId="31" refreshError="1">
        <row r="45">
          <cell r="G45">
            <v>22350</v>
          </cell>
        </row>
      </sheetData>
      <sheetData sheetId="32" refreshError="1">
        <row r="46">
          <cell r="G46">
            <v>220.5</v>
          </cell>
        </row>
      </sheetData>
      <sheetData sheetId="33">
        <row r="47">
          <cell r="G47">
            <v>36290647.399999999</v>
          </cell>
        </row>
      </sheetData>
      <sheetData sheetId="34" refreshError="1">
        <row r="45">
          <cell r="G45">
            <v>17681125.109999999</v>
          </cell>
        </row>
      </sheetData>
      <sheetData sheetId="35" refreshError="1">
        <row r="75">
          <cell r="G75">
            <v>2289715.85</v>
          </cell>
        </row>
      </sheetData>
      <sheetData sheetId="36" refreshError="1">
        <row r="45">
          <cell r="G45">
            <v>826075.33000000007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uter Software"/>
      <sheetName val="Other Intangible Assets"/>
    </sheetNames>
    <sheetDataSet>
      <sheetData sheetId="0">
        <row r="45">
          <cell r="G45">
            <v>306599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e to Officers &amp; Employees-1"/>
      <sheetName val="Due to Officers &amp; Employees-2"/>
      <sheetName val="Due to Officers &amp; Employees-3"/>
      <sheetName val="Due to Officers &amp; Employees-4"/>
      <sheetName val="Loans Payable-Domestic"/>
      <sheetName val="TOTALS"/>
    </sheetNames>
    <sheetDataSet>
      <sheetData sheetId="0" refreshError="1">
        <row r="12">
          <cell r="G12">
            <v>54287.35</v>
          </cell>
        </row>
      </sheetData>
      <sheetData sheetId="1" refreshError="1">
        <row r="12">
          <cell r="G12">
            <v>6557.58</v>
          </cell>
        </row>
      </sheetData>
      <sheetData sheetId="2" refreshError="1">
        <row r="12">
          <cell r="G12">
            <v>5773.31</v>
          </cell>
        </row>
      </sheetData>
      <sheetData sheetId="3" refreshError="1">
        <row r="12">
          <cell r="G12">
            <v>1075.71</v>
          </cell>
        </row>
      </sheetData>
      <sheetData sheetId="4">
        <row r="45">
          <cell r="G45">
            <v>12008527.82</v>
          </cell>
        </row>
      </sheetData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E to BIR (GMP)"/>
      <sheetName val="DUE to BIR - (REG - GF)"/>
      <sheetName val="DUE to BIR (REG - LEE)"/>
      <sheetName val="Due to BIR-3 (DST)"/>
      <sheetName val="Due to BIR-4"/>
      <sheetName val="Due to BIR-5"/>
      <sheetName val="DUE to GSIS (PS)-CASUALS"/>
      <sheetName val="DUE to GSIS (GS) - CASUALS"/>
      <sheetName val="DUE to GSIS (HELP)-CASUALS"/>
      <sheetName val="DUE to GSIS (POLICY)-CASUALS"/>
      <sheetName val="DUE to GSIS (ECP) - CASUALS"/>
      <sheetName val="DUE to GSIS (EDUC) - CASUALS"/>
      <sheetName val="DUE to GSIS (CONSOL-SAL) - CAS"/>
      <sheetName val="DUE to GSIS (EMERGENCY) - CASUA"/>
      <sheetName val="DUE to GSIS (PS) - REG (GF)"/>
      <sheetName val="DUE to GSIS (PS) - REG (LEE)"/>
      <sheetName val="DUE to GSIS (GS) - REG (GF)"/>
      <sheetName val="DUE to GSIS (GS) - REG (LEE)"/>
      <sheetName val="DUE to GSIS (CONSOL) - REG (GF)"/>
      <sheetName val="DUE to GSIS (CONSOL) - REG (LEE"/>
      <sheetName val="DUE to GSIS (POLICY)-REG(GF)"/>
      <sheetName val="DUE to GSIS (POLICY)-REG(LEE)"/>
      <sheetName val="DUE to GSIS (HELP) - REG (GF)"/>
      <sheetName val="DUE to GSIS (HELP) - REG (LEE)"/>
      <sheetName val="Due to GSIS-OULI(PREM)-REG(GF)"/>
      <sheetName val="DUE to GSIS-OULI(OPT)-REG(GF)"/>
      <sheetName val="DUE to GSIS (EMERGENCY)-REG(GF)"/>
      <sheetName val="DUE to GSIS(EMERGENCY)-REG(LEE)"/>
      <sheetName val="Due to GSIS (LCH-DCS) - REG(GF)"/>
      <sheetName val="Due to GSIS (Cash Ad.) REG-GF"/>
      <sheetName val="Due to GSIS (Cash Ad.) - REG(LE"/>
      <sheetName val="DUE to GSIS (EC PREM)-REG GF"/>
      <sheetName val="DUE to GSIS (EC PREM)-REG LEE"/>
      <sheetName val="DUE to GSIS (EDUC) - REG (GF)"/>
      <sheetName val="DUE to GSIS (EDUC) - REG (LEE)"/>
      <sheetName val="DUE to PAG-IBIG (PS)(REG-JO)-GF"/>
      <sheetName val="DUE to PAG-IBIG (PS) - REG(LEE)"/>
      <sheetName val="DUE to PAG-IBIG (GS) - REG(GF)"/>
      <sheetName val="DUE to PAG-IBIG (GS) - REG(LEE)"/>
      <sheetName val="DUE to PAG-IBIG (PS) - CASUALS"/>
      <sheetName val="DUE to PAG-IBIG (GS) - CASUALS"/>
      <sheetName val="DUE to PAG-IBIG(SAL-CAL)-REG(GF"/>
      <sheetName val="DUE to PAG-IBIG(SAL-CAL)-REG(LE"/>
      <sheetName val="DUE to PAG-IBIG (SAL-CAL) - CAS"/>
      <sheetName val="DUE to PHILHEALTH (PS)-CASUALS"/>
      <sheetName val="DUE to PHILHEALTH (GS)-CASUALS"/>
      <sheetName val="DUE to PHILHEALTH(PS)-REG(GF)"/>
      <sheetName val="DUE to PHILHEALTH(PS)-REG(LEE)"/>
      <sheetName val="DUE to PHILHEALTH(GS)-REG(GF)"/>
      <sheetName val="DUE to PHILHEALTH(GS)-REG(LEE)"/>
      <sheetName val="Due to NGAs-BPCI"/>
      <sheetName val="Due to NGAs-FIRE &amp; SAFETY FEES"/>
      <sheetName val="Due to NGAs-BLDG PERMIT&amp;LARGE "/>
      <sheetName val="Due to NGAs-SHARE FROM PCA"/>
      <sheetName val="Due to NGAs-KILOS ASENSO"/>
      <sheetName val="Due to NGAs-NATL SHARE MONETIZA"/>
      <sheetName val="Due to NGA's-7"/>
      <sheetName val="Due to NGA's-REG FEE CATTLE OWN"/>
      <sheetName val="Due to GOCCs(PPSB)-REG(GF)"/>
      <sheetName val="Due to GOCCs(PPSB)-REG(LEE)"/>
      <sheetName val="Due to GOCCs(LBP)-REG(GF)"/>
      <sheetName val="Due to GOCCs (Quedancor)"/>
      <sheetName val="Due to GOCCs (PCSO)"/>
      <sheetName val="Due to GOCCs(DBP)-REG(GF)"/>
      <sheetName val="Due to GOCCs(DBP)-REG(LEE)"/>
      <sheetName val="Due to LGus-PROVINCE"/>
      <sheetName val="Due to LGUs-BARANGAY"/>
      <sheetName val="TOTALS"/>
    </sheetNames>
    <sheetDataSet>
      <sheetData sheetId="0">
        <row r="586">
          <cell r="H586">
            <v>344743.32000000007</v>
          </cell>
        </row>
      </sheetData>
      <sheetData sheetId="1">
        <row r="393">
          <cell r="H393">
            <v>291435.78999999957</v>
          </cell>
        </row>
      </sheetData>
      <sheetData sheetId="2">
        <row r="70">
          <cell r="H70">
            <v>819.59999999999854</v>
          </cell>
        </row>
      </sheetData>
      <sheetData sheetId="3">
        <row r="146">
          <cell r="H146">
            <v>-28845</v>
          </cell>
        </row>
      </sheetData>
      <sheetData sheetId="4">
        <row r="40">
          <cell r="H40">
            <v>8654.4999999999964</v>
          </cell>
        </row>
      </sheetData>
      <sheetData sheetId="5">
        <row r="40">
          <cell r="H40">
            <v>6721.7300000000014</v>
          </cell>
        </row>
        <row r="71">
          <cell r="G71">
            <v>2320.8000000000002</v>
          </cell>
        </row>
      </sheetData>
      <sheetData sheetId="6">
        <row r="143">
          <cell r="G143">
            <v>13163.539999999921</v>
          </cell>
        </row>
      </sheetData>
      <sheetData sheetId="7">
        <row r="150">
          <cell r="G150">
            <v>17551.299999999988</v>
          </cell>
        </row>
      </sheetData>
      <sheetData sheetId="8">
        <row r="148">
          <cell r="G148">
            <v>2622.5500000000175</v>
          </cell>
        </row>
      </sheetData>
      <sheetData sheetId="9">
        <row r="100">
          <cell r="G100">
            <v>100</v>
          </cell>
        </row>
      </sheetData>
      <sheetData sheetId="10">
        <row r="143">
          <cell r="G143">
            <v>1462.5</v>
          </cell>
        </row>
      </sheetData>
      <sheetData sheetId="11">
        <row r="54">
          <cell r="G54">
            <v>0</v>
          </cell>
        </row>
      </sheetData>
      <sheetData sheetId="12">
        <row r="138">
          <cell r="G138">
            <v>1059.539999999979</v>
          </cell>
        </row>
      </sheetData>
      <sheetData sheetId="13">
        <row r="134">
          <cell r="G134">
            <v>655.55999999999767</v>
          </cell>
        </row>
      </sheetData>
      <sheetData sheetId="14">
        <row r="236">
          <cell r="G236">
            <v>262992.58000000054</v>
          </cell>
        </row>
      </sheetData>
      <sheetData sheetId="15">
        <row r="149">
          <cell r="G149">
            <v>45054.680000000168</v>
          </cell>
        </row>
      </sheetData>
      <sheetData sheetId="16">
        <row r="234">
          <cell r="G234">
            <v>306997.39000000106</v>
          </cell>
        </row>
      </sheetData>
      <sheetData sheetId="17">
        <row r="149">
          <cell r="G149">
            <v>60072.900000000023</v>
          </cell>
        </row>
      </sheetData>
      <sheetData sheetId="18">
        <row r="382">
          <cell r="G382">
            <v>346668.25</v>
          </cell>
        </row>
      </sheetData>
      <sheetData sheetId="19">
        <row r="237">
          <cell r="G237">
            <v>73723.439999999828</v>
          </cell>
        </row>
      </sheetData>
      <sheetData sheetId="20">
        <row r="210">
          <cell r="G210">
            <v>47148.53</v>
          </cell>
        </row>
      </sheetData>
      <sheetData sheetId="21">
        <row r="128">
          <cell r="G128">
            <v>100</v>
          </cell>
        </row>
      </sheetData>
      <sheetData sheetId="22">
        <row r="249">
          <cell r="G249">
            <v>112476.95000000019</v>
          </cell>
        </row>
      </sheetData>
      <sheetData sheetId="23">
        <row r="160">
          <cell r="G160">
            <v>58038.199999999953</v>
          </cell>
        </row>
      </sheetData>
      <sheetData sheetId="24">
        <row r="80">
          <cell r="G80">
            <v>344.91999999999916</v>
          </cell>
        </row>
      </sheetData>
      <sheetData sheetId="25">
        <row r="57">
          <cell r="G57">
            <v>1560</v>
          </cell>
        </row>
      </sheetData>
      <sheetData sheetId="26">
        <row r="213">
          <cell r="G213">
            <v>88498.589999999967</v>
          </cell>
        </row>
      </sheetData>
      <sheetData sheetId="27">
        <row r="141">
          <cell r="G141">
            <v>49822.560000000056</v>
          </cell>
        </row>
      </sheetData>
      <sheetData sheetId="28">
        <row r="57">
          <cell r="G57">
            <v>3181.0999999999913</v>
          </cell>
        </row>
      </sheetData>
      <sheetData sheetId="29">
        <row r="45">
          <cell r="G45">
            <v>3955.46</v>
          </cell>
        </row>
      </sheetData>
      <sheetData sheetId="30">
        <row r="45">
          <cell r="G45">
            <v>0</v>
          </cell>
        </row>
      </sheetData>
      <sheetData sheetId="31">
        <row r="233">
          <cell r="G233">
            <v>25845.58</v>
          </cell>
        </row>
      </sheetData>
      <sheetData sheetId="32">
        <row r="149">
          <cell r="G149">
            <v>4134.320000000007</v>
          </cell>
        </row>
      </sheetData>
      <sheetData sheetId="33">
        <row r="249">
          <cell r="G249">
            <v>3508.0200000000332</v>
          </cell>
        </row>
      </sheetData>
      <sheetData sheetId="34">
        <row r="161">
          <cell r="G161">
            <v>6500.1000000000058</v>
          </cell>
        </row>
      </sheetData>
      <sheetData sheetId="35">
        <row r="283">
          <cell r="G283">
            <v>23300.149999999849</v>
          </cell>
        </row>
      </sheetData>
      <sheetData sheetId="36">
        <row r="143">
          <cell r="G143">
            <v>0</v>
          </cell>
        </row>
      </sheetData>
      <sheetData sheetId="37">
        <row r="217">
          <cell r="G217">
            <v>1571.5599999999977</v>
          </cell>
        </row>
      </sheetData>
      <sheetData sheetId="38">
        <row r="143">
          <cell r="G143">
            <v>0</v>
          </cell>
        </row>
      </sheetData>
      <sheetData sheetId="39">
        <row r="143">
          <cell r="G143">
            <v>100</v>
          </cell>
        </row>
      </sheetData>
      <sheetData sheetId="40">
        <row r="143">
          <cell r="G143">
            <v>100</v>
          </cell>
        </row>
      </sheetData>
      <sheetData sheetId="41">
        <row r="260">
          <cell r="G260">
            <v>-17492.900000000023</v>
          </cell>
        </row>
      </sheetData>
      <sheetData sheetId="42">
        <row r="136">
          <cell r="G136">
            <v>0</v>
          </cell>
        </row>
      </sheetData>
      <sheetData sheetId="43">
        <row r="89">
          <cell r="G89">
            <v>0</v>
          </cell>
        </row>
      </sheetData>
      <sheetData sheetId="44">
        <row r="142">
          <cell r="G142">
            <v>137.5</v>
          </cell>
        </row>
      </sheetData>
      <sheetData sheetId="45">
        <row r="142">
          <cell r="G142">
            <v>137.5</v>
          </cell>
        </row>
      </sheetData>
      <sheetData sheetId="46">
        <row r="233">
          <cell r="G233">
            <v>3515.4599999999627</v>
          </cell>
        </row>
      </sheetData>
      <sheetData sheetId="47">
        <row r="150">
          <cell r="G150">
            <v>0</v>
          </cell>
        </row>
      </sheetData>
      <sheetData sheetId="48">
        <row r="232">
          <cell r="G232">
            <v>5041.3200000000652</v>
          </cell>
        </row>
      </sheetData>
      <sheetData sheetId="49">
        <row r="150">
          <cell r="G150">
            <v>0</v>
          </cell>
        </row>
      </sheetData>
      <sheetData sheetId="50">
        <row r="45">
          <cell r="G45">
            <v>400</v>
          </cell>
        </row>
      </sheetData>
      <sheetData sheetId="51">
        <row r="45">
          <cell r="G45">
            <v>-310.89999999999998</v>
          </cell>
        </row>
      </sheetData>
      <sheetData sheetId="52">
        <row r="150">
          <cell r="G150">
            <v>107717.87</v>
          </cell>
        </row>
      </sheetData>
      <sheetData sheetId="53">
        <row r="46">
          <cell r="G46">
            <v>1652404.38</v>
          </cell>
        </row>
      </sheetData>
      <sheetData sheetId="54">
        <row r="45">
          <cell r="G45">
            <v>847812</v>
          </cell>
        </row>
      </sheetData>
      <sheetData sheetId="55">
        <row r="45">
          <cell r="G45">
            <v>0.93</v>
          </cell>
        </row>
      </sheetData>
      <sheetData sheetId="56">
        <row r="45">
          <cell r="G45">
            <v>-71000</v>
          </cell>
        </row>
      </sheetData>
      <sheetData sheetId="57"/>
      <sheetData sheetId="58">
        <row r="209">
          <cell r="G209">
            <v>103809.12</v>
          </cell>
        </row>
      </sheetData>
      <sheetData sheetId="59">
        <row r="125">
          <cell r="G125">
            <v>0</v>
          </cell>
        </row>
      </sheetData>
      <sheetData sheetId="60">
        <row r="63">
          <cell r="G63">
            <v>-61906.58</v>
          </cell>
        </row>
      </sheetData>
      <sheetData sheetId="61">
        <row r="12">
          <cell r="G12">
            <v>-12062.91</v>
          </cell>
        </row>
      </sheetData>
      <sheetData sheetId="62">
        <row r="12">
          <cell r="G12">
            <v>119800</v>
          </cell>
        </row>
      </sheetData>
      <sheetData sheetId="63">
        <row r="241">
          <cell r="G241">
            <v>-0.25999999977648258</v>
          </cell>
        </row>
      </sheetData>
      <sheetData sheetId="64">
        <row r="163">
          <cell r="G163">
            <v>0</v>
          </cell>
        </row>
      </sheetData>
      <sheetData sheetId="65">
        <row r="154">
          <cell r="G154">
            <v>825809.77999999956</v>
          </cell>
        </row>
      </sheetData>
      <sheetData sheetId="66">
        <row r="187">
          <cell r="G187">
            <v>2108021.9899999998</v>
          </cell>
        </row>
      </sheetData>
      <sheetData sheetId="6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e to Other Funds- SEF"/>
      <sheetName val="Due to Other Funds"/>
      <sheetName val="Due to Other Funds- TF"/>
      <sheetName val="Due to Other Funds-PCF"/>
      <sheetName val="Due to Other Funds-RAY"/>
      <sheetName val="Due to other funds SALINTUBIG"/>
      <sheetName val="TOTALS"/>
    </sheetNames>
    <sheetDataSet>
      <sheetData sheetId="0" refreshError="1">
        <row r="12">
          <cell r="G12">
            <v>634.02</v>
          </cell>
        </row>
      </sheetData>
      <sheetData sheetId="1" refreshError="1">
        <row r="12">
          <cell r="G12">
            <v>396555.99</v>
          </cell>
        </row>
      </sheetData>
      <sheetData sheetId="2" refreshError="1">
        <row r="12">
          <cell r="G12">
            <v>7390612.54</v>
          </cell>
        </row>
      </sheetData>
      <sheetData sheetId="3" refreshError="1">
        <row r="12">
          <cell r="G12">
            <v>-5282.46</v>
          </cell>
        </row>
      </sheetData>
      <sheetData sheetId="4" refreshError="1">
        <row r="12">
          <cell r="G12">
            <v>-14363.24</v>
          </cell>
        </row>
      </sheetData>
      <sheetData sheetId="5">
        <row r="47">
          <cell r="G47">
            <v>-7428222.9800000004</v>
          </cell>
        </row>
      </sheetData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anty Deposit Payable"/>
    </sheetNames>
    <sheetDataSet>
      <sheetData sheetId="0">
        <row r="49">
          <cell r="G49">
            <v>1470049.9000000004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erred RPT"/>
    </sheetNames>
    <sheetDataSet>
      <sheetData sheetId="0">
        <row r="141">
          <cell r="G141">
            <v>16962153.740000002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Payables (CFI)-REG(GF)"/>
      <sheetName val="Other Payables (CFI) - REG(LEE)"/>
      <sheetName val="Other Payables (OCCCI)-REG(GF)"/>
      <sheetName val="Other Payables (OCCCI)-REG(LEE)"/>
      <sheetName val="Other Payables - OCCCI CASUALS"/>
      <sheetName val="TOTALS"/>
    </sheetNames>
    <sheetDataSet>
      <sheetData sheetId="0">
        <row r="379">
          <cell r="G379">
            <v>546803.86999999918</v>
          </cell>
        </row>
      </sheetData>
      <sheetData sheetId="1">
        <row r="243">
          <cell r="G243">
            <v>0</v>
          </cell>
        </row>
      </sheetData>
      <sheetData sheetId="2">
        <row r="178">
          <cell r="G178">
            <v>0</v>
          </cell>
        </row>
      </sheetData>
      <sheetData sheetId="3">
        <row r="108">
          <cell r="G108">
            <v>0</v>
          </cell>
        </row>
      </sheetData>
      <sheetData sheetId="4">
        <row r="167">
          <cell r="G167">
            <v>0</v>
          </cell>
        </row>
      </sheetData>
      <sheetData sheetId="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vernment Equity"/>
      <sheetName val="Prior Period Adjustment"/>
    </sheetNames>
    <sheetDataSet>
      <sheetData sheetId="0">
        <row r="45">
          <cell r="G45">
            <v>206331728.61000001</v>
          </cell>
        </row>
      </sheetData>
      <sheetData sheetId="1">
        <row r="53">
          <cell r="G53">
            <v>16512.580000000002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703051"/>
      <sheetName val="10705011"/>
      <sheetName val="10705021"/>
      <sheetName val="10705031"/>
      <sheetName val="10705041"/>
      <sheetName val="10705071"/>
      <sheetName val="10705081"/>
      <sheetName val="10705091"/>
      <sheetName val="10705991"/>
      <sheetName val="10706011"/>
      <sheetName val="10707011"/>
      <sheetName val="10799991"/>
      <sheetName val="20101020"/>
      <sheetName val="20102040"/>
      <sheetName val="20201010"/>
      <sheetName val="20201020"/>
      <sheetName val="20201030"/>
      <sheetName val="20201040"/>
      <sheetName val="20201050"/>
      <sheetName val="20201060"/>
      <sheetName val="20201070"/>
      <sheetName val="20301010"/>
      <sheetName val="20401040"/>
      <sheetName val="20501010"/>
      <sheetName val="29999990"/>
      <sheetName val="30101010"/>
      <sheetName val="40101020"/>
      <sheetName val="40101050"/>
      <sheetName val="40102040"/>
      <sheetName val="40102080"/>
      <sheetName val="40103030"/>
      <sheetName val="40103040"/>
      <sheetName val="40103050"/>
      <sheetName val="40103060"/>
      <sheetName val="40103070"/>
      <sheetName val="40104990"/>
      <sheetName val="40105020"/>
      <sheetName val="40106010"/>
      <sheetName val="40106030"/>
      <sheetName val="40201010"/>
      <sheetName val="40201020"/>
      <sheetName val="40201040"/>
      <sheetName val="40201100"/>
      <sheetName val="40201140"/>
      <sheetName val="40201160"/>
      <sheetName val="40201980"/>
      <sheetName val="40201990"/>
      <sheetName val="40202050"/>
      <sheetName val="40202140"/>
      <sheetName val="40202150"/>
      <sheetName val="40202160"/>
      <sheetName val="40202190"/>
      <sheetName val="40202220"/>
      <sheetName val="40202990"/>
      <sheetName val="40401020"/>
      <sheetName val="404020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44">
          <cell r="F44">
            <v>1500</v>
          </cell>
        </row>
      </sheetData>
      <sheetData sheetId="27" refreshError="1">
        <row r="44">
          <cell r="F44">
            <v>771909.7799999998</v>
          </cell>
        </row>
      </sheetData>
      <sheetData sheetId="28" refreshError="1">
        <row r="44">
          <cell r="F44">
            <v>757112.34</v>
          </cell>
        </row>
      </sheetData>
      <sheetData sheetId="29" refreshError="1">
        <row r="44">
          <cell r="F44">
            <v>12166.83</v>
          </cell>
        </row>
      </sheetData>
      <sheetData sheetId="30" refreshError="1">
        <row r="44">
          <cell r="F44">
            <v>1542603.89</v>
          </cell>
        </row>
      </sheetData>
      <sheetData sheetId="31" refreshError="1">
        <row r="44">
          <cell r="F44">
            <v>1456433</v>
          </cell>
        </row>
      </sheetData>
      <sheetData sheetId="32" refreshError="1">
        <row r="44">
          <cell r="F44">
            <v>4200</v>
          </cell>
        </row>
      </sheetData>
      <sheetData sheetId="33" refreshError="1">
        <row r="44">
          <cell r="F44">
            <v>12400</v>
          </cell>
        </row>
      </sheetData>
      <sheetData sheetId="34" refreshError="1">
        <row r="44">
          <cell r="F44">
            <v>6970</v>
          </cell>
        </row>
      </sheetData>
      <sheetData sheetId="35" refreshError="1">
        <row r="44">
          <cell r="F44">
            <v>3520</v>
          </cell>
        </row>
      </sheetData>
      <sheetData sheetId="36" refreshError="1">
        <row r="44">
          <cell r="F44">
            <v>132016.37</v>
          </cell>
        </row>
      </sheetData>
      <sheetData sheetId="37" refreshError="1">
        <row r="44">
          <cell r="F44">
            <v>125555631</v>
          </cell>
        </row>
      </sheetData>
      <sheetData sheetId="38" refreshError="1">
        <row r="44">
          <cell r="F44">
            <v>2108.3200000000002</v>
          </cell>
        </row>
      </sheetData>
      <sheetData sheetId="39" refreshError="1">
        <row r="44">
          <cell r="F44">
            <v>787325.23</v>
          </cell>
        </row>
      </sheetData>
      <sheetData sheetId="40" refreshError="1">
        <row r="44">
          <cell r="F44">
            <v>46726</v>
          </cell>
        </row>
      </sheetData>
      <sheetData sheetId="41" refreshError="1">
        <row r="44">
          <cell r="F44">
            <v>1031255</v>
          </cell>
        </row>
      </sheetData>
      <sheetData sheetId="42" refreshError="1">
        <row r="44">
          <cell r="F44">
            <v>1673650</v>
          </cell>
        </row>
      </sheetData>
      <sheetData sheetId="43" refreshError="1">
        <row r="44">
          <cell r="F44">
            <v>57600</v>
          </cell>
        </row>
      </sheetData>
      <sheetData sheetId="44" refreshError="1">
        <row r="44">
          <cell r="F44">
            <v>9959</v>
          </cell>
        </row>
      </sheetData>
      <sheetData sheetId="45" refreshError="1">
        <row r="44">
          <cell r="F44">
            <v>89174.51999999999</v>
          </cell>
        </row>
      </sheetData>
      <sheetData sheetId="46" refreshError="1">
        <row r="44">
          <cell r="F44">
            <v>618104.79999999993</v>
          </cell>
        </row>
      </sheetData>
      <sheetData sheetId="47" refreshError="1">
        <row r="44">
          <cell r="F44">
            <v>24620</v>
          </cell>
        </row>
      </sheetData>
      <sheetData sheetId="48" refreshError="1">
        <row r="44">
          <cell r="F44">
            <v>854555</v>
          </cell>
        </row>
      </sheetData>
      <sheetData sheetId="49" refreshError="1">
        <row r="44">
          <cell r="F44">
            <v>296770</v>
          </cell>
        </row>
      </sheetData>
      <sheetData sheetId="50" refreshError="1">
        <row r="44">
          <cell r="F44">
            <v>1215870</v>
          </cell>
        </row>
      </sheetData>
      <sheetData sheetId="51" refreshError="1">
        <row r="44">
          <cell r="F44">
            <v>131000</v>
          </cell>
        </row>
      </sheetData>
      <sheetData sheetId="52" refreshError="1">
        <row r="44">
          <cell r="F44">
            <v>88103.92</v>
          </cell>
        </row>
      </sheetData>
      <sheetData sheetId="53" refreshError="1">
        <row r="44">
          <cell r="F44">
            <v>45040.24</v>
          </cell>
        </row>
      </sheetData>
      <sheetData sheetId="54" refreshError="1">
        <row r="44">
          <cell r="F44">
            <v>802877.62</v>
          </cell>
        </row>
      </sheetData>
      <sheetData sheetId="55" refreshError="1">
        <row r="44">
          <cell r="F44">
            <v>115000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101010"/>
      <sheetName val="10101020"/>
      <sheetName val="10102010"/>
      <sheetName val="10205990"/>
      <sheetName val="10301020"/>
      <sheetName val="10303010"/>
      <sheetName val="10303020"/>
      <sheetName val="10303030"/>
      <sheetName val="10304050"/>
      <sheetName val="10305010"/>
      <sheetName val="10305020"/>
      <sheetName val="10305040"/>
      <sheetName val="10306010"/>
      <sheetName val="10306020"/>
      <sheetName val="10306990"/>
      <sheetName val="10402090"/>
      <sheetName val="10404010"/>
      <sheetName val="10404090"/>
      <sheetName val="10404990"/>
      <sheetName val="10501010"/>
      <sheetName val="10501050"/>
      <sheetName val="10601030"/>
      <sheetName val="10701010"/>
      <sheetName val="10702010"/>
      <sheetName val="10703050"/>
      <sheetName val="10704010"/>
      <sheetName val="10704020"/>
      <sheetName val="10704040"/>
      <sheetName val="10704050"/>
      <sheetName val="10705010"/>
      <sheetName val="10705020"/>
      <sheetName val="10705030"/>
      <sheetName val="10705040"/>
      <sheetName val="10705070"/>
      <sheetName val="10705080"/>
      <sheetName val="10705090"/>
      <sheetName val="10705130"/>
      <sheetName val="10705140"/>
      <sheetName val="10705990"/>
      <sheetName val="10706010"/>
      <sheetName val="10707010"/>
      <sheetName val="10707020"/>
      <sheetName val="10710020"/>
      <sheetName val="10710030"/>
      <sheetName val="10799990"/>
      <sheetName val="10901020"/>
      <sheetName val="10901990"/>
      <sheetName val="30101020"/>
      <sheetName val="40102041"/>
      <sheetName val="50101010"/>
      <sheetName val="50101020"/>
      <sheetName val="50102010"/>
      <sheetName val="50102020"/>
      <sheetName val="50102030"/>
      <sheetName val="50102040"/>
      <sheetName val="50102050"/>
      <sheetName val="50102060"/>
      <sheetName val="50102100"/>
      <sheetName val="50102110"/>
      <sheetName val="50102130"/>
      <sheetName val="50102140"/>
      <sheetName val="50102150"/>
      <sheetName val="50102990"/>
      <sheetName val="50103010"/>
      <sheetName val="50103020"/>
      <sheetName val="50103030"/>
      <sheetName val="50103040"/>
      <sheetName val="50104030"/>
      <sheetName val="50104990"/>
      <sheetName val="50201010"/>
      <sheetName val="50202010"/>
      <sheetName val="50203010"/>
      <sheetName val="50203020"/>
      <sheetName val="50203060"/>
      <sheetName val="50203070"/>
      <sheetName val="50203080"/>
      <sheetName val="50203090"/>
      <sheetName val="50203100"/>
      <sheetName val="50203110"/>
      <sheetName val="50203120"/>
      <sheetName val="50203130"/>
      <sheetName val="50203990"/>
      <sheetName val="50204010"/>
      <sheetName val="50204020"/>
      <sheetName val="50205010"/>
      <sheetName val="50205020"/>
      <sheetName val="50205030"/>
      <sheetName val="50206010"/>
      <sheetName val="50207020"/>
      <sheetName val="50210030"/>
      <sheetName val="50211010"/>
      <sheetName val="50211020"/>
      <sheetName val="50211030"/>
      <sheetName val="50211990"/>
      <sheetName val="50213030"/>
      <sheetName val="50213040"/>
      <sheetName val="50213050"/>
      <sheetName val="50213060"/>
      <sheetName val="50213070"/>
      <sheetName val="50213990"/>
      <sheetName val="50214030"/>
      <sheetName val="50216010"/>
      <sheetName val="50216020"/>
      <sheetName val="50216030"/>
      <sheetName val="50299010"/>
      <sheetName val="50299020"/>
      <sheetName val="50299030"/>
      <sheetName val="50299050"/>
      <sheetName val="50299060"/>
      <sheetName val="50299080"/>
      <sheetName val="50299990"/>
      <sheetName val="50301990"/>
      <sheetName val="50501030"/>
      <sheetName val="50501050 "/>
      <sheetName val="50501060 "/>
      <sheetName val="50501070 "/>
      <sheetName val="50501990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>
        <row r="44">
          <cell r="F44">
            <v>87927.35</v>
          </cell>
        </row>
      </sheetData>
      <sheetData sheetId="49" refreshError="1">
        <row r="48">
          <cell r="F48">
            <v>38044617.489999995</v>
          </cell>
        </row>
      </sheetData>
      <sheetData sheetId="50" refreshError="1">
        <row r="46">
          <cell r="F46">
            <v>11671987.190000001</v>
          </cell>
        </row>
      </sheetData>
      <sheetData sheetId="51" refreshError="1">
        <row r="47">
          <cell r="F47">
            <v>5537108.1799999997</v>
          </cell>
        </row>
      </sheetData>
      <sheetData sheetId="52" refreshError="1">
        <row r="45">
          <cell r="F45">
            <v>1791000</v>
          </cell>
        </row>
      </sheetData>
      <sheetData sheetId="53" refreshError="1">
        <row r="46">
          <cell r="F46">
            <v>1791000</v>
          </cell>
        </row>
      </sheetData>
      <sheetData sheetId="54" refreshError="1">
        <row r="44">
          <cell r="F44">
            <v>1467000</v>
          </cell>
        </row>
      </sheetData>
      <sheetData sheetId="55" refreshError="1">
        <row r="45">
          <cell r="F45">
            <v>435150</v>
          </cell>
        </row>
      </sheetData>
      <sheetData sheetId="56" refreshError="1">
        <row r="45">
          <cell r="F45">
            <v>42450</v>
          </cell>
        </row>
      </sheetData>
      <sheetData sheetId="57" refreshError="1">
        <row r="49">
          <cell r="F49">
            <v>885427</v>
          </cell>
        </row>
      </sheetData>
      <sheetData sheetId="58" refreshError="1">
        <row r="45">
          <cell r="F45">
            <v>650677.5</v>
          </cell>
        </row>
      </sheetData>
      <sheetData sheetId="59" refreshError="1">
        <row r="47">
          <cell r="F47">
            <v>583620.73</v>
          </cell>
        </row>
      </sheetData>
      <sheetData sheetId="60" refreshError="1">
        <row r="44">
          <cell r="F44">
            <v>7216012.0999999996</v>
          </cell>
        </row>
      </sheetData>
      <sheetData sheetId="61" refreshError="1">
        <row r="44">
          <cell r="F44">
            <v>1207000</v>
          </cell>
        </row>
      </sheetData>
      <sheetData sheetId="62" refreshError="1">
        <row r="44">
          <cell r="F44">
            <v>1217300</v>
          </cell>
        </row>
      </sheetData>
      <sheetData sheetId="63" refreshError="1">
        <row r="48">
          <cell r="F48">
            <v>5204474.08</v>
          </cell>
        </row>
      </sheetData>
      <sheetData sheetId="64" refreshError="1">
        <row r="45">
          <cell r="F45">
            <v>286800</v>
          </cell>
        </row>
      </sheetData>
      <sheetData sheetId="65" refreshError="1">
        <row r="46">
          <cell r="F46">
            <v>619685.81000000006</v>
          </cell>
        </row>
      </sheetData>
      <sheetData sheetId="66" refreshError="1">
        <row r="47">
          <cell r="F47">
            <v>220310.63</v>
          </cell>
        </row>
      </sheetData>
      <sheetData sheetId="67" refreshError="1">
        <row r="44">
          <cell r="F44">
            <v>1090389.1200000001</v>
          </cell>
        </row>
      </sheetData>
      <sheetData sheetId="68" refreshError="1">
        <row r="44">
          <cell r="F44">
            <v>1853757.5000000002</v>
          </cell>
        </row>
      </sheetData>
      <sheetData sheetId="69" refreshError="1">
        <row r="63">
          <cell r="F63">
            <v>1867431.35</v>
          </cell>
        </row>
      </sheetData>
      <sheetData sheetId="70" refreshError="1">
        <row r="53">
          <cell r="F53">
            <v>1011999.99</v>
          </cell>
        </row>
      </sheetData>
      <sheetData sheetId="71" refreshError="1">
        <row r="49">
          <cell r="F49">
            <v>591672.13</v>
          </cell>
        </row>
      </sheetData>
      <sheetData sheetId="72" refreshError="1">
        <row r="44">
          <cell r="F44">
            <v>133010</v>
          </cell>
        </row>
      </sheetData>
      <sheetData sheetId="73" refreshError="1">
        <row r="44">
          <cell r="F44">
            <v>55739</v>
          </cell>
        </row>
      </sheetData>
      <sheetData sheetId="74" refreshError="1">
        <row r="44">
          <cell r="F44">
            <v>783247.35</v>
          </cell>
        </row>
      </sheetData>
      <sheetData sheetId="75" refreshError="1">
        <row r="44">
          <cell r="F44">
            <v>59021</v>
          </cell>
        </row>
      </sheetData>
      <sheetData sheetId="76" refreshError="1">
        <row r="47">
          <cell r="F47">
            <v>941307.58</v>
          </cell>
        </row>
      </sheetData>
      <sheetData sheetId="77" refreshError="1">
        <row r="44">
          <cell r="F44">
            <v>155313.5</v>
          </cell>
        </row>
      </sheetData>
      <sheetData sheetId="78" refreshError="1">
        <row r="44">
          <cell r="F44">
            <v>19244</v>
          </cell>
        </row>
      </sheetData>
      <sheetData sheetId="79" refreshError="1">
        <row r="44">
          <cell r="F44">
            <v>45000</v>
          </cell>
        </row>
      </sheetData>
      <sheetData sheetId="80" refreshError="1"/>
      <sheetData sheetId="81" refreshError="1">
        <row r="53">
          <cell r="F53">
            <v>778443.25</v>
          </cell>
        </row>
      </sheetData>
      <sheetData sheetId="82" refreshError="1">
        <row r="44">
          <cell r="F44">
            <v>243735.5</v>
          </cell>
        </row>
      </sheetData>
      <sheetData sheetId="83" refreshError="1">
        <row r="44">
          <cell r="F44">
            <v>1359490.6900000002</v>
          </cell>
        </row>
      </sheetData>
      <sheetData sheetId="84" refreshError="1">
        <row r="44">
          <cell r="F44">
            <v>3375</v>
          </cell>
        </row>
      </sheetData>
      <sheetData sheetId="85" refreshError="1">
        <row r="45">
          <cell r="F45">
            <v>219763.48</v>
          </cell>
        </row>
      </sheetData>
      <sheetData sheetId="86" refreshError="1">
        <row r="44">
          <cell r="F44">
            <v>186291.68000000005</v>
          </cell>
        </row>
      </sheetData>
      <sheetData sheetId="87" refreshError="1">
        <row r="44">
          <cell r="F44">
            <v>10260</v>
          </cell>
        </row>
      </sheetData>
      <sheetData sheetId="88" refreshError="1">
        <row r="44">
          <cell r="F44">
            <v>692933.32000000007</v>
          </cell>
        </row>
      </sheetData>
      <sheetData sheetId="89" refreshError="1">
        <row r="48">
          <cell r="F48">
            <v>796939</v>
          </cell>
        </row>
      </sheetData>
      <sheetData sheetId="90" refreshError="1"/>
      <sheetData sheetId="91" refreshError="1"/>
      <sheetData sheetId="92" refreshError="1"/>
      <sheetData sheetId="93" refreshError="1">
        <row r="44">
          <cell r="F44">
            <v>207500</v>
          </cell>
        </row>
      </sheetData>
      <sheetData sheetId="94" refreshError="1">
        <row r="44">
          <cell r="F44">
            <v>764505</v>
          </cell>
        </row>
      </sheetData>
      <sheetData sheetId="95" refreshError="1">
        <row r="44">
          <cell r="F44">
            <v>1192755.42</v>
          </cell>
        </row>
      </sheetData>
      <sheetData sheetId="96" refreshError="1">
        <row r="44">
          <cell r="F44">
            <v>253696.72</v>
          </cell>
        </row>
      </sheetData>
      <sheetData sheetId="97" refreshError="1">
        <row r="44">
          <cell r="F44">
            <v>217258</v>
          </cell>
        </row>
      </sheetData>
      <sheetData sheetId="98" refreshError="1">
        <row r="44">
          <cell r="F44">
            <v>13390</v>
          </cell>
        </row>
      </sheetData>
      <sheetData sheetId="99" refreshError="1">
        <row r="44">
          <cell r="F44">
            <v>350</v>
          </cell>
        </row>
      </sheetData>
      <sheetData sheetId="100" refreshError="1">
        <row r="44">
          <cell r="F44">
            <v>2650000</v>
          </cell>
        </row>
      </sheetData>
      <sheetData sheetId="101" refreshError="1">
        <row r="44">
          <cell r="F44">
            <v>50110</v>
          </cell>
        </row>
      </sheetData>
      <sheetData sheetId="102" refreshError="1">
        <row r="44">
          <cell r="F44">
            <v>98111.25</v>
          </cell>
        </row>
      </sheetData>
      <sheetData sheetId="103" refreshError="1">
        <row r="44">
          <cell r="F44">
            <v>72404.86</v>
          </cell>
        </row>
      </sheetData>
      <sheetData sheetId="104" refreshError="1">
        <row r="44">
          <cell r="F44">
            <v>70000</v>
          </cell>
        </row>
      </sheetData>
      <sheetData sheetId="105" refreshError="1"/>
      <sheetData sheetId="106" refreshError="1">
        <row r="49">
          <cell r="F49">
            <v>3641696.75</v>
          </cell>
        </row>
      </sheetData>
      <sheetData sheetId="107" refreshError="1">
        <row r="46">
          <cell r="F46">
            <v>131909</v>
          </cell>
        </row>
      </sheetData>
      <sheetData sheetId="108" refreshError="1">
        <row r="45">
          <cell r="F45">
            <v>98800</v>
          </cell>
        </row>
      </sheetData>
      <sheetData sheetId="109" refreshError="1">
        <row r="44">
          <cell r="F44">
            <v>1314561.3700000001</v>
          </cell>
        </row>
      </sheetData>
      <sheetData sheetId="110" refreshError="1">
        <row r="44">
          <cell r="F44">
            <v>106675.82</v>
          </cell>
        </row>
      </sheetData>
      <sheetData sheetId="111" refreshError="1">
        <row r="44">
          <cell r="F44">
            <v>17620.780000000002</v>
          </cell>
        </row>
      </sheetData>
      <sheetData sheetId="112" refreshError="1"/>
      <sheetData sheetId="113" refreshError="1">
        <row r="44">
          <cell r="F44">
            <v>1054335.2999999998</v>
          </cell>
        </row>
      </sheetData>
      <sheetData sheetId="114" refreshError="1">
        <row r="44">
          <cell r="F44">
            <v>233712.41</v>
          </cell>
        </row>
      </sheetData>
      <sheetData sheetId="115" refreshError="1">
        <row r="44">
          <cell r="F44">
            <v>103499.53</v>
          </cell>
        </row>
      </sheetData>
      <sheetData sheetId="116" refreshError="1">
        <row r="44">
          <cell r="F44">
            <v>43781.88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2"/>
  <sheetViews>
    <sheetView zoomScale="75" zoomScaleNormal="75" workbookViewId="0">
      <selection activeCell="M24" sqref="M24"/>
    </sheetView>
  </sheetViews>
  <sheetFormatPr defaultRowHeight="12.75" x14ac:dyDescent="0.2"/>
  <cols>
    <col min="3" max="3" width="12.28515625" customWidth="1"/>
    <col min="8" max="8" width="20" customWidth="1"/>
    <col min="9" max="9" width="5.28515625" customWidth="1"/>
    <col min="10" max="10" width="20.42578125" style="1" hidden="1" customWidth="1"/>
    <col min="11" max="12" width="0" hidden="1" customWidth="1"/>
    <col min="13" max="13" width="19.42578125" customWidth="1"/>
  </cols>
  <sheetData>
    <row r="1" spans="1:11" ht="16.5" x14ac:dyDescent="0.25">
      <c r="A1" s="394" t="s">
        <v>198</v>
      </c>
      <c r="B1" s="394"/>
      <c r="C1" s="394"/>
      <c r="D1" s="394"/>
      <c r="E1" s="394"/>
      <c r="F1" s="394"/>
      <c r="G1" s="394"/>
      <c r="H1" s="394"/>
      <c r="I1" s="233"/>
    </row>
    <row r="2" spans="1:11" ht="16.5" x14ac:dyDescent="0.25">
      <c r="A2" s="394" t="s">
        <v>608</v>
      </c>
      <c r="B2" s="394"/>
      <c r="C2" s="394"/>
      <c r="D2" s="394"/>
      <c r="E2" s="394"/>
      <c r="F2" s="394"/>
      <c r="G2" s="394"/>
      <c r="H2" s="394"/>
      <c r="I2" s="233"/>
    </row>
    <row r="3" spans="1:11" ht="16.5" x14ac:dyDescent="0.25">
      <c r="A3" s="394" t="s">
        <v>86</v>
      </c>
      <c r="B3" s="394"/>
      <c r="C3" s="394"/>
      <c r="D3" s="394"/>
      <c r="E3" s="394"/>
      <c r="F3" s="394"/>
      <c r="G3" s="394"/>
      <c r="H3" s="394"/>
      <c r="I3" s="233"/>
    </row>
    <row r="4" spans="1:11" ht="14.25" x14ac:dyDescent="0.2">
      <c r="A4" s="225"/>
      <c r="B4" s="225"/>
      <c r="C4" s="225"/>
      <c r="D4" s="225"/>
    </row>
    <row r="5" spans="1:11" ht="16.5" x14ac:dyDescent="0.25">
      <c r="A5" s="397" t="s">
        <v>1941</v>
      </c>
      <c r="B5" s="397"/>
      <c r="C5" s="397"/>
      <c r="D5" s="397"/>
      <c r="E5" s="397"/>
      <c r="F5" s="397"/>
      <c r="G5" s="397"/>
      <c r="H5" s="397"/>
      <c r="I5" s="234"/>
    </row>
    <row r="6" spans="1:11" ht="16.5" x14ac:dyDescent="0.25">
      <c r="A6" s="397"/>
      <c r="B6" s="397"/>
      <c r="C6" s="397"/>
      <c r="D6" s="397"/>
    </row>
    <row r="7" spans="1:11" ht="15" x14ac:dyDescent="0.2">
      <c r="A7" s="398" t="s">
        <v>2077</v>
      </c>
      <c r="B7" s="398"/>
      <c r="C7" s="398"/>
      <c r="D7" s="398"/>
      <c r="E7" s="398"/>
      <c r="F7" s="398"/>
      <c r="G7" s="398"/>
      <c r="H7" s="398"/>
      <c r="I7" s="235"/>
    </row>
    <row r="8" spans="1:11" x14ac:dyDescent="0.2">
      <c r="A8" s="226"/>
      <c r="B8" s="226"/>
      <c r="C8" s="226"/>
      <c r="D8" s="226"/>
      <c r="E8" s="226"/>
      <c r="F8" s="226"/>
      <c r="G8" s="226"/>
      <c r="H8" s="226"/>
      <c r="I8" s="226"/>
    </row>
    <row r="9" spans="1:11" x14ac:dyDescent="0.2">
      <c r="H9" s="6" t="s">
        <v>1942</v>
      </c>
      <c r="I9" s="6"/>
    </row>
    <row r="10" spans="1:11" x14ac:dyDescent="0.2">
      <c r="H10" s="6" t="s">
        <v>1943</v>
      </c>
      <c r="I10" s="6"/>
    </row>
    <row r="11" spans="1:11" x14ac:dyDescent="0.2">
      <c r="H11" s="9"/>
    </row>
    <row r="12" spans="1:11" x14ac:dyDescent="0.2">
      <c r="H12" s="227">
        <v>2019</v>
      </c>
      <c r="J12" s="227">
        <v>2021</v>
      </c>
    </row>
    <row r="13" spans="1:11" x14ac:dyDescent="0.2">
      <c r="H13" s="5"/>
    </row>
    <row r="14" spans="1:11" x14ac:dyDescent="0.2">
      <c r="A14" s="6" t="s">
        <v>2079</v>
      </c>
      <c r="H14" s="27"/>
      <c r="I14" s="27"/>
      <c r="J14" s="241">
        <v>328158431.91000003</v>
      </c>
      <c r="K14" t="s">
        <v>1944</v>
      </c>
    </row>
    <row r="15" spans="1:11" x14ac:dyDescent="0.2">
      <c r="A15" s="9" t="s">
        <v>1945</v>
      </c>
      <c r="H15" s="27"/>
      <c r="I15" s="27"/>
      <c r="J15" s="241"/>
    </row>
    <row r="16" spans="1:11" x14ac:dyDescent="0.2">
      <c r="B16" s="9" t="s">
        <v>1946</v>
      </c>
      <c r="H16" s="27"/>
      <c r="I16" s="27"/>
      <c r="J16" s="241"/>
    </row>
    <row r="17" spans="1:13" x14ac:dyDescent="0.2">
      <c r="B17" s="9" t="s">
        <v>1947</v>
      </c>
      <c r="H17" s="228"/>
      <c r="I17" s="27"/>
      <c r="J17" s="244">
        <v>-13239700.970000001</v>
      </c>
      <c r="K17" t="s">
        <v>1948</v>
      </c>
    </row>
    <row r="18" spans="1:13" x14ac:dyDescent="0.2">
      <c r="A18" s="6" t="s">
        <v>1949</v>
      </c>
      <c r="H18" s="27"/>
      <c r="I18" s="27"/>
      <c r="J18" s="241">
        <f>J14+J17</f>
        <v>314918730.94</v>
      </c>
    </row>
    <row r="19" spans="1:13" x14ac:dyDescent="0.2">
      <c r="A19" s="6" t="s">
        <v>1950</v>
      </c>
      <c r="H19" s="27"/>
      <c r="I19" s="27"/>
      <c r="J19" s="241"/>
    </row>
    <row r="20" spans="1:13" x14ac:dyDescent="0.2">
      <c r="A20" s="9" t="s">
        <v>1951</v>
      </c>
      <c r="H20" s="27"/>
      <c r="I20" s="27"/>
      <c r="J20" s="241">
        <v>16977113.140000001</v>
      </c>
    </row>
    <row r="21" spans="1:13" x14ac:dyDescent="0.2">
      <c r="A21" s="9" t="s">
        <v>1952</v>
      </c>
      <c r="H21" s="229"/>
      <c r="I21" s="27"/>
      <c r="J21" s="242">
        <v>51461424.130000003</v>
      </c>
      <c r="K21" t="s">
        <v>1953</v>
      </c>
    </row>
    <row r="22" spans="1:13" x14ac:dyDescent="0.2">
      <c r="A22" s="6" t="s">
        <v>1954</v>
      </c>
      <c r="H22" s="27"/>
      <c r="I22" s="27"/>
      <c r="J22" s="241">
        <f>SUM(J20:J21)</f>
        <v>68438537.270000011</v>
      </c>
    </row>
    <row r="23" spans="1:13" x14ac:dyDescent="0.2">
      <c r="A23" s="6"/>
      <c r="H23" s="27"/>
      <c r="I23" s="27"/>
      <c r="J23" s="241"/>
    </row>
    <row r="24" spans="1:13" ht="13.5" thickBot="1" x14ac:dyDescent="0.25">
      <c r="A24" s="6" t="s">
        <v>2030</v>
      </c>
      <c r="H24" s="230"/>
      <c r="I24" s="27"/>
      <c r="J24" s="243">
        <f>J18+J22</f>
        <v>383357268.21000004</v>
      </c>
      <c r="K24" t="s">
        <v>1955</v>
      </c>
      <c r="M24" s="232"/>
    </row>
    <row r="25" spans="1:13" ht="13.5" thickTop="1" x14ac:dyDescent="0.2">
      <c r="H25" s="27"/>
      <c r="I25" s="27"/>
    </row>
    <row r="26" spans="1:13" x14ac:dyDescent="0.2">
      <c r="H26" s="27"/>
      <c r="I26" s="27"/>
    </row>
    <row r="27" spans="1:13" x14ac:dyDescent="0.2">
      <c r="H27" s="7"/>
    </row>
    <row r="28" spans="1:13" x14ac:dyDescent="0.2">
      <c r="A28" t="s">
        <v>638</v>
      </c>
      <c r="F28" s="9" t="s">
        <v>163</v>
      </c>
      <c r="H28" s="7"/>
    </row>
    <row r="29" spans="1:13" x14ac:dyDescent="0.2">
      <c r="H29" s="231"/>
    </row>
    <row r="31" spans="1:13" x14ac:dyDescent="0.2">
      <c r="A31" s="395" t="s">
        <v>2080</v>
      </c>
      <c r="B31" s="395"/>
      <c r="C31" s="395"/>
      <c r="F31" s="395" t="s">
        <v>1940</v>
      </c>
      <c r="G31" s="395"/>
      <c r="H31" s="395"/>
    </row>
    <row r="32" spans="1:13" x14ac:dyDescent="0.2">
      <c r="A32" s="396" t="s">
        <v>2078</v>
      </c>
      <c r="B32" s="396"/>
      <c r="C32" s="396"/>
      <c r="F32" s="396" t="s">
        <v>161</v>
      </c>
      <c r="G32" s="396"/>
      <c r="H32" s="396"/>
    </row>
  </sheetData>
  <mergeCells count="10">
    <mergeCell ref="A1:H1"/>
    <mergeCell ref="A2:H2"/>
    <mergeCell ref="A3:H3"/>
    <mergeCell ref="A31:C31"/>
    <mergeCell ref="A32:C32"/>
    <mergeCell ref="F31:H31"/>
    <mergeCell ref="F32:H32"/>
    <mergeCell ref="A5:H5"/>
    <mergeCell ref="A7:H7"/>
    <mergeCell ref="A6:D6"/>
  </mergeCells>
  <printOptions horizontalCentered="1"/>
  <pageMargins left="0.29527559055118113" right="0.29527559055118113" top="0.78740157480314965" bottom="0.39370078740157483" header="0.31496062992125984" footer="0.31496062992125984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327"/>
  <sheetViews>
    <sheetView topLeftCell="B1" zoomScale="80" zoomScaleNormal="80" zoomScaleSheetLayoutView="40" workbookViewId="0">
      <pane ySplit="10" topLeftCell="A299" activePane="bottomLeft" state="frozen"/>
      <selection activeCell="E47" sqref="E47"/>
      <selection pane="bottomLeft" activeCell="F35" sqref="F35:F315"/>
    </sheetView>
  </sheetViews>
  <sheetFormatPr defaultRowHeight="12.75" x14ac:dyDescent="0.2"/>
  <cols>
    <col min="1" max="1" width="3.85546875" style="141" customWidth="1"/>
    <col min="2" max="2" width="3.7109375" style="141" customWidth="1"/>
    <col min="3" max="3" width="3.85546875" style="141" customWidth="1"/>
    <col min="4" max="4" width="8.140625" style="142" customWidth="1"/>
    <col min="5" max="5" width="60.140625" style="141" customWidth="1"/>
    <col min="6" max="6" width="23.28515625" style="109" customWidth="1"/>
    <col min="7" max="7" width="9.140625" style="91"/>
    <col min="8" max="8" width="25.140625" style="91" customWidth="1"/>
    <col min="9" max="9" width="19" style="91" customWidth="1"/>
    <col min="10" max="16384" width="9.140625" style="91"/>
  </cols>
  <sheetData>
    <row r="1" spans="1:6" ht="14.25" x14ac:dyDescent="0.2">
      <c r="A1" s="415" t="s">
        <v>198</v>
      </c>
      <c r="B1" s="415"/>
      <c r="C1" s="415"/>
      <c r="D1" s="415"/>
      <c r="E1" s="415"/>
      <c r="F1" s="415"/>
    </row>
    <row r="2" spans="1:6" ht="14.25" x14ac:dyDescent="0.2">
      <c r="A2" s="415" t="s">
        <v>608</v>
      </c>
      <c r="B2" s="415"/>
      <c r="C2" s="415"/>
      <c r="D2" s="415"/>
      <c r="E2" s="415"/>
      <c r="F2" s="415"/>
    </row>
    <row r="3" spans="1:6" ht="15" x14ac:dyDescent="0.2">
      <c r="A3" s="416" t="s">
        <v>86</v>
      </c>
      <c r="B3" s="416"/>
      <c r="C3" s="416"/>
      <c r="D3" s="416"/>
      <c r="E3" s="416"/>
      <c r="F3" s="416"/>
    </row>
    <row r="5" spans="1:6" ht="16.5" x14ac:dyDescent="0.2">
      <c r="A5" s="417" t="s">
        <v>132</v>
      </c>
      <c r="B5" s="417"/>
      <c r="C5" s="417"/>
      <c r="D5" s="417"/>
      <c r="E5" s="417"/>
      <c r="F5" s="417"/>
    </row>
    <row r="6" spans="1:6" ht="15.75" x14ac:dyDescent="0.2">
      <c r="A6" s="418" t="s">
        <v>2029</v>
      </c>
      <c r="B6" s="418"/>
      <c r="C6" s="418"/>
      <c r="D6" s="418"/>
      <c r="E6" s="418"/>
      <c r="F6" s="418"/>
    </row>
    <row r="7" spans="1:6" ht="15.75" x14ac:dyDescent="0.2">
      <c r="A7" s="419" t="s">
        <v>171</v>
      </c>
      <c r="B7" s="419"/>
      <c r="C7" s="419"/>
      <c r="D7" s="419"/>
      <c r="E7" s="419"/>
      <c r="F7" s="419"/>
    </row>
    <row r="8" spans="1:6" x14ac:dyDescent="0.2">
      <c r="A8" s="137"/>
      <c r="B8" s="137"/>
      <c r="C8" s="137"/>
      <c r="D8" s="137"/>
      <c r="E8" s="137"/>
      <c r="F8" s="108"/>
    </row>
    <row r="9" spans="1:6" x14ac:dyDescent="0.2">
      <c r="A9" s="410" t="s">
        <v>637</v>
      </c>
      <c r="B9" s="410"/>
      <c r="C9" s="410"/>
      <c r="D9" s="410"/>
      <c r="E9" s="412" t="s">
        <v>177</v>
      </c>
      <c r="F9" s="410" t="s">
        <v>1263</v>
      </c>
    </row>
    <row r="10" spans="1:6" x14ac:dyDescent="0.2">
      <c r="A10" s="411"/>
      <c r="B10" s="411"/>
      <c r="C10" s="411"/>
      <c r="D10" s="411"/>
      <c r="E10" s="413"/>
      <c r="F10" s="414"/>
    </row>
    <row r="11" spans="1:6" customFormat="1" ht="15.75" customHeight="1" x14ac:dyDescent="0.2">
      <c r="A11" s="138">
        <v>4</v>
      </c>
      <c r="B11" s="402" t="s">
        <v>1290</v>
      </c>
      <c r="C11" s="403"/>
      <c r="D11" s="403"/>
      <c r="E11" s="404"/>
      <c r="F11" s="139"/>
    </row>
    <row r="12" spans="1:6" customFormat="1" ht="15.75" customHeight="1" x14ac:dyDescent="0.2">
      <c r="A12" s="121">
        <v>4</v>
      </c>
      <c r="B12" s="121" t="s">
        <v>649</v>
      </c>
      <c r="C12" s="121" t="s">
        <v>450</v>
      </c>
      <c r="D12" s="121"/>
      <c r="E12" s="121"/>
      <c r="F12" s="126"/>
    </row>
    <row r="13" spans="1:6" customFormat="1" ht="15.75" customHeight="1" x14ac:dyDescent="0.2">
      <c r="A13" s="123">
        <v>4</v>
      </c>
      <c r="B13" s="123" t="s">
        <v>649</v>
      </c>
      <c r="C13" s="123" t="s">
        <v>649</v>
      </c>
      <c r="D13" s="123" t="s">
        <v>1026</v>
      </c>
      <c r="E13" s="123"/>
      <c r="F13" s="124"/>
    </row>
    <row r="14" spans="1:6" customFormat="1" ht="15.75" customHeight="1" x14ac:dyDescent="0.2">
      <c r="A14" s="113">
        <v>4</v>
      </c>
      <c r="B14" s="113" t="s">
        <v>649</v>
      </c>
      <c r="C14" s="113" t="s">
        <v>649</v>
      </c>
      <c r="D14" s="113" t="s">
        <v>653</v>
      </c>
      <c r="E14" s="113" t="s">
        <v>1027</v>
      </c>
      <c r="F14" s="145" t="e">
        <f>#REF!</f>
        <v>#REF!</v>
      </c>
    </row>
    <row r="15" spans="1:6" customFormat="1" ht="15.75" customHeight="1" x14ac:dyDescent="0.2">
      <c r="A15" s="113">
        <v>4</v>
      </c>
      <c r="B15" s="113" t="s">
        <v>649</v>
      </c>
      <c r="C15" s="113" t="s">
        <v>649</v>
      </c>
      <c r="D15" s="113" t="s">
        <v>703</v>
      </c>
      <c r="E15" s="113" t="s">
        <v>1028</v>
      </c>
      <c r="F15" s="145" t="e">
        <f>#REF!</f>
        <v>#REF!</v>
      </c>
    </row>
    <row r="16" spans="1:6" customFormat="1" ht="15.75" customHeight="1" x14ac:dyDescent="0.2">
      <c r="A16" s="123">
        <v>4</v>
      </c>
      <c r="B16" s="123" t="s">
        <v>649</v>
      </c>
      <c r="C16" s="123" t="s">
        <v>655</v>
      </c>
      <c r="D16" s="123" t="s">
        <v>1029</v>
      </c>
      <c r="E16" s="123"/>
      <c r="F16" s="146"/>
    </row>
    <row r="17" spans="1:6" customFormat="1" ht="15.75" customHeight="1" x14ac:dyDescent="0.2">
      <c r="A17" s="113">
        <v>4</v>
      </c>
      <c r="B17" s="113" t="s">
        <v>649</v>
      </c>
      <c r="C17" s="113" t="s">
        <v>655</v>
      </c>
      <c r="D17" s="113" t="s">
        <v>699</v>
      </c>
      <c r="E17" s="113" t="s">
        <v>1030</v>
      </c>
      <c r="F17" s="145" t="e">
        <f>#REF!</f>
        <v>#REF!</v>
      </c>
    </row>
    <row r="18" spans="1:6" customFormat="1" ht="15.75" customHeight="1" x14ac:dyDescent="0.2">
      <c r="A18" s="113">
        <v>4</v>
      </c>
      <c r="B18" s="113" t="s">
        <v>649</v>
      </c>
      <c r="C18" s="113" t="s">
        <v>655</v>
      </c>
      <c r="D18" s="113" t="s">
        <v>701</v>
      </c>
      <c r="E18" s="113" t="s">
        <v>1031</v>
      </c>
      <c r="F18" s="145" t="e">
        <f>SUM(-#REF!)</f>
        <v>#REF!</v>
      </c>
    </row>
    <row r="19" spans="1:6" customFormat="1" ht="15.75" customHeight="1" x14ac:dyDescent="0.2">
      <c r="A19" s="113">
        <v>4</v>
      </c>
      <c r="B19" s="113" t="s">
        <v>649</v>
      </c>
      <c r="C19" s="113" t="s">
        <v>655</v>
      </c>
      <c r="D19" s="113" t="s">
        <v>703</v>
      </c>
      <c r="E19" s="113" t="s">
        <v>453</v>
      </c>
      <c r="F19" s="145">
        <v>0</v>
      </c>
    </row>
    <row r="20" spans="1:6" customFormat="1" ht="15.75" customHeight="1" x14ac:dyDescent="0.2">
      <c r="A20" s="113">
        <v>4</v>
      </c>
      <c r="B20" s="113" t="s">
        <v>649</v>
      </c>
      <c r="C20" s="113" t="s">
        <v>655</v>
      </c>
      <c r="D20" s="113" t="s">
        <v>705</v>
      </c>
      <c r="E20" s="113" t="s">
        <v>313</v>
      </c>
      <c r="F20" s="145">
        <v>0</v>
      </c>
    </row>
    <row r="21" spans="1:6" customFormat="1" ht="15.75" customHeight="1" x14ac:dyDescent="0.2">
      <c r="A21" s="113">
        <v>4</v>
      </c>
      <c r="B21" s="113" t="s">
        <v>649</v>
      </c>
      <c r="C21" s="113" t="s">
        <v>655</v>
      </c>
      <c r="D21" s="113" t="s">
        <v>707</v>
      </c>
      <c r="E21" s="113" t="s">
        <v>1032</v>
      </c>
      <c r="F21" s="145">
        <v>0</v>
      </c>
    </row>
    <row r="22" spans="1:6" customFormat="1" ht="15.75" customHeight="1" x14ac:dyDescent="0.2">
      <c r="A22" s="113">
        <v>4</v>
      </c>
      <c r="B22" s="113" t="s">
        <v>649</v>
      </c>
      <c r="C22" s="113" t="s">
        <v>655</v>
      </c>
      <c r="D22" s="113" t="s">
        <v>711</v>
      </c>
      <c r="E22" s="113" t="s">
        <v>1033</v>
      </c>
      <c r="F22" s="145">
        <v>0</v>
      </c>
    </row>
    <row r="23" spans="1:6" customFormat="1" ht="15.75" customHeight="1" x14ac:dyDescent="0.2">
      <c r="A23" s="113">
        <v>4</v>
      </c>
      <c r="B23" s="113" t="s">
        <v>649</v>
      </c>
      <c r="C23" s="113" t="s">
        <v>655</v>
      </c>
      <c r="D23" s="113" t="s">
        <v>714</v>
      </c>
      <c r="E23" s="113" t="s">
        <v>1034</v>
      </c>
      <c r="F23" s="145" t="e">
        <f>#REF!</f>
        <v>#REF!</v>
      </c>
    </row>
    <row r="24" spans="1:6" customFormat="1" ht="15.75" customHeight="1" x14ac:dyDescent="0.2">
      <c r="A24" s="123">
        <v>4</v>
      </c>
      <c r="B24" s="123" t="s">
        <v>649</v>
      </c>
      <c r="C24" s="123" t="s">
        <v>659</v>
      </c>
      <c r="D24" s="123" t="s">
        <v>1035</v>
      </c>
      <c r="E24" s="123"/>
      <c r="F24" s="146"/>
    </row>
    <row r="25" spans="1:6" customFormat="1" ht="15.75" customHeight="1" x14ac:dyDescent="0.2">
      <c r="A25" s="113">
        <v>4</v>
      </c>
      <c r="B25" s="113" t="s">
        <v>649</v>
      </c>
      <c r="C25" s="113" t="s">
        <v>659</v>
      </c>
      <c r="D25" s="113" t="s">
        <v>667</v>
      </c>
      <c r="E25" s="113" t="s">
        <v>1036</v>
      </c>
      <c r="F25" s="145" t="e">
        <f>#REF!</f>
        <v>#REF!</v>
      </c>
    </row>
    <row r="26" spans="1:6" customFormat="1" ht="15.75" customHeight="1" x14ac:dyDescent="0.2">
      <c r="A26" s="113">
        <v>4</v>
      </c>
      <c r="B26" s="113" t="s">
        <v>649</v>
      </c>
      <c r="C26" s="113" t="s">
        <v>659</v>
      </c>
      <c r="D26" s="113" t="s">
        <v>699</v>
      </c>
      <c r="E26" s="113" t="s">
        <v>1037</v>
      </c>
      <c r="F26" s="145" t="e">
        <f>#REF!</f>
        <v>#REF!</v>
      </c>
    </row>
    <row r="27" spans="1:6" customFormat="1" ht="15.75" customHeight="1" x14ac:dyDescent="0.2">
      <c r="A27" s="113">
        <v>4</v>
      </c>
      <c r="B27" s="113" t="s">
        <v>649</v>
      </c>
      <c r="C27" s="113" t="s">
        <v>659</v>
      </c>
      <c r="D27" s="113" t="s">
        <v>703</v>
      </c>
      <c r="E27" s="113" t="s">
        <v>1038</v>
      </c>
      <c r="F27" s="145" t="e">
        <f>#REF!</f>
        <v>#REF!</v>
      </c>
    </row>
    <row r="28" spans="1:6" customFormat="1" ht="15.75" customHeight="1" x14ac:dyDescent="0.2">
      <c r="A28" s="113">
        <v>4</v>
      </c>
      <c r="B28" s="113" t="s">
        <v>649</v>
      </c>
      <c r="C28" s="113" t="s">
        <v>659</v>
      </c>
      <c r="D28" s="113" t="s">
        <v>707</v>
      </c>
      <c r="E28" s="113" t="s">
        <v>1039</v>
      </c>
      <c r="F28" s="145" t="e">
        <f>#REF!</f>
        <v>#REF!</v>
      </c>
    </row>
    <row r="29" spans="1:6" customFormat="1" ht="15.75" customHeight="1" x14ac:dyDescent="0.2">
      <c r="A29" s="113">
        <v>4</v>
      </c>
      <c r="B29" s="113" t="s">
        <v>649</v>
      </c>
      <c r="C29" s="113" t="s">
        <v>659</v>
      </c>
      <c r="D29" s="113" t="s">
        <v>711</v>
      </c>
      <c r="E29" s="113" t="s">
        <v>1040</v>
      </c>
      <c r="F29" s="145" t="e">
        <f>#REF!</f>
        <v>#REF!</v>
      </c>
    </row>
    <row r="30" spans="1:6" customFormat="1" ht="15.75" customHeight="1" x14ac:dyDescent="0.2">
      <c r="A30" s="113">
        <v>4</v>
      </c>
      <c r="B30" s="113" t="s">
        <v>649</v>
      </c>
      <c r="C30" s="113" t="s">
        <v>659</v>
      </c>
      <c r="D30" s="113" t="s">
        <v>714</v>
      </c>
      <c r="E30" s="113" t="s">
        <v>1041</v>
      </c>
      <c r="F30" s="145">
        <v>0</v>
      </c>
    </row>
    <row r="31" spans="1:6" customFormat="1" ht="15.75" customHeight="1" x14ac:dyDescent="0.2">
      <c r="A31" s="123">
        <v>4</v>
      </c>
      <c r="B31" s="123" t="s">
        <v>649</v>
      </c>
      <c r="C31" s="123" t="s">
        <v>679</v>
      </c>
      <c r="D31" s="123" t="s">
        <v>1042</v>
      </c>
      <c r="E31" s="123"/>
      <c r="F31" s="146"/>
    </row>
    <row r="32" spans="1:6" customFormat="1" ht="15.75" customHeight="1" x14ac:dyDescent="0.2">
      <c r="A32" s="113">
        <v>4</v>
      </c>
      <c r="B32" s="113" t="s">
        <v>649</v>
      </c>
      <c r="C32" s="113" t="s">
        <v>679</v>
      </c>
      <c r="D32" s="115" t="s">
        <v>686</v>
      </c>
      <c r="E32" s="113" t="s">
        <v>1043</v>
      </c>
      <c r="F32" s="145">
        <v>0</v>
      </c>
    </row>
    <row r="33" spans="1:11" customFormat="1" ht="15.75" customHeight="1" x14ac:dyDescent="0.2">
      <c r="A33" s="123">
        <v>4</v>
      </c>
      <c r="B33" s="123" t="s">
        <v>649</v>
      </c>
      <c r="C33" s="123" t="s">
        <v>681</v>
      </c>
      <c r="D33" s="123" t="s">
        <v>1044</v>
      </c>
      <c r="E33" s="123"/>
      <c r="F33" s="146"/>
    </row>
    <row r="34" spans="1:11" customFormat="1" ht="15.75" customHeight="1" x14ac:dyDescent="0.2">
      <c r="A34" s="113">
        <v>4</v>
      </c>
      <c r="B34" s="113" t="s">
        <v>649</v>
      </c>
      <c r="C34" s="113" t="s">
        <v>681</v>
      </c>
      <c r="D34" s="113" t="s">
        <v>651</v>
      </c>
      <c r="E34" s="113" t="s">
        <v>1045</v>
      </c>
      <c r="F34" s="145">
        <v>0</v>
      </c>
    </row>
    <row r="35" spans="1:11" customFormat="1" ht="15.75" customHeight="1" x14ac:dyDescent="0.2">
      <c r="A35" s="113">
        <v>4</v>
      </c>
      <c r="B35" s="113" t="s">
        <v>649</v>
      </c>
      <c r="C35" s="113" t="s">
        <v>681</v>
      </c>
      <c r="D35" s="113" t="s">
        <v>653</v>
      </c>
      <c r="E35" s="113" t="s">
        <v>1046</v>
      </c>
      <c r="F35" s="145"/>
    </row>
    <row r="36" spans="1:11" customFormat="1" ht="15.75" customHeight="1" x14ac:dyDescent="0.2">
      <c r="A36" s="113">
        <v>4</v>
      </c>
      <c r="B36" s="113" t="s">
        <v>649</v>
      </c>
      <c r="C36" s="113" t="s">
        <v>681</v>
      </c>
      <c r="D36" s="113" t="s">
        <v>667</v>
      </c>
      <c r="E36" s="113" t="s">
        <v>1047</v>
      </c>
      <c r="F36" s="145"/>
    </row>
    <row r="37" spans="1:11" customFormat="1" ht="15.75" customHeight="1" x14ac:dyDescent="0.2">
      <c r="A37" s="113">
        <v>4</v>
      </c>
      <c r="B37" s="113" t="s">
        <v>649</v>
      </c>
      <c r="C37" s="113" t="s">
        <v>681</v>
      </c>
      <c r="D37" s="113" t="s">
        <v>699</v>
      </c>
      <c r="E37" s="113" t="s">
        <v>1048</v>
      </c>
      <c r="F37" s="145"/>
    </row>
    <row r="38" spans="1:11" customFormat="1" ht="15.75" customHeight="1" x14ac:dyDescent="0.2">
      <c r="A38" s="399" t="s">
        <v>50</v>
      </c>
      <c r="B38" s="400"/>
      <c r="C38" s="400"/>
      <c r="D38" s="400"/>
      <c r="E38" s="401"/>
      <c r="F38" s="147"/>
    </row>
    <row r="39" spans="1:11" customFormat="1" ht="15.75" customHeight="1" x14ac:dyDescent="0.2">
      <c r="A39" s="123">
        <v>4</v>
      </c>
      <c r="B39" s="123" t="s">
        <v>649</v>
      </c>
      <c r="C39" s="123" t="s">
        <v>690</v>
      </c>
      <c r="D39" s="123" t="s">
        <v>1049</v>
      </c>
      <c r="E39" s="123"/>
      <c r="F39" s="146"/>
    </row>
    <row r="40" spans="1:11" customFormat="1" ht="15.75" customHeight="1" x14ac:dyDescent="0.2">
      <c r="A40" s="113">
        <v>4</v>
      </c>
      <c r="B40" s="113" t="s">
        <v>649</v>
      </c>
      <c r="C40" s="113" t="s">
        <v>690</v>
      </c>
      <c r="D40" s="113" t="s">
        <v>651</v>
      </c>
      <c r="E40" s="113" t="s">
        <v>1050</v>
      </c>
      <c r="F40" s="145"/>
      <c r="H40" s="209" t="e">
        <f>SUM(#REF!)</f>
        <v>#REF!</v>
      </c>
      <c r="I40" s="27"/>
      <c r="J40" s="27"/>
      <c r="K40" s="27"/>
    </row>
    <row r="41" spans="1:11" customFormat="1" ht="15.75" customHeight="1" x14ac:dyDescent="0.2">
      <c r="A41" s="113">
        <v>4</v>
      </c>
      <c r="B41" s="113" t="s">
        <v>649</v>
      </c>
      <c r="C41" s="113" t="s">
        <v>690</v>
      </c>
      <c r="D41" s="113" t="s">
        <v>653</v>
      </c>
      <c r="E41" s="113" t="s">
        <v>1051</v>
      </c>
      <c r="F41" s="145"/>
      <c r="H41" s="209" t="e">
        <f>SUM(F38,F45,F90,F110)-F18</f>
        <v>#REF!</v>
      </c>
      <c r="I41" s="289" t="e">
        <f>H40-H41</f>
        <v>#REF!</v>
      </c>
      <c r="J41" s="27"/>
      <c r="K41" s="27"/>
    </row>
    <row r="42" spans="1:11" customFormat="1" ht="15.75" customHeight="1" x14ac:dyDescent="0.2">
      <c r="A42" s="113">
        <v>4</v>
      </c>
      <c r="B42" s="113" t="s">
        <v>649</v>
      </c>
      <c r="C42" s="113" t="s">
        <v>690</v>
      </c>
      <c r="D42" s="113" t="s">
        <v>667</v>
      </c>
      <c r="E42" s="113" t="s">
        <v>285</v>
      </c>
      <c r="F42" s="145"/>
      <c r="H42" s="27"/>
      <c r="I42" s="27"/>
      <c r="J42" s="27"/>
      <c r="K42" s="27"/>
    </row>
    <row r="43" spans="1:11" customFormat="1" ht="15.75" customHeight="1" x14ac:dyDescent="0.2">
      <c r="A43" s="113">
        <v>4</v>
      </c>
      <c r="B43" s="113" t="s">
        <v>649</v>
      </c>
      <c r="C43" s="113" t="s">
        <v>690</v>
      </c>
      <c r="D43" s="113" t="s">
        <v>699</v>
      </c>
      <c r="E43" s="113" t="s">
        <v>1052</v>
      </c>
      <c r="F43" s="145"/>
      <c r="H43" s="27"/>
      <c r="I43" s="27"/>
      <c r="J43" s="27"/>
      <c r="K43" s="27"/>
    </row>
    <row r="44" spans="1:11" customFormat="1" ht="15.75" customHeight="1" x14ac:dyDescent="0.2">
      <c r="A44" s="113">
        <v>4</v>
      </c>
      <c r="B44" s="113" t="s">
        <v>649</v>
      </c>
      <c r="C44" s="113" t="s">
        <v>690</v>
      </c>
      <c r="D44" s="113" t="s">
        <v>703</v>
      </c>
      <c r="E44" s="113" t="s">
        <v>284</v>
      </c>
      <c r="F44" s="145"/>
      <c r="H44" s="27"/>
      <c r="I44" s="27"/>
      <c r="J44" s="27"/>
      <c r="K44" s="27"/>
    </row>
    <row r="45" spans="1:11" customFormat="1" ht="15.75" customHeight="1" x14ac:dyDescent="0.2">
      <c r="A45" s="399" t="s">
        <v>50</v>
      </c>
      <c r="B45" s="400"/>
      <c r="C45" s="400"/>
      <c r="D45" s="400"/>
      <c r="E45" s="401"/>
      <c r="F45" s="147"/>
      <c r="H45" s="27"/>
      <c r="I45" s="27"/>
      <c r="J45" s="27"/>
      <c r="K45" s="27"/>
    </row>
    <row r="46" spans="1:11" customFormat="1" ht="15.75" customHeight="1" x14ac:dyDescent="0.2">
      <c r="A46" s="121">
        <v>4</v>
      </c>
      <c r="B46" s="121" t="s">
        <v>655</v>
      </c>
      <c r="C46" s="121" t="s">
        <v>1282</v>
      </c>
      <c r="D46" s="121"/>
      <c r="E46" s="121"/>
      <c r="F46" s="148"/>
    </row>
    <row r="47" spans="1:11" customFormat="1" ht="15.75" customHeight="1" x14ac:dyDescent="0.2">
      <c r="A47" s="123">
        <v>4</v>
      </c>
      <c r="B47" s="123" t="s">
        <v>655</v>
      </c>
      <c r="C47" s="123" t="s">
        <v>649</v>
      </c>
      <c r="D47" s="123" t="s">
        <v>1054</v>
      </c>
      <c r="E47" s="123"/>
      <c r="F47" s="146"/>
    </row>
    <row r="48" spans="1:11" customFormat="1" ht="15.75" customHeight="1" x14ac:dyDescent="0.2">
      <c r="A48" s="113">
        <v>4</v>
      </c>
      <c r="B48" s="113" t="s">
        <v>655</v>
      </c>
      <c r="C48" s="113" t="s">
        <v>649</v>
      </c>
      <c r="D48" s="113" t="s">
        <v>651</v>
      </c>
      <c r="E48" s="113" t="s">
        <v>130</v>
      </c>
      <c r="F48" s="145"/>
    </row>
    <row r="49" spans="1:6" customFormat="1" ht="15.75" customHeight="1" x14ac:dyDescent="0.2">
      <c r="A49" s="113">
        <v>4</v>
      </c>
      <c r="B49" s="113" t="s">
        <v>655</v>
      </c>
      <c r="C49" s="113" t="s">
        <v>649</v>
      </c>
      <c r="D49" s="113" t="s">
        <v>653</v>
      </c>
      <c r="E49" s="113" t="s">
        <v>43</v>
      </c>
      <c r="F49" s="145"/>
    </row>
    <row r="50" spans="1:6" customFormat="1" ht="15.75" customHeight="1" x14ac:dyDescent="0.2">
      <c r="A50" s="113">
        <v>4</v>
      </c>
      <c r="B50" s="113" t="s">
        <v>655</v>
      </c>
      <c r="C50" s="113" t="s">
        <v>649</v>
      </c>
      <c r="D50" s="113" t="s">
        <v>667</v>
      </c>
      <c r="E50" s="112" t="s">
        <v>1055</v>
      </c>
      <c r="F50" s="145"/>
    </row>
    <row r="51" spans="1:6" customFormat="1" ht="15.75" customHeight="1" x14ac:dyDescent="0.2">
      <c r="A51" s="113">
        <v>4</v>
      </c>
      <c r="B51" s="113" t="s">
        <v>655</v>
      </c>
      <c r="C51" s="113" t="s">
        <v>649</v>
      </c>
      <c r="D51" s="113" t="s">
        <v>699</v>
      </c>
      <c r="E51" s="113" t="s">
        <v>45</v>
      </c>
      <c r="F51" s="145"/>
    </row>
    <row r="52" spans="1:6" customFormat="1" ht="15.75" customHeight="1" x14ac:dyDescent="0.2">
      <c r="A52" s="113">
        <v>4</v>
      </c>
      <c r="B52" s="113" t="s">
        <v>655</v>
      </c>
      <c r="C52" s="113" t="s">
        <v>649</v>
      </c>
      <c r="D52" s="113" t="s">
        <v>711</v>
      </c>
      <c r="E52" s="113" t="s">
        <v>1056</v>
      </c>
      <c r="F52" s="145"/>
    </row>
    <row r="53" spans="1:6" customFormat="1" ht="15.75" customHeight="1" x14ac:dyDescent="0.2">
      <c r="A53" s="113">
        <v>4</v>
      </c>
      <c r="B53" s="113" t="s">
        <v>655</v>
      </c>
      <c r="C53" s="113" t="s">
        <v>649</v>
      </c>
      <c r="D53" s="113" t="s">
        <v>769</v>
      </c>
      <c r="E53" s="113" t="s">
        <v>46</v>
      </c>
      <c r="F53" s="145"/>
    </row>
    <row r="54" spans="1:6" customFormat="1" ht="15.75" customHeight="1" x14ac:dyDescent="0.2">
      <c r="A54" s="113">
        <v>4</v>
      </c>
      <c r="B54" s="113" t="s">
        <v>655</v>
      </c>
      <c r="C54" s="113" t="s">
        <v>649</v>
      </c>
      <c r="D54" s="113" t="s">
        <v>770</v>
      </c>
      <c r="E54" s="113" t="s">
        <v>1057</v>
      </c>
      <c r="F54" s="145"/>
    </row>
    <row r="55" spans="1:6" customFormat="1" ht="15.75" customHeight="1" x14ac:dyDescent="0.2">
      <c r="A55" s="113">
        <v>4</v>
      </c>
      <c r="B55" s="113" t="s">
        <v>655</v>
      </c>
      <c r="C55" s="113" t="s">
        <v>649</v>
      </c>
      <c r="D55" s="113" t="s">
        <v>774</v>
      </c>
      <c r="E55" s="113" t="s">
        <v>270</v>
      </c>
      <c r="F55" s="145"/>
    </row>
    <row r="56" spans="1:6" customFormat="1" ht="15.75" customHeight="1" x14ac:dyDescent="0.2">
      <c r="A56" s="113">
        <v>4</v>
      </c>
      <c r="B56" s="113" t="s">
        <v>655</v>
      </c>
      <c r="C56" s="113" t="s">
        <v>649</v>
      </c>
      <c r="D56" s="113" t="s">
        <v>898</v>
      </c>
      <c r="E56" s="113" t="s">
        <v>1058</v>
      </c>
      <c r="F56" s="145"/>
    </row>
    <row r="57" spans="1:6" customFormat="1" ht="15.75" customHeight="1" x14ac:dyDescent="0.2">
      <c r="A57" s="113">
        <v>4</v>
      </c>
      <c r="B57" s="113" t="s">
        <v>655</v>
      </c>
      <c r="C57" s="113" t="s">
        <v>649</v>
      </c>
      <c r="D57" s="113" t="s">
        <v>1059</v>
      </c>
      <c r="E57" s="113" t="s">
        <v>263</v>
      </c>
      <c r="F57" s="145"/>
    </row>
    <row r="58" spans="1:6" customFormat="1" ht="15.75" customHeight="1" x14ac:dyDescent="0.2">
      <c r="A58" s="113">
        <v>4</v>
      </c>
      <c r="B58" s="113" t="s">
        <v>655</v>
      </c>
      <c r="C58" s="113" t="s">
        <v>649</v>
      </c>
      <c r="D58" s="113" t="s">
        <v>1060</v>
      </c>
      <c r="E58" s="113" t="s">
        <v>1061</v>
      </c>
      <c r="F58" s="145"/>
    </row>
    <row r="59" spans="1:6" customFormat="1" ht="15.75" customHeight="1" x14ac:dyDescent="0.2">
      <c r="A59" s="113">
        <v>4</v>
      </c>
      <c r="B59" s="113" t="s">
        <v>655</v>
      </c>
      <c r="C59" s="113" t="s">
        <v>649</v>
      </c>
      <c r="D59" s="113" t="s">
        <v>1062</v>
      </c>
      <c r="E59" s="113" t="s">
        <v>1063</v>
      </c>
      <c r="F59" s="145"/>
    </row>
    <row r="60" spans="1:6" customFormat="1" ht="15.75" customHeight="1" x14ac:dyDescent="0.2">
      <c r="A60" s="113">
        <v>4</v>
      </c>
      <c r="B60" s="113" t="s">
        <v>655</v>
      </c>
      <c r="C60" s="113" t="s">
        <v>649</v>
      </c>
      <c r="D60" s="115" t="s">
        <v>686</v>
      </c>
      <c r="E60" s="113" t="s">
        <v>168</v>
      </c>
      <c r="F60" s="145"/>
    </row>
    <row r="61" spans="1:6" customFormat="1" ht="15.75" customHeight="1" x14ac:dyDescent="0.2">
      <c r="A61" s="123">
        <v>4</v>
      </c>
      <c r="B61" s="123" t="s">
        <v>655</v>
      </c>
      <c r="C61" s="123" t="s">
        <v>655</v>
      </c>
      <c r="D61" s="123" t="s">
        <v>1064</v>
      </c>
      <c r="E61" s="123"/>
      <c r="F61" s="146"/>
    </row>
    <row r="62" spans="1:6" customFormat="1" ht="15.75" customHeight="1" x14ac:dyDescent="0.2">
      <c r="A62" s="113">
        <v>4</v>
      </c>
      <c r="B62" s="113" t="s">
        <v>655</v>
      </c>
      <c r="C62" s="113" t="s">
        <v>655</v>
      </c>
      <c r="D62" s="113" t="s">
        <v>651</v>
      </c>
      <c r="E62" s="113" t="s">
        <v>1065</v>
      </c>
      <c r="F62" s="145"/>
    </row>
    <row r="63" spans="1:6" customFormat="1" ht="15.75" customHeight="1" x14ac:dyDescent="0.2">
      <c r="A63" s="113">
        <v>4</v>
      </c>
      <c r="B63" s="113" t="s">
        <v>655</v>
      </c>
      <c r="C63" s="113" t="s">
        <v>655</v>
      </c>
      <c r="D63" s="113" t="s">
        <v>653</v>
      </c>
      <c r="E63" s="113" t="s">
        <v>265</v>
      </c>
      <c r="F63" s="145"/>
    </row>
    <row r="64" spans="1:6" customFormat="1" ht="15.75" customHeight="1" x14ac:dyDescent="0.2">
      <c r="A64" s="113">
        <v>4</v>
      </c>
      <c r="B64" s="113" t="s">
        <v>655</v>
      </c>
      <c r="C64" s="113" t="s">
        <v>655</v>
      </c>
      <c r="D64" s="113" t="s">
        <v>699</v>
      </c>
      <c r="E64" s="113" t="s">
        <v>1066</v>
      </c>
      <c r="F64" s="145"/>
    </row>
    <row r="65" spans="1:6" customFormat="1" ht="15.75" customHeight="1" x14ac:dyDescent="0.2">
      <c r="A65" s="113">
        <v>4</v>
      </c>
      <c r="B65" s="113" t="s">
        <v>655</v>
      </c>
      <c r="C65" s="113" t="s">
        <v>655</v>
      </c>
      <c r="D65" s="113" t="s">
        <v>703</v>
      </c>
      <c r="E65" s="113" t="s">
        <v>1067</v>
      </c>
      <c r="F65" s="145"/>
    </row>
    <row r="66" spans="1:6" customFormat="1" ht="15.75" customHeight="1" x14ac:dyDescent="0.2">
      <c r="A66" s="113">
        <v>4</v>
      </c>
      <c r="B66" s="113" t="s">
        <v>655</v>
      </c>
      <c r="C66" s="113" t="s">
        <v>655</v>
      </c>
      <c r="D66" s="113" t="s">
        <v>707</v>
      </c>
      <c r="E66" s="113" t="s">
        <v>1068</v>
      </c>
      <c r="F66" s="145"/>
    </row>
    <row r="67" spans="1:6" customFormat="1" ht="15.75" customHeight="1" x14ac:dyDescent="0.2">
      <c r="A67" s="113">
        <v>4</v>
      </c>
      <c r="B67" s="113" t="s">
        <v>655</v>
      </c>
      <c r="C67" s="113" t="s">
        <v>655</v>
      </c>
      <c r="D67" s="113" t="s">
        <v>711</v>
      </c>
      <c r="E67" s="113" t="s">
        <v>1069</v>
      </c>
      <c r="F67" s="145"/>
    </row>
    <row r="68" spans="1:6" customFormat="1" ht="15.75" customHeight="1" x14ac:dyDescent="0.2">
      <c r="A68" s="113">
        <v>4</v>
      </c>
      <c r="B68" s="113" t="s">
        <v>655</v>
      </c>
      <c r="C68" s="113" t="s">
        <v>655</v>
      </c>
      <c r="D68" s="113" t="s">
        <v>714</v>
      </c>
      <c r="E68" s="113" t="s">
        <v>1070</v>
      </c>
      <c r="F68" s="145"/>
    </row>
    <row r="69" spans="1:6" customFormat="1" ht="15.75" customHeight="1" x14ac:dyDescent="0.2">
      <c r="A69" s="113">
        <v>4</v>
      </c>
      <c r="B69" s="113" t="s">
        <v>655</v>
      </c>
      <c r="C69" s="113" t="s">
        <v>655</v>
      </c>
      <c r="D69" s="113" t="s">
        <v>759</v>
      </c>
      <c r="E69" s="113" t="s">
        <v>1071</v>
      </c>
      <c r="F69" s="145"/>
    </row>
    <row r="70" spans="1:6" customFormat="1" ht="15.75" customHeight="1" x14ac:dyDescent="0.2">
      <c r="A70" s="113">
        <v>4</v>
      </c>
      <c r="B70" s="113" t="s">
        <v>655</v>
      </c>
      <c r="C70" s="113" t="s">
        <v>655</v>
      </c>
      <c r="D70" s="113" t="s">
        <v>769</v>
      </c>
      <c r="E70" s="113" t="s">
        <v>1072</v>
      </c>
      <c r="F70" s="145"/>
    </row>
    <row r="71" spans="1:6" customFormat="1" ht="15.75" customHeight="1" x14ac:dyDescent="0.2">
      <c r="A71" s="113">
        <v>4</v>
      </c>
      <c r="B71" s="113" t="s">
        <v>655</v>
      </c>
      <c r="C71" s="113" t="s">
        <v>655</v>
      </c>
      <c r="D71" s="113" t="s">
        <v>770</v>
      </c>
      <c r="E71" s="113" t="s">
        <v>1073</v>
      </c>
      <c r="F71" s="145"/>
    </row>
    <row r="72" spans="1:6" customFormat="1" ht="15.75" customHeight="1" x14ac:dyDescent="0.2">
      <c r="A72" s="113">
        <v>4</v>
      </c>
      <c r="B72" s="113" t="s">
        <v>655</v>
      </c>
      <c r="C72" s="113" t="s">
        <v>655</v>
      </c>
      <c r="D72" s="113" t="s">
        <v>772</v>
      </c>
      <c r="E72" s="113" t="s">
        <v>1074</v>
      </c>
      <c r="F72" s="145"/>
    </row>
    <row r="73" spans="1:6" customFormat="1" ht="15.75" customHeight="1" x14ac:dyDescent="0.2">
      <c r="A73" s="113">
        <v>4</v>
      </c>
      <c r="B73" s="113" t="s">
        <v>655</v>
      </c>
      <c r="C73" s="113" t="s">
        <v>655</v>
      </c>
      <c r="D73" s="113" t="s">
        <v>774</v>
      </c>
      <c r="E73" s="113" t="s">
        <v>1075</v>
      </c>
      <c r="F73" s="145"/>
    </row>
    <row r="74" spans="1:6" customFormat="1" ht="15.75" customHeight="1" x14ac:dyDescent="0.2">
      <c r="A74" s="113">
        <v>4</v>
      </c>
      <c r="B74" s="113" t="s">
        <v>655</v>
      </c>
      <c r="C74" s="113" t="s">
        <v>655</v>
      </c>
      <c r="D74" s="113" t="s">
        <v>898</v>
      </c>
      <c r="E74" s="113" t="s">
        <v>1076</v>
      </c>
      <c r="F74" s="145"/>
    </row>
    <row r="75" spans="1:6" customFormat="1" ht="15.75" customHeight="1" x14ac:dyDescent="0.2">
      <c r="A75" s="113">
        <v>4</v>
      </c>
      <c r="B75" s="113" t="s">
        <v>655</v>
      </c>
      <c r="C75" s="113" t="s">
        <v>655</v>
      </c>
      <c r="D75" s="113" t="s">
        <v>1059</v>
      </c>
      <c r="E75" s="113" t="s">
        <v>1077</v>
      </c>
      <c r="F75" s="145"/>
    </row>
    <row r="76" spans="1:6" customFormat="1" ht="15.75" customHeight="1" x14ac:dyDescent="0.2">
      <c r="A76" s="113">
        <v>4</v>
      </c>
      <c r="B76" s="113" t="s">
        <v>655</v>
      </c>
      <c r="C76" s="113" t="s">
        <v>655</v>
      </c>
      <c r="D76" s="113" t="s">
        <v>1060</v>
      </c>
      <c r="E76" s="113" t="s">
        <v>1078</v>
      </c>
      <c r="F76" s="145"/>
    </row>
    <row r="77" spans="1:6" customFormat="1" ht="15.75" customHeight="1" x14ac:dyDescent="0.2">
      <c r="A77" s="113">
        <v>4</v>
      </c>
      <c r="B77" s="113" t="s">
        <v>655</v>
      </c>
      <c r="C77" s="113" t="s">
        <v>655</v>
      </c>
      <c r="D77" s="113" t="s">
        <v>1079</v>
      </c>
      <c r="E77" s="113" t="s">
        <v>1080</v>
      </c>
      <c r="F77" s="145"/>
    </row>
    <row r="78" spans="1:6" customFormat="1" ht="15.75" customHeight="1" x14ac:dyDescent="0.2">
      <c r="A78" s="113">
        <v>4</v>
      </c>
      <c r="B78" s="113" t="s">
        <v>655</v>
      </c>
      <c r="C78" s="113" t="s">
        <v>655</v>
      </c>
      <c r="D78" s="113" t="s">
        <v>1081</v>
      </c>
      <c r="E78" s="113" t="s">
        <v>277</v>
      </c>
      <c r="F78" s="145"/>
    </row>
    <row r="79" spans="1:6" customFormat="1" ht="15.75" customHeight="1" x14ac:dyDescent="0.2">
      <c r="A79" s="113">
        <v>4</v>
      </c>
      <c r="B79" s="113" t="s">
        <v>655</v>
      </c>
      <c r="C79" s="113" t="s">
        <v>655</v>
      </c>
      <c r="D79" s="115" t="s">
        <v>1082</v>
      </c>
      <c r="E79" s="113" t="s">
        <v>1083</v>
      </c>
      <c r="F79" s="145"/>
    </row>
    <row r="80" spans="1:6" customFormat="1" ht="15.75" customHeight="1" x14ac:dyDescent="0.2">
      <c r="A80" s="113">
        <v>4</v>
      </c>
      <c r="B80" s="113" t="s">
        <v>655</v>
      </c>
      <c r="C80" s="113" t="s">
        <v>655</v>
      </c>
      <c r="D80" s="113" t="s">
        <v>1084</v>
      </c>
      <c r="E80" s="113" t="s">
        <v>83</v>
      </c>
      <c r="F80" s="145"/>
    </row>
    <row r="81" spans="1:6" customFormat="1" ht="15.75" customHeight="1" x14ac:dyDescent="0.2">
      <c r="A81" s="113">
        <v>4</v>
      </c>
      <c r="B81" s="113" t="s">
        <v>655</v>
      </c>
      <c r="C81" s="113" t="s">
        <v>655</v>
      </c>
      <c r="D81" s="113" t="s">
        <v>1085</v>
      </c>
      <c r="E81" s="113" t="s">
        <v>466</v>
      </c>
      <c r="F81" s="145"/>
    </row>
    <row r="82" spans="1:6" customFormat="1" ht="15.75" customHeight="1" x14ac:dyDescent="0.2">
      <c r="A82" s="113">
        <v>4</v>
      </c>
      <c r="B82" s="113" t="s">
        <v>655</v>
      </c>
      <c r="C82" s="113" t="s">
        <v>655</v>
      </c>
      <c r="D82" s="113" t="s">
        <v>1086</v>
      </c>
      <c r="E82" s="113" t="s">
        <v>281</v>
      </c>
      <c r="F82" s="145"/>
    </row>
    <row r="83" spans="1:6" customFormat="1" ht="15.75" customHeight="1" x14ac:dyDescent="0.2">
      <c r="A83" s="113">
        <v>4</v>
      </c>
      <c r="B83" s="113" t="s">
        <v>655</v>
      </c>
      <c r="C83" s="113" t="s">
        <v>655</v>
      </c>
      <c r="D83" s="113" t="s">
        <v>1087</v>
      </c>
      <c r="E83" s="113" t="s">
        <v>1088</v>
      </c>
      <c r="F83" s="145"/>
    </row>
    <row r="84" spans="1:6" customFormat="1" ht="15.75" customHeight="1" x14ac:dyDescent="0.2">
      <c r="A84" s="113">
        <v>4</v>
      </c>
      <c r="B84" s="113" t="s">
        <v>655</v>
      </c>
      <c r="C84" s="113" t="s">
        <v>655</v>
      </c>
      <c r="D84" s="113" t="s">
        <v>1089</v>
      </c>
      <c r="E84" s="113" t="s">
        <v>1090</v>
      </c>
      <c r="F84" s="145"/>
    </row>
    <row r="85" spans="1:6" customFormat="1" ht="15.75" customHeight="1" x14ac:dyDescent="0.2">
      <c r="A85" s="113">
        <v>4</v>
      </c>
      <c r="B85" s="113" t="s">
        <v>655</v>
      </c>
      <c r="C85" s="113" t="s">
        <v>655</v>
      </c>
      <c r="D85" s="115" t="s">
        <v>1091</v>
      </c>
      <c r="E85" s="116" t="s">
        <v>1092</v>
      </c>
      <c r="F85" s="145"/>
    </row>
    <row r="86" spans="1:6" customFormat="1" ht="15.75" customHeight="1" x14ac:dyDescent="0.2">
      <c r="A86" s="113">
        <v>4</v>
      </c>
      <c r="B86" s="113" t="s">
        <v>655</v>
      </c>
      <c r="C86" s="113" t="s">
        <v>655</v>
      </c>
      <c r="D86" s="115" t="s">
        <v>1093</v>
      </c>
      <c r="E86" s="116" t="s">
        <v>1094</v>
      </c>
      <c r="F86" s="145"/>
    </row>
    <row r="87" spans="1:6" customFormat="1" ht="15.75" customHeight="1" x14ac:dyDescent="0.2">
      <c r="A87" s="113">
        <v>4</v>
      </c>
      <c r="B87" s="113" t="s">
        <v>655</v>
      </c>
      <c r="C87" s="113" t="s">
        <v>655</v>
      </c>
      <c r="D87" s="115" t="s">
        <v>1095</v>
      </c>
      <c r="E87" s="113" t="s">
        <v>1096</v>
      </c>
      <c r="F87" s="145"/>
    </row>
    <row r="88" spans="1:6" customFormat="1" ht="15.75" customHeight="1" x14ac:dyDescent="0.2">
      <c r="A88" s="113">
        <v>4</v>
      </c>
      <c r="B88" s="113" t="s">
        <v>655</v>
      </c>
      <c r="C88" s="113" t="s">
        <v>655</v>
      </c>
      <c r="D88" s="113" t="s">
        <v>1062</v>
      </c>
      <c r="E88" s="113" t="s">
        <v>1097</v>
      </c>
      <c r="F88" s="145"/>
    </row>
    <row r="89" spans="1:6" customFormat="1" ht="15.75" customHeight="1" x14ac:dyDescent="0.2">
      <c r="A89" s="113">
        <v>4</v>
      </c>
      <c r="B89" s="113" t="s">
        <v>655</v>
      </c>
      <c r="C89" s="113" t="s">
        <v>655</v>
      </c>
      <c r="D89" s="113" t="s">
        <v>686</v>
      </c>
      <c r="E89" s="113" t="s">
        <v>185</v>
      </c>
      <c r="F89" s="145"/>
    </row>
    <row r="90" spans="1:6" customFormat="1" ht="15.75" customHeight="1" x14ac:dyDescent="0.2">
      <c r="A90" s="399" t="s">
        <v>50</v>
      </c>
      <c r="B90" s="400"/>
      <c r="C90" s="400"/>
      <c r="D90" s="400"/>
      <c r="E90" s="401"/>
      <c r="F90" s="147"/>
    </row>
    <row r="91" spans="1:6" customFormat="1" ht="15.75" customHeight="1" x14ac:dyDescent="0.2">
      <c r="A91" s="121">
        <v>4</v>
      </c>
      <c r="B91" s="121" t="s">
        <v>659</v>
      </c>
      <c r="C91" s="121" t="s">
        <v>1283</v>
      </c>
      <c r="D91" s="121"/>
      <c r="E91" s="121"/>
      <c r="F91" s="148"/>
    </row>
    <row r="92" spans="1:6" customFormat="1" ht="15.75" customHeight="1" x14ac:dyDescent="0.2">
      <c r="A92" s="123">
        <v>4</v>
      </c>
      <c r="B92" s="123" t="s">
        <v>659</v>
      </c>
      <c r="C92" s="123" t="s">
        <v>649</v>
      </c>
      <c r="D92" s="123" t="s">
        <v>1098</v>
      </c>
      <c r="E92" s="123"/>
      <c r="F92" s="146"/>
    </row>
    <row r="93" spans="1:6" customFormat="1" ht="15.75" customHeight="1" x14ac:dyDescent="0.2">
      <c r="A93" s="113">
        <v>4</v>
      </c>
      <c r="B93" s="113" t="s">
        <v>659</v>
      </c>
      <c r="C93" s="113" t="s">
        <v>649</v>
      </c>
      <c r="D93" s="113" t="s">
        <v>651</v>
      </c>
      <c r="E93" s="113" t="s">
        <v>1099</v>
      </c>
      <c r="F93" s="145"/>
    </row>
    <row r="94" spans="1:6" customFormat="1" ht="15.75" customHeight="1" x14ac:dyDescent="0.2">
      <c r="A94" s="113">
        <v>4</v>
      </c>
      <c r="B94" s="113" t="s">
        <v>659</v>
      </c>
      <c r="C94" s="113" t="s">
        <v>649</v>
      </c>
      <c r="D94" s="115" t="s">
        <v>653</v>
      </c>
      <c r="E94" s="113" t="s">
        <v>1100</v>
      </c>
      <c r="F94" s="145"/>
    </row>
    <row r="95" spans="1:6" customFormat="1" ht="15.75" customHeight="1" x14ac:dyDescent="0.2">
      <c r="A95" s="113">
        <v>4</v>
      </c>
      <c r="B95" s="113" t="s">
        <v>659</v>
      </c>
      <c r="C95" s="113" t="s">
        <v>649</v>
      </c>
      <c r="D95" s="115" t="s">
        <v>667</v>
      </c>
      <c r="E95" s="113" t="s">
        <v>1101</v>
      </c>
      <c r="F95" s="145"/>
    </row>
    <row r="96" spans="1:6" customFormat="1" ht="15.75" customHeight="1" x14ac:dyDescent="0.2">
      <c r="A96" s="113">
        <v>4</v>
      </c>
      <c r="B96" s="113" t="s">
        <v>659</v>
      </c>
      <c r="C96" s="113" t="s">
        <v>649</v>
      </c>
      <c r="D96" s="115" t="s">
        <v>699</v>
      </c>
      <c r="E96" s="113" t="s">
        <v>280</v>
      </c>
      <c r="F96" s="145"/>
    </row>
    <row r="97" spans="1:6" customFormat="1" ht="15.75" customHeight="1" x14ac:dyDescent="0.2">
      <c r="A97" s="113">
        <v>4</v>
      </c>
      <c r="B97" s="113" t="s">
        <v>659</v>
      </c>
      <c r="C97" s="113" t="s">
        <v>649</v>
      </c>
      <c r="D97" s="115" t="s">
        <v>703</v>
      </c>
      <c r="E97" s="113" t="s">
        <v>1102</v>
      </c>
      <c r="F97" s="145"/>
    </row>
    <row r="98" spans="1:6" customFormat="1" ht="15.75" customHeight="1" x14ac:dyDescent="0.2">
      <c r="A98" s="113">
        <v>4</v>
      </c>
      <c r="B98" s="113" t="s">
        <v>659</v>
      </c>
      <c r="C98" s="113" t="s">
        <v>649</v>
      </c>
      <c r="D98" s="115" t="s">
        <v>707</v>
      </c>
      <c r="E98" s="113" t="s">
        <v>1103</v>
      </c>
      <c r="F98" s="145"/>
    </row>
    <row r="99" spans="1:6" customFormat="1" ht="15.75" customHeight="1" x14ac:dyDescent="0.2">
      <c r="A99" s="123">
        <v>4</v>
      </c>
      <c r="B99" s="123" t="s">
        <v>659</v>
      </c>
      <c r="C99" s="140" t="s">
        <v>655</v>
      </c>
      <c r="D99" s="123" t="s">
        <v>1104</v>
      </c>
      <c r="E99" s="123"/>
      <c r="F99" s="146"/>
    </row>
    <row r="100" spans="1:6" customFormat="1" ht="15.75" customHeight="1" x14ac:dyDescent="0.2">
      <c r="A100" s="116">
        <v>4</v>
      </c>
      <c r="B100" s="116" t="s">
        <v>659</v>
      </c>
      <c r="C100" s="118" t="s">
        <v>655</v>
      </c>
      <c r="D100" s="118" t="s">
        <v>651</v>
      </c>
      <c r="E100" s="116" t="s">
        <v>1105</v>
      </c>
      <c r="F100" s="145"/>
    </row>
    <row r="101" spans="1:6" customFormat="1" ht="15.75" customHeight="1" x14ac:dyDescent="0.2">
      <c r="A101" s="116">
        <v>4</v>
      </c>
      <c r="B101" s="116" t="s">
        <v>659</v>
      </c>
      <c r="C101" s="118" t="s">
        <v>655</v>
      </c>
      <c r="D101" s="118" t="s">
        <v>653</v>
      </c>
      <c r="E101" s="116" t="s">
        <v>1106</v>
      </c>
      <c r="F101" s="145"/>
    </row>
    <row r="102" spans="1:6" customFormat="1" ht="15.75" customHeight="1" x14ac:dyDescent="0.2">
      <c r="A102" s="121">
        <v>4</v>
      </c>
      <c r="B102" s="121" t="s">
        <v>679</v>
      </c>
      <c r="C102" s="121" t="s">
        <v>1284</v>
      </c>
      <c r="D102" s="121"/>
      <c r="E102" s="121"/>
      <c r="F102" s="148"/>
    </row>
    <row r="103" spans="1:6" customFormat="1" ht="15.75" customHeight="1" x14ac:dyDescent="0.2">
      <c r="A103" s="123">
        <v>4</v>
      </c>
      <c r="B103" s="123" t="s">
        <v>679</v>
      </c>
      <c r="C103" s="123" t="s">
        <v>649</v>
      </c>
      <c r="D103" s="405" t="s">
        <v>1108</v>
      </c>
      <c r="E103" s="406"/>
      <c r="F103" s="146"/>
    </row>
    <row r="104" spans="1:6" customFormat="1" ht="15.75" customHeight="1" x14ac:dyDescent="0.2">
      <c r="A104" s="113">
        <v>4</v>
      </c>
      <c r="B104" s="113" t="s">
        <v>679</v>
      </c>
      <c r="C104" s="113" t="s">
        <v>649</v>
      </c>
      <c r="D104" s="113" t="s">
        <v>651</v>
      </c>
      <c r="E104" s="113" t="s">
        <v>1109</v>
      </c>
      <c r="F104" s="145"/>
    </row>
    <row r="105" spans="1:6" customFormat="1" ht="15.75" customHeight="1" x14ac:dyDescent="0.2">
      <c r="A105" s="113">
        <v>4</v>
      </c>
      <c r="B105" s="113" t="s">
        <v>679</v>
      </c>
      <c r="C105" s="113" t="s">
        <v>649</v>
      </c>
      <c r="D105" s="113" t="s">
        <v>653</v>
      </c>
      <c r="E105" s="113" t="s">
        <v>1110</v>
      </c>
      <c r="F105" s="145"/>
    </row>
    <row r="106" spans="1:6" customFormat="1" ht="15.75" customHeight="1" x14ac:dyDescent="0.2">
      <c r="A106" s="123">
        <v>4</v>
      </c>
      <c r="B106" s="123" t="s">
        <v>679</v>
      </c>
      <c r="C106" s="123" t="s">
        <v>655</v>
      </c>
      <c r="D106" s="123" t="s">
        <v>1111</v>
      </c>
      <c r="E106" s="123"/>
      <c r="F106" s="146"/>
    </row>
    <row r="107" spans="1:6" customFormat="1" ht="15.75" customHeight="1" x14ac:dyDescent="0.2">
      <c r="A107" s="113">
        <v>4</v>
      </c>
      <c r="B107" s="113" t="s">
        <v>679</v>
      </c>
      <c r="C107" s="113" t="s">
        <v>655</v>
      </c>
      <c r="D107" s="113" t="s">
        <v>651</v>
      </c>
      <c r="E107" s="113" t="s">
        <v>1112</v>
      </c>
      <c r="F107" s="145"/>
    </row>
    <row r="108" spans="1:6" customFormat="1" ht="15.75" customHeight="1" x14ac:dyDescent="0.2">
      <c r="A108" s="113">
        <v>4</v>
      </c>
      <c r="B108" s="113" t="s">
        <v>679</v>
      </c>
      <c r="C108" s="113" t="s">
        <v>655</v>
      </c>
      <c r="D108" s="113" t="s">
        <v>653</v>
      </c>
      <c r="E108" s="113" t="s">
        <v>1113</v>
      </c>
      <c r="F108" s="145"/>
    </row>
    <row r="109" spans="1:6" customFormat="1" ht="15.75" customHeight="1" x14ac:dyDescent="0.2">
      <c r="A109" s="116">
        <v>4</v>
      </c>
      <c r="B109" s="116" t="s">
        <v>679</v>
      </c>
      <c r="C109" s="116" t="s">
        <v>655</v>
      </c>
      <c r="D109" s="118" t="s">
        <v>667</v>
      </c>
      <c r="E109" s="116" t="s">
        <v>1114</v>
      </c>
      <c r="F109" s="145"/>
    </row>
    <row r="110" spans="1:6" customFormat="1" ht="15.75" customHeight="1" x14ac:dyDescent="0.2">
      <c r="A110" s="399" t="s">
        <v>50</v>
      </c>
      <c r="B110" s="400"/>
      <c r="C110" s="400"/>
      <c r="D110" s="400"/>
      <c r="E110" s="401"/>
      <c r="F110" s="147"/>
    </row>
    <row r="111" spans="1:6" customFormat="1" ht="15.75" customHeight="1" x14ac:dyDescent="0.2">
      <c r="A111" s="121">
        <v>4</v>
      </c>
      <c r="B111" s="121" t="s">
        <v>681</v>
      </c>
      <c r="C111" s="407" t="s">
        <v>1285</v>
      </c>
      <c r="D111" s="408"/>
      <c r="E111" s="409"/>
      <c r="F111" s="148"/>
    </row>
    <row r="112" spans="1:6" customFormat="1" ht="15.75" customHeight="1" x14ac:dyDescent="0.2">
      <c r="A112" s="123">
        <v>4</v>
      </c>
      <c r="B112" s="123" t="s">
        <v>681</v>
      </c>
      <c r="C112" s="123" t="s">
        <v>649</v>
      </c>
      <c r="D112" s="123" t="s">
        <v>1115</v>
      </c>
      <c r="E112" s="123"/>
      <c r="F112" s="146"/>
    </row>
    <row r="113" spans="1:6" customFormat="1" ht="15.75" customHeight="1" x14ac:dyDescent="0.2">
      <c r="A113" s="113">
        <v>4</v>
      </c>
      <c r="B113" s="113" t="s">
        <v>681</v>
      </c>
      <c r="C113" s="113" t="s">
        <v>649</v>
      </c>
      <c r="D113" s="113" t="s">
        <v>651</v>
      </c>
      <c r="E113" s="113" t="s">
        <v>1116</v>
      </c>
      <c r="F113" s="145"/>
    </row>
    <row r="114" spans="1:6" customFormat="1" ht="15.75" customHeight="1" x14ac:dyDescent="0.2">
      <c r="A114" s="113">
        <v>4</v>
      </c>
      <c r="B114" s="113" t="s">
        <v>681</v>
      </c>
      <c r="C114" s="113" t="s">
        <v>649</v>
      </c>
      <c r="D114" s="113" t="s">
        <v>653</v>
      </c>
      <c r="E114" s="113" t="s">
        <v>1117</v>
      </c>
      <c r="F114" s="145"/>
    </row>
    <row r="115" spans="1:6" customFormat="1" ht="15.75" customHeight="1" x14ac:dyDescent="0.2">
      <c r="A115" s="113">
        <v>4</v>
      </c>
      <c r="B115" s="113" t="s">
        <v>681</v>
      </c>
      <c r="C115" s="113" t="s">
        <v>649</v>
      </c>
      <c r="D115" s="113" t="s">
        <v>667</v>
      </c>
      <c r="E115" s="113" t="s">
        <v>1118</v>
      </c>
      <c r="F115" s="145"/>
    </row>
    <row r="116" spans="1:6" customFormat="1" ht="15.75" customHeight="1" x14ac:dyDescent="0.2">
      <c r="A116" s="113">
        <v>4</v>
      </c>
      <c r="B116" s="113" t="s">
        <v>681</v>
      </c>
      <c r="C116" s="113" t="s">
        <v>649</v>
      </c>
      <c r="D116" s="113" t="s">
        <v>699</v>
      </c>
      <c r="E116" s="113" t="s">
        <v>1119</v>
      </c>
      <c r="F116" s="145"/>
    </row>
    <row r="117" spans="1:6" customFormat="1" ht="15.75" customHeight="1" x14ac:dyDescent="0.2">
      <c r="A117" s="113">
        <v>4</v>
      </c>
      <c r="B117" s="113" t="s">
        <v>681</v>
      </c>
      <c r="C117" s="113" t="s">
        <v>649</v>
      </c>
      <c r="D117" s="113" t="s">
        <v>703</v>
      </c>
      <c r="E117" s="113" t="s">
        <v>1120</v>
      </c>
      <c r="F117" s="145"/>
    </row>
    <row r="118" spans="1:6" customFormat="1" ht="15.75" customHeight="1" x14ac:dyDescent="0.2">
      <c r="A118" s="113">
        <v>4</v>
      </c>
      <c r="B118" s="113" t="s">
        <v>681</v>
      </c>
      <c r="C118" s="113" t="s">
        <v>649</v>
      </c>
      <c r="D118" s="113" t="s">
        <v>707</v>
      </c>
      <c r="E118" s="113" t="s">
        <v>1121</v>
      </c>
      <c r="F118" s="145"/>
    </row>
    <row r="119" spans="1:6" customFormat="1" ht="15.75" customHeight="1" x14ac:dyDescent="0.2">
      <c r="A119" s="116">
        <v>4</v>
      </c>
      <c r="B119" s="116" t="s">
        <v>681</v>
      </c>
      <c r="C119" s="116" t="s">
        <v>649</v>
      </c>
      <c r="D119" s="116" t="s">
        <v>711</v>
      </c>
      <c r="E119" s="116" t="s">
        <v>1122</v>
      </c>
      <c r="F119" s="145"/>
    </row>
    <row r="120" spans="1:6" customFormat="1" ht="28.5" customHeight="1" x14ac:dyDescent="0.2">
      <c r="A120" s="113">
        <v>4</v>
      </c>
      <c r="B120" s="113" t="s">
        <v>681</v>
      </c>
      <c r="C120" s="113" t="s">
        <v>649</v>
      </c>
      <c r="D120" s="113" t="s">
        <v>714</v>
      </c>
      <c r="E120" s="144" t="s">
        <v>1123</v>
      </c>
      <c r="F120" s="145"/>
    </row>
    <row r="121" spans="1:6" customFormat="1" ht="26.25" customHeight="1" x14ac:dyDescent="0.2">
      <c r="A121" s="113">
        <v>4</v>
      </c>
      <c r="B121" s="113" t="s">
        <v>681</v>
      </c>
      <c r="C121" s="113" t="s">
        <v>649</v>
      </c>
      <c r="D121" s="113" t="s">
        <v>759</v>
      </c>
      <c r="E121" s="144" t="s">
        <v>1124</v>
      </c>
      <c r="F121" s="145"/>
    </row>
    <row r="122" spans="1:6" customFormat="1" ht="15.75" customHeight="1" x14ac:dyDescent="0.2">
      <c r="A122" s="116">
        <v>4</v>
      </c>
      <c r="B122" s="116" t="s">
        <v>681</v>
      </c>
      <c r="C122" s="116" t="s">
        <v>649</v>
      </c>
      <c r="D122" s="116" t="s">
        <v>769</v>
      </c>
      <c r="E122" s="116" t="s">
        <v>1125</v>
      </c>
      <c r="F122" s="145"/>
    </row>
    <row r="123" spans="1:6" customFormat="1" ht="15.75" customHeight="1" x14ac:dyDescent="0.2">
      <c r="A123" s="113">
        <v>4</v>
      </c>
      <c r="B123" s="113" t="s">
        <v>681</v>
      </c>
      <c r="C123" s="113" t="s">
        <v>649</v>
      </c>
      <c r="D123" s="115" t="s">
        <v>770</v>
      </c>
      <c r="E123" s="113" t="s">
        <v>1126</v>
      </c>
      <c r="F123" s="145"/>
    </row>
    <row r="124" spans="1:6" customFormat="1" ht="15.75" customHeight="1" x14ac:dyDescent="0.2">
      <c r="A124" s="119">
        <v>4</v>
      </c>
      <c r="B124" s="119" t="s">
        <v>681</v>
      </c>
      <c r="C124" s="119" t="s">
        <v>649</v>
      </c>
      <c r="D124" s="120" t="s">
        <v>772</v>
      </c>
      <c r="E124" s="119" t="s">
        <v>1127</v>
      </c>
      <c r="F124" s="145"/>
    </row>
    <row r="125" spans="1:6" customFormat="1" ht="15.75" customHeight="1" x14ac:dyDescent="0.2">
      <c r="A125" s="113">
        <v>4</v>
      </c>
      <c r="B125" s="113" t="s">
        <v>681</v>
      </c>
      <c r="C125" s="113" t="s">
        <v>649</v>
      </c>
      <c r="D125" s="113" t="s">
        <v>686</v>
      </c>
      <c r="E125" s="113" t="s">
        <v>1128</v>
      </c>
      <c r="F125" s="145"/>
    </row>
    <row r="126" spans="1:6" customFormat="1" ht="15.75" customHeight="1" x14ac:dyDescent="0.2">
      <c r="A126" s="121">
        <v>4</v>
      </c>
      <c r="B126" s="121" t="s">
        <v>690</v>
      </c>
      <c r="C126" s="121" t="s">
        <v>1286</v>
      </c>
      <c r="D126" s="121"/>
      <c r="E126" s="121"/>
      <c r="F126" s="148"/>
    </row>
    <row r="127" spans="1:6" customFormat="1" ht="15.75" customHeight="1" x14ac:dyDescent="0.2">
      <c r="A127" s="123">
        <v>4</v>
      </c>
      <c r="B127" s="123" t="s">
        <v>690</v>
      </c>
      <c r="C127" s="123" t="s">
        <v>649</v>
      </c>
      <c r="D127" s="123" t="s">
        <v>286</v>
      </c>
      <c r="E127" s="123"/>
      <c r="F127" s="146"/>
    </row>
    <row r="128" spans="1:6" customFormat="1" ht="15.75" customHeight="1" x14ac:dyDescent="0.2">
      <c r="A128" s="113">
        <v>4</v>
      </c>
      <c r="B128" s="113" t="s">
        <v>690</v>
      </c>
      <c r="C128" s="113" t="s">
        <v>649</v>
      </c>
      <c r="D128" s="113" t="s">
        <v>651</v>
      </c>
      <c r="E128" s="113" t="s">
        <v>286</v>
      </c>
      <c r="F128" s="145"/>
    </row>
    <row r="129" spans="1:9" customFormat="1" ht="15.75" customHeight="1" x14ac:dyDescent="0.2">
      <c r="A129" s="121">
        <v>4</v>
      </c>
      <c r="B129" s="121" t="s">
        <v>693</v>
      </c>
      <c r="C129" s="121" t="s">
        <v>1287</v>
      </c>
      <c r="D129" s="121"/>
      <c r="E129" s="121"/>
      <c r="F129" s="148"/>
    </row>
    <row r="130" spans="1:9" customFormat="1" ht="15.75" customHeight="1" x14ac:dyDescent="0.2">
      <c r="A130" s="123">
        <v>4</v>
      </c>
      <c r="B130" s="123" t="s">
        <v>693</v>
      </c>
      <c r="C130" s="123" t="s">
        <v>649</v>
      </c>
      <c r="D130" s="123" t="s">
        <v>1129</v>
      </c>
      <c r="E130" s="123"/>
      <c r="F130" s="146"/>
    </row>
    <row r="131" spans="1:9" customFormat="1" ht="15.75" customHeight="1" x14ac:dyDescent="0.2">
      <c r="A131" s="113">
        <v>4</v>
      </c>
      <c r="B131" s="113" t="s">
        <v>693</v>
      </c>
      <c r="C131" s="113" t="s">
        <v>649</v>
      </c>
      <c r="D131" s="113" t="s">
        <v>651</v>
      </c>
      <c r="E131" s="113" t="s">
        <v>1130</v>
      </c>
      <c r="F131" s="145"/>
    </row>
    <row r="132" spans="1:9" customFormat="1" ht="15.75" customHeight="1" x14ac:dyDescent="0.2">
      <c r="A132" s="399" t="s">
        <v>50</v>
      </c>
      <c r="B132" s="400"/>
      <c r="C132" s="400"/>
      <c r="D132" s="400"/>
      <c r="E132" s="401"/>
      <c r="F132" s="147"/>
    </row>
    <row r="133" spans="1:9" customFormat="1" ht="15.75" customHeight="1" x14ac:dyDescent="0.2">
      <c r="A133" s="121">
        <v>5</v>
      </c>
      <c r="B133" s="407" t="s">
        <v>476</v>
      </c>
      <c r="C133" s="408"/>
      <c r="D133" s="408"/>
      <c r="E133" s="409"/>
      <c r="F133" s="148"/>
    </row>
    <row r="134" spans="1:9" customFormat="1" ht="15.75" customHeight="1" x14ac:dyDescent="0.2">
      <c r="A134" s="121">
        <v>5</v>
      </c>
      <c r="B134" s="121" t="s">
        <v>649</v>
      </c>
      <c r="C134" s="121" t="s">
        <v>1288</v>
      </c>
      <c r="D134" s="143"/>
      <c r="E134" s="143"/>
      <c r="F134" s="149"/>
    </row>
    <row r="135" spans="1:9" customFormat="1" ht="15.75" customHeight="1" x14ac:dyDescent="0.2">
      <c r="A135" s="123">
        <v>5</v>
      </c>
      <c r="B135" s="123" t="s">
        <v>649</v>
      </c>
      <c r="C135" s="123" t="s">
        <v>649</v>
      </c>
      <c r="D135" s="123" t="s">
        <v>478</v>
      </c>
      <c r="E135" s="123"/>
      <c r="F135" s="146"/>
    </row>
    <row r="136" spans="1:9" customFormat="1" ht="15.75" customHeight="1" x14ac:dyDescent="0.2">
      <c r="A136" s="113">
        <v>5</v>
      </c>
      <c r="B136" s="113" t="s">
        <v>649</v>
      </c>
      <c r="C136" s="113" t="s">
        <v>649</v>
      </c>
      <c r="D136" s="113" t="s">
        <v>651</v>
      </c>
      <c r="E136" s="113" t="s">
        <v>479</v>
      </c>
      <c r="F136" s="145"/>
    </row>
    <row r="137" spans="1:9" customFormat="1" ht="15.75" customHeight="1" x14ac:dyDescent="0.2">
      <c r="A137" s="113">
        <v>5</v>
      </c>
      <c r="B137" s="113" t="s">
        <v>649</v>
      </c>
      <c r="C137" s="113" t="s">
        <v>649</v>
      </c>
      <c r="D137" s="113" t="s">
        <v>653</v>
      </c>
      <c r="E137" s="113" t="s">
        <v>1132</v>
      </c>
      <c r="F137" s="145"/>
    </row>
    <row r="138" spans="1:9" customFormat="1" ht="15.75" customHeight="1" x14ac:dyDescent="0.2">
      <c r="A138" s="123">
        <v>5</v>
      </c>
      <c r="B138" s="123" t="s">
        <v>649</v>
      </c>
      <c r="C138" s="123" t="s">
        <v>655</v>
      </c>
      <c r="D138" s="123" t="s">
        <v>486</v>
      </c>
      <c r="E138" s="123"/>
      <c r="F138" s="146"/>
      <c r="H138" s="209" t="e">
        <f>SUM(#REF!)</f>
        <v>#REF!</v>
      </c>
      <c r="I138" s="209"/>
    </row>
    <row r="139" spans="1:9" customFormat="1" ht="15.75" customHeight="1" x14ac:dyDescent="0.2">
      <c r="A139" s="113">
        <v>5</v>
      </c>
      <c r="B139" s="113" t="s">
        <v>649</v>
      </c>
      <c r="C139" s="113" t="s">
        <v>655</v>
      </c>
      <c r="D139" s="113" t="s">
        <v>651</v>
      </c>
      <c r="E139" s="113" t="s">
        <v>1133</v>
      </c>
      <c r="F139" s="145"/>
      <c r="H139" s="209">
        <f>SUM(F166,F257,F266,F312,F315)</f>
        <v>0</v>
      </c>
      <c r="I139" s="297" t="e">
        <f>H138-H139</f>
        <v>#REF!</v>
      </c>
    </row>
    <row r="140" spans="1:9" customFormat="1" ht="15.75" customHeight="1" x14ac:dyDescent="0.2">
      <c r="A140" s="113">
        <v>5</v>
      </c>
      <c r="B140" s="113" t="s">
        <v>649</v>
      </c>
      <c r="C140" s="113" t="s">
        <v>655</v>
      </c>
      <c r="D140" s="113" t="s">
        <v>653</v>
      </c>
      <c r="E140" s="113" t="s">
        <v>58</v>
      </c>
      <c r="F140" s="145"/>
      <c r="H140" s="27"/>
      <c r="I140" s="27"/>
    </row>
    <row r="141" spans="1:9" customFormat="1" ht="15.75" customHeight="1" x14ac:dyDescent="0.2">
      <c r="A141" s="113">
        <v>5</v>
      </c>
      <c r="B141" s="113" t="s">
        <v>649</v>
      </c>
      <c r="C141" s="113" t="s">
        <v>655</v>
      </c>
      <c r="D141" s="113" t="s">
        <v>667</v>
      </c>
      <c r="E141" s="113" t="s">
        <v>59</v>
      </c>
      <c r="F141" s="145"/>
    </row>
    <row r="142" spans="1:9" customFormat="1" ht="15.75" customHeight="1" x14ac:dyDescent="0.2">
      <c r="A142" s="113">
        <v>5</v>
      </c>
      <c r="B142" s="113" t="s">
        <v>649</v>
      </c>
      <c r="C142" s="113" t="s">
        <v>655</v>
      </c>
      <c r="D142" s="113" t="s">
        <v>699</v>
      </c>
      <c r="E142" s="113" t="s">
        <v>19</v>
      </c>
      <c r="F142" s="145"/>
    </row>
    <row r="143" spans="1:9" customFormat="1" ht="15.75" customHeight="1" x14ac:dyDescent="0.2">
      <c r="A143" s="113">
        <v>5</v>
      </c>
      <c r="B143" s="113" t="s">
        <v>649</v>
      </c>
      <c r="C143" s="113" t="s">
        <v>655</v>
      </c>
      <c r="D143" s="113" t="s">
        <v>703</v>
      </c>
      <c r="E143" s="113" t="s">
        <v>1134</v>
      </c>
      <c r="F143" s="145"/>
    </row>
    <row r="144" spans="1:9" customFormat="1" ht="15.75" customHeight="1" x14ac:dyDescent="0.2">
      <c r="A144" s="113">
        <v>5</v>
      </c>
      <c r="B144" s="113" t="s">
        <v>649</v>
      </c>
      <c r="C144" s="113" t="s">
        <v>655</v>
      </c>
      <c r="D144" s="113" t="s">
        <v>707</v>
      </c>
      <c r="E144" s="113" t="s">
        <v>1135</v>
      </c>
      <c r="F144" s="145"/>
    </row>
    <row r="145" spans="1:6" customFormat="1" ht="15.75" customHeight="1" x14ac:dyDescent="0.2">
      <c r="A145" s="113">
        <v>5</v>
      </c>
      <c r="B145" s="113" t="s">
        <v>649</v>
      </c>
      <c r="C145" s="113" t="s">
        <v>655</v>
      </c>
      <c r="D145" s="113" t="s">
        <v>711</v>
      </c>
      <c r="E145" s="113" t="s">
        <v>1136</v>
      </c>
      <c r="F145" s="145"/>
    </row>
    <row r="146" spans="1:6" customFormat="1" ht="15.75" customHeight="1" x14ac:dyDescent="0.2">
      <c r="A146" s="113">
        <v>5</v>
      </c>
      <c r="B146" s="113" t="s">
        <v>649</v>
      </c>
      <c r="C146" s="113" t="s">
        <v>655</v>
      </c>
      <c r="D146" s="113" t="s">
        <v>714</v>
      </c>
      <c r="E146" s="113" t="s">
        <v>20</v>
      </c>
      <c r="F146" s="145"/>
    </row>
    <row r="147" spans="1:6" customFormat="1" ht="15.75" customHeight="1" x14ac:dyDescent="0.2">
      <c r="A147" s="113">
        <v>5</v>
      </c>
      <c r="B147" s="113" t="s">
        <v>649</v>
      </c>
      <c r="C147" s="113" t="s">
        <v>655</v>
      </c>
      <c r="D147" s="113" t="s">
        <v>759</v>
      </c>
      <c r="E147" s="113" t="s">
        <v>1137</v>
      </c>
      <c r="F147" s="145"/>
    </row>
    <row r="148" spans="1:6" customFormat="1" ht="15.75" customHeight="1" x14ac:dyDescent="0.2">
      <c r="A148" s="113">
        <v>5</v>
      </c>
      <c r="B148" s="113" t="s">
        <v>649</v>
      </c>
      <c r="C148" s="113" t="s">
        <v>655</v>
      </c>
      <c r="D148" s="113" t="s">
        <v>769</v>
      </c>
      <c r="E148" s="113" t="s">
        <v>21</v>
      </c>
      <c r="F148" s="145"/>
    </row>
    <row r="149" spans="1:6" customFormat="1" ht="15.75" customHeight="1" x14ac:dyDescent="0.2">
      <c r="A149" s="113">
        <v>5</v>
      </c>
      <c r="B149" s="113" t="s">
        <v>649</v>
      </c>
      <c r="C149" s="113" t="s">
        <v>655</v>
      </c>
      <c r="D149" s="115" t="s">
        <v>770</v>
      </c>
      <c r="E149" s="113" t="s">
        <v>139</v>
      </c>
      <c r="F149" s="145"/>
    </row>
    <row r="150" spans="1:6" customFormat="1" ht="15.75" customHeight="1" x14ac:dyDescent="0.2">
      <c r="A150" s="113">
        <v>5</v>
      </c>
      <c r="B150" s="113" t="s">
        <v>649</v>
      </c>
      <c r="C150" s="113" t="s">
        <v>655</v>
      </c>
      <c r="D150" s="115" t="s">
        <v>772</v>
      </c>
      <c r="E150" s="113" t="s">
        <v>22</v>
      </c>
      <c r="F150" s="145"/>
    </row>
    <row r="151" spans="1:6" customFormat="1" ht="15.75" customHeight="1" x14ac:dyDescent="0.2">
      <c r="A151" s="113">
        <v>5</v>
      </c>
      <c r="B151" s="113" t="s">
        <v>649</v>
      </c>
      <c r="C151" s="113" t="s">
        <v>655</v>
      </c>
      <c r="D151" s="115" t="s">
        <v>774</v>
      </c>
      <c r="E151" s="113" t="s">
        <v>140</v>
      </c>
      <c r="F151" s="145"/>
    </row>
    <row r="152" spans="1:6" customFormat="1" ht="15.75" customHeight="1" x14ac:dyDescent="0.2">
      <c r="A152" s="113">
        <v>5</v>
      </c>
      <c r="B152" s="113" t="s">
        <v>649</v>
      </c>
      <c r="C152" s="113" t="s">
        <v>655</v>
      </c>
      <c r="D152" s="115" t="s">
        <v>898</v>
      </c>
      <c r="E152" s="113" t="s">
        <v>24</v>
      </c>
      <c r="F152" s="145"/>
    </row>
    <row r="153" spans="1:6" customFormat="1" ht="15.75" customHeight="1" x14ac:dyDescent="0.2">
      <c r="A153" s="113">
        <v>5</v>
      </c>
      <c r="B153" s="113" t="s">
        <v>649</v>
      </c>
      <c r="C153" s="113" t="s">
        <v>655</v>
      </c>
      <c r="D153" s="115" t="s">
        <v>1059</v>
      </c>
      <c r="E153" s="113" t="s">
        <v>23</v>
      </c>
      <c r="F153" s="145"/>
    </row>
    <row r="154" spans="1:6" customFormat="1" ht="15.75" customHeight="1" x14ac:dyDescent="0.2">
      <c r="A154" s="113">
        <v>5</v>
      </c>
      <c r="B154" s="113" t="s">
        <v>649</v>
      </c>
      <c r="C154" s="113" t="s">
        <v>655</v>
      </c>
      <c r="D154" s="115" t="s">
        <v>686</v>
      </c>
      <c r="E154" s="113" t="s">
        <v>488</v>
      </c>
      <c r="F154" s="145"/>
    </row>
    <row r="155" spans="1:6" customFormat="1" ht="15.75" customHeight="1" x14ac:dyDescent="0.2">
      <c r="A155" s="123">
        <v>5</v>
      </c>
      <c r="B155" s="123" t="s">
        <v>649</v>
      </c>
      <c r="C155" s="123" t="s">
        <v>659</v>
      </c>
      <c r="D155" s="123" t="s">
        <v>1138</v>
      </c>
      <c r="E155" s="123"/>
      <c r="F155" s="146"/>
    </row>
    <row r="156" spans="1:6" customFormat="1" ht="15.75" customHeight="1" x14ac:dyDescent="0.2">
      <c r="A156" s="113">
        <v>5</v>
      </c>
      <c r="B156" s="113" t="s">
        <v>649</v>
      </c>
      <c r="C156" s="113" t="s">
        <v>659</v>
      </c>
      <c r="D156" s="113" t="s">
        <v>651</v>
      </c>
      <c r="E156" s="113" t="s">
        <v>1139</v>
      </c>
      <c r="F156" s="145"/>
    </row>
    <row r="157" spans="1:6" customFormat="1" ht="15.75" customHeight="1" x14ac:dyDescent="0.2">
      <c r="A157" s="113">
        <v>5</v>
      </c>
      <c r="B157" s="113" t="s">
        <v>649</v>
      </c>
      <c r="C157" s="113" t="s">
        <v>659</v>
      </c>
      <c r="D157" s="113" t="s">
        <v>653</v>
      </c>
      <c r="E157" s="113" t="s">
        <v>1140</v>
      </c>
      <c r="F157" s="145"/>
    </row>
    <row r="158" spans="1:6" customFormat="1" ht="15.75" customHeight="1" x14ac:dyDescent="0.2">
      <c r="A158" s="113">
        <v>5</v>
      </c>
      <c r="B158" s="113" t="s">
        <v>649</v>
      </c>
      <c r="C158" s="113" t="s">
        <v>659</v>
      </c>
      <c r="D158" s="113" t="s">
        <v>667</v>
      </c>
      <c r="E158" s="113" t="s">
        <v>1141</v>
      </c>
      <c r="F158" s="145"/>
    </row>
    <row r="159" spans="1:6" customFormat="1" ht="15.75" customHeight="1" x14ac:dyDescent="0.2">
      <c r="A159" s="113">
        <v>5</v>
      </c>
      <c r="B159" s="113" t="s">
        <v>649</v>
      </c>
      <c r="C159" s="113" t="s">
        <v>659</v>
      </c>
      <c r="D159" s="113" t="s">
        <v>699</v>
      </c>
      <c r="E159" s="113" t="s">
        <v>1142</v>
      </c>
      <c r="F159" s="145"/>
    </row>
    <row r="160" spans="1:6" customFormat="1" ht="15.75" customHeight="1" x14ac:dyDescent="0.2">
      <c r="A160" s="113">
        <v>5</v>
      </c>
      <c r="B160" s="113" t="s">
        <v>649</v>
      </c>
      <c r="C160" s="113" t="s">
        <v>659</v>
      </c>
      <c r="D160" s="113" t="s">
        <v>703</v>
      </c>
      <c r="E160" s="113" t="s">
        <v>1143</v>
      </c>
      <c r="F160" s="145"/>
    </row>
    <row r="161" spans="1:6" customFormat="1" ht="15.75" customHeight="1" x14ac:dyDescent="0.2">
      <c r="A161" s="123">
        <v>5</v>
      </c>
      <c r="B161" s="123" t="s">
        <v>649</v>
      </c>
      <c r="C161" s="123" t="s">
        <v>679</v>
      </c>
      <c r="D161" s="123" t="s">
        <v>26</v>
      </c>
      <c r="E161" s="123"/>
      <c r="F161" s="146"/>
    </row>
    <row r="162" spans="1:6" customFormat="1" ht="15.75" customHeight="1" x14ac:dyDescent="0.2">
      <c r="A162" s="113">
        <v>5</v>
      </c>
      <c r="B162" s="113" t="s">
        <v>649</v>
      </c>
      <c r="C162" s="113" t="s">
        <v>679</v>
      </c>
      <c r="D162" s="113" t="s">
        <v>651</v>
      </c>
      <c r="E162" s="113" t="s">
        <v>1144</v>
      </c>
      <c r="F162" s="145"/>
    </row>
    <row r="163" spans="1:6" customFormat="1" ht="15.75" customHeight="1" x14ac:dyDescent="0.2">
      <c r="A163" s="113">
        <v>5</v>
      </c>
      <c r="B163" s="113" t="s">
        <v>649</v>
      </c>
      <c r="C163" s="113" t="s">
        <v>679</v>
      </c>
      <c r="D163" s="113" t="s">
        <v>653</v>
      </c>
      <c r="E163" s="113" t="s">
        <v>1145</v>
      </c>
      <c r="F163" s="145"/>
    </row>
    <row r="164" spans="1:6" customFormat="1" ht="15.75" customHeight="1" x14ac:dyDescent="0.2">
      <c r="A164" s="113">
        <v>5</v>
      </c>
      <c r="B164" s="113" t="s">
        <v>649</v>
      </c>
      <c r="C164" s="113" t="s">
        <v>679</v>
      </c>
      <c r="D164" s="113" t="s">
        <v>667</v>
      </c>
      <c r="E164" s="113" t="s">
        <v>25</v>
      </c>
      <c r="F164" s="145"/>
    </row>
    <row r="165" spans="1:6" customFormat="1" ht="15.75" customHeight="1" x14ac:dyDescent="0.2">
      <c r="A165" s="113">
        <v>5</v>
      </c>
      <c r="B165" s="113" t="s">
        <v>649</v>
      </c>
      <c r="C165" s="113" t="s">
        <v>679</v>
      </c>
      <c r="D165" s="113" t="s">
        <v>686</v>
      </c>
      <c r="E165" s="113" t="s">
        <v>26</v>
      </c>
      <c r="F165" s="145"/>
    </row>
    <row r="166" spans="1:6" customFormat="1" ht="15.75" customHeight="1" x14ac:dyDescent="0.2">
      <c r="A166" s="399" t="s">
        <v>50</v>
      </c>
      <c r="B166" s="400"/>
      <c r="C166" s="400"/>
      <c r="D166" s="400"/>
      <c r="E166" s="401"/>
      <c r="F166" s="147"/>
    </row>
    <row r="167" spans="1:6" customFormat="1" ht="15.75" customHeight="1" x14ac:dyDescent="0.2">
      <c r="A167" s="121">
        <v>5</v>
      </c>
      <c r="B167" s="121" t="s">
        <v>655</v>
      </c>
      <c r="C167" s="121" t="s">
        <v>493</v>
      </c>
      <c r="D167" s="143"/>
      <c r="E167" s="143"/>
      <c r="F167" s="149"/>
    </row>
    <row r="168" spans="1:6" customFormat="1" ht="15.75" customHeight="1" x14ac:dyDescent="0.2">
      <c r="A168" s="123">
        <v>5</v>
      </c>
      <c r="B168" s="123" t="s">
        <v>655</v>
      </c>
      <c r="C168" s="123" t="s">
        <v>649</v>
      </c>
      <c r="D168" s="123" t="s">
        <v>494</v>
      </c>
      <c r="E168" s="123"/>
      <c r="F168" s="146"/>
    </row>
    <row r="169" spans="1:6" customFormat="1" ht="15.75" customHeight="1" x14ac:dyDescent="0.2">
      <c r="A169" s="113">
        <v>5</v>
      </c>
      <c r="B169" s="113" t="s">
        <v>655</v>
      </c>
      <c r="C169" s="113" t="s">
        <v>649</v>
      </c>
      <c r="D169" s="113" t="s">
        <v>651</v>
      </c>
      <c r="E169" s="113" t="s">
        <v>495</v>
      </c>
      <c r="F169" s="145"/>
    </row>
    <row r="170" spans="1:6" customFormat="1" ht="15.75" customHeight="1" x14ac:dyDescent="0.2">
      <c r="A170" s="113">
        <v>5</v>
      </c>
      <c r="B170" s="113" t="s">
        <v>655</v>
      </c>
      <c r="C170" s="113" t="s">
        <v>649</v>
      </c>
      <c r="D170" s="113" t="s">
        <v>653</v>
      </c>
      <c r="E170" s="113" t="s">
        <v>496</v>
      </c>
      <c r="F170" s="150"/>
    </row>
    <row r="171" spans="1:6" customFormat="1" ht="15.75" customHeight="1" x14ac:dyDescent="0.2">
      <c r="A171" s="123">
        <v>5</v>
      </c>
      <c r="B171" s="123" t="s">
        <v>655</v>
      </c>
      <c r="C171" s="123" t="s">
        <v>655</v>
      </c>
      <c r="D171" s="123" t="s">
        <v>497</v>
      </c>
      <c r="E171" s="123"/>
      <c r="F171" s="146"/>
    </row>
    <row r="172" spans="1:6" customFormat="1" ht="15.75" customHeight="1" x14ac:dyDescent="0.2">
      <c r="A172" s="113">
        <v>5</v>
      </c>
      <c r="B172" s="113" t="s">
        <v>655</v>
      </c>
      <c r="C172" s="113" t="s">
        <v>655</v>
      </c>
      <c r="D172" s="113" t="s">
        <v>651</v>
      </c>
      <c r="E172" s="113" t="s">
        <v>27</v>
      </c>
      <c r="F172" s="145"/>
    </row>
    <row r="173" spans="1:6" customFormat="1" ht="15.75" customHeight="1" x14ac:dyDescent="0.2">
      <c r="A173" s="113">
        <v>5</v>
      </c>
      <c r="B173" s="113" t="s">
        <v>655</v>
      </c>
      <c r="C173" s="113" t="s">
        <v>655</v>
      </c>
      <c r="D173" s="113" t="s">
        <v>653</v>
      </c>
      <c r="E173" s="113" t="s">
        <v>1147</v>
      </c>
      <c r="F173" s="150"/>
    </row>
    <row r="174" spans="1:6" customFormat="1" ht="15.75" customHeight="1" x14ac:dyDescent="0.2">
      <c r="A174" s="123">
        <v>5</v>
      </c>
      <c r="B174" s="123" t="s">
        <v>655</v>
      </c>
      <c r="C174" s="123" t="s">
        <v>659</v>
      </c>
      <c r="D174" s="123" t="s">
        <v>1148</v>
      </c>
      <c r="E174" s="123"/>
      <c r="F174" s="146"/>
    </row>
    <row r="175" spans="1:6" customFormat="1" ht="15.75" customHeight="1" x14ac:dyDescent="0.2">
      <c r="A175" s="113">
        <v>5</v>
      </c>
      <c r="B175" s="113" t="s">
        <v>655</v>
      </c>
      <c r="C175" s="113" t="s">
        <v>659</v>
      </c>
      <c r="D175" s="113" t="s">
        <v>651</v>
      </c>
      <c r="E175" s="113" t="s">
        <v>1149</v>
      </c>
      <c r="F175" s="145"/>
    </row>
    <row r="176" spans="1:6" customFormat="1" ht="15.75" customHeight="1" x14ac:dyDescent="0.2">
      <c r="A176" s="113">
        <v>5</v>
      </c>
      <c r="B176" s="113" t="s">
        <v>655</v>
      </c>
      <c r="C176" s="113" t="s">
        <v>659</v>
      </c>
      <c r="D176" s="113" t="s">
        <v>653</v>
      </c>
      <c r="E176" s="113" t="s">
        <v>61</v>
      </c>
      <c r="F176" s="145"/>
    </row>
    <row r="177" spans="1:6" customFormat="1" ht="15.75" customHeight="1" x14ac:dyDescent="0.2">
      <c r="A177" s="113">
        <v>5</v>
      </c>
      <c r="B177" s="113" t="s">
        <v>655</v>
      </c>
      <c r="C177" s="113" t="s">
        <v>659</v>
      </c>
      <c r="D177" s="113" t="s">
        <v>667</v>
      </c>
      <c r="E177" s="113" t="s">
        <v>1150</v>
      </c>
      <c r="F177" s="150"/>
    </row>
    <row r="178" spans="1:6" customFormat="1" ht="15.75" customHeight="1" x14ac:dyDescent="0.2">
      <c r="A178" s="113">
        <v>5</v>
      </c>
      <c r="B178" s="113" t="s">
        <v>655</v>
      </c>
      <c r="C178" s="113" t="s">
        <v>659</v>
      </c>
      <c r="D178" s="113" t="s">
        <v>699</v>
      </c>
      <c r="E178" s="113" t="s">
        <v>290</v>
      </c>
      <c r="F178" s="150"/>
    </row>
    <row r="179" spans="1:6" customFormat="1" ht="15.75" customHeight="1" x14ac:dyDescent="0.2">
      <c r="A179" s="113">
        <v>5</v>
      </c>
      <c r="B179" s="113" t="s">
        <v>655</v>
      </c>
      <c r="C179" s="113" t="s">
        <v>659</v>
      </c>
      <c r="D179" s="113" t="s">
        <v>703</v>
      </c>
      <c r="E179" s="113" t="s">
        <v>291</v>
      </c>
      <c r="F179" s="150"/>
    </row>
    <row r="180" spans="1:6" customFormat="1" ht="15.75" customHeight="1" x14ac:dyDescent="0.2">
      <c r="A180" s="113">
        <v>5</v>
      </c>
      <c r="B180" s="113" t="s">
        <v>655</v>
      </c>
      <c r="C180" s="113" t="s">
        <v>659</v>
      </c>
      <c r="D180" s="113" t="s">
        <v>707</v>
      </c>
      <c r="E180" s="113" t="s">
        <v>1151</v>
      </c>
      <c r="F180" s="145"/>
    </row>
    <row r="181" spans="1:6" customFormat="1" ht="15.75" customHeight="1" x14ac:dyDescent="0.2">
      <c r="A181" s="113">
        <v>5</v>
      </c>
      <c r="B181" s="113" t="s">
        <v>655</v>
      </c>
      <c r="C181" s="113" t="s">
        <v>659</v>
      </c>
      <c r="D181" s="113" t="s">
        <v>711</v>
      </c>
      <c r="E181" s="113" t="s">
        <v>62</v>
      </c>
      <c r="F181" s="145"/>
    </row>
    <row r="182" spans="1:6" customFormat="1" ht="15.75" customHeight="1" x14ac:dyDescent="0.2">
      <c r="A182" s="113">
        <v>5</v>
      </c>
      <c r="B182" s="113" t="s">
        <v>655</v>
      </c>
      <c r="C182" s="113" t="s">
        <v>659</v>
      </c>
      <c r="D182" s="113" t="s">
        <v>714</v>
      </c>
      <c r="E182" s="113" t="s">
        <v>292</v>
      </c>
      <c r="F182" s="145"/>
    </row>
    <row r="183" spans="1:6" customFormat="1" ht="15.75" customHeight="1" x14ac:dyDescent="0.2">
      <c r="A183" s="113">
        <v>5</v>
      </c>
      <c r="B183" s="113" t="s">
        <v>655</v>
      </c>
      <c r="C183" s="113" t="s">
        <v>659</v>
      </c>
      <c r="D183" s="113" t="s">
        <v>759</v>
      </c>
      <c r="E183" s="113" t="s">
        <v>1152</v>
      </c>
      <c r="F183" s="150"/>
    </row>
    <row r="184" spans="1:6" customFormat="1" ht="15.75" customHeight="1" x14ac:dyDescent="0.2">
      <c r="A184" s="113">
        <v>5</v>
      </c>
      <c r="B184" s="113" t="s">
        <v>655</v>
      </c>
      <c r="C184" s="113" t="s">
        <v>659</v>
      </c>
      <c r="D184" s="113" t="s">
        <v>769</v>
      </c>
      <c r="E184" s="113" t="s">
        <v>1153</v>
      </c>
      <c r="F184" s="150"/>
    </row>
    <row r="185" spans="1:6" customFormat="1" ht="15.75" customHeight="1" x14ac:dyDescent="0.2">
      <c r="A185" s="113">
        <v>5</v>
      </c>
      <c r="B185" s="113" t="s">
        <v>655</v>
      </c>
      <c r="C185" s="113" t="s">
        <v>659</v>
      </c>
      <c r="D185" s="113" t="s">
        <v>770</v>
      </c>
      <c r="E185" s="113" t="s">
        <v>293</v>
      </c>
      <c r="F185" s="150"/>
    </row>
    <row r="186" spans="1:6" customFormat="1" ht="15.75" customHeight="1" x14ac:dyDescent="0.2">
      <c r="A186" s="113">
        <v>5</v>
      </c>
      <c r="B186" s="113" t="s">
        <v>655</v>
      </c>
      <c r="C186" s="113" t="s">
        <v>659</v>
      </c>
      <c r="D186" s="113" t="s">
        <v>772</v>
      </c>
      <c r="E186" s="113" t="s">
        <v>1154</v>
      </c>
      <c r="F186" s="150"/>
    </row>
    <row r="187" spans="1:6" customFormat="1" ht="15.75" customHeight="1" x14ac:dyDescent="0.2">
      <c r="A187" s="113">
        <v>5</v>
      </c>
      <c r="B187" s="113" t="s">
        <v>655</v>
      </c>
      <c r="C187" s="113" t="s">
        <v>659</v>
      </c>
      <c r="D187" s="113" t="s">
        <v>774</v>
      </c>
      <c r="E187" s="113" t="s">
        <v>1155</v>
      </c>
      <c r="F187" s="150"/>
    </row>
    <row r="188" spans="1:6" customFormat="1" ht="15.75" customHeight="1" x14ac:dyDescent="0.2">
      <c r="A188" s="113">
        <v>5</v>
      </c>
      <c r="B188" s="113" t="s">
        <v>655</v>
      </c>
      <c r="C188" s="113" t="s">
        <v>659</v>
      </c>
      <c r="D188" s="115" t="s">
        <v>686</v>
      </c>
      <c r="E188" s="113" t="s">
        <v>1156</v>
      </c>
      <c r="F188" s="150"/>
    </row>
    <row r="189" spans="1:6" customFormat="1" ht="15.75" customHeight="1" x14ac:dyDescent="0.2">
      <c r="A189" s="123">
        <v>5</v>
      </c>
      <c r="B189" s="123" t="s">
        <v>655</v>
      </c>
      <c r="C189" s="123" t="s">
        <v>679</v>
      </c>
      <c r="D189" s="123" t="s">
        <v>500</v>
      </c>
      <c r="E189" s="123"/>
      <c r="F189" s="146"/>
    </row>
    <row r="190" spans="1:6" customFormat="1" ht="15.75" customHeight="1" x14ac:dyDescent="0.2">
      <c r="A190" s="113">
        <v>5</v>
      </c>
      <c r="B190" s="113" t="s">
        <v>655</v>
      </c>
      <c r="C190" s="113" t="s">
        <v>679</v>
      </c>
      <c r="D190" s="113" t="s">
        <v>651</v>
      </c>
      <c r="E190" s="113" t="s">
        <v>72</v>
      </c>
      <c r="F190" s="150"/>
    </row>
    <row r="191" spans="1:6" customFormat="1" ht="15.75" customHeight="1" x14ac:dyDescent="0.2">
      <c r="A191" s="113">
        <v>5</v>
      </c>
      <c r="B191" s="113" t="s">
        <v>655</v>
      </c>
      <c r="C191" s="113" t="s">
        <v>679</v>
      </c>
      <c r="D191" s="113" t="s">
        <v>653</v>
      </c>
      <c r="E191" s="113" t="s">
        <v>63</v>
      </c>
      <c r="F191" s="150"/>
    </row>
    <row r="192" spans="1:6" customFormat="1" ht="15.75" customHeight="1" x14ac:dyDescent="0.2">
      <c r="A192" s="123">
        <v>5</v>
      </c>
      <c r="B192" s="123" t="s">
        <v>655</v>
      </c>
      <c r="C192" s="123" t="s">
        <v>681</v>
      </c>
      <c r="D192" s="123" t="s">
        <v>501</v>
      </c>
      <c r="E192" s="123"/>
      <c r="F192" s="146"/>
    </row>
    <row r="193" spans="1:6" customFormat="1" ht="15.75" customHeight="1" x14ac:dyDescent="0.2">
      <c r="A193" s="113">
        <v>5</v>
      </c>
      <c r="B193" s="113" t="s">
        <v>655</v>
      </c>
      <c r="C193" s="113" t="s">
        <v>681</v>
      </c>
      <c r="D193" s="113" t="s">
        <v>651</v>
      </c>
      <c r="E193" s="113" t="s">
        <v>1157</v>
      </c>
      <c r="F193" s="150"/>
    </row>
    <row r="194" spans="1:6" customFormat="1" ht="15.75" customHeight="1" x14ac:dyDescent="0.2">
      <c r="A194" s="113">
        <v>5</v>
      </c>
      <c r="B194" s="113" t="s">
        <v>655</v>
      </c>
      <c r="C194" s="113" t="s">
        <v>681</v>
      </c>
      <c r="D194" s="113" t="s">
        <v>653</v>
      </c>
      <c r="E194" s="113" t="s">
        <v>1158</v>
      </c>
      <c r="F194" s="150"/>
    </row>
    <row r="195" spans="1:6" customFormat="1" ht="15.75" customHeight="1" x14ac:dyDescent="0.2">
      <c r="A195" s="113">
        <v>5</v>
      </c>
      <c r="B195" s="113" t="s">
        <v>655</v>
      </c>
      <c r="C195" s="113" t="s">
        <v>681</v>
      </c>
      <c r="D195" s="113" t="s">
        <v>667</v>
      </c>
      <c r="E195" s="113" t="s">
        <v>1159</v>
      </c>
      <c r="F195" s="150"/>
    </row>
    <row r="196" spans="1:6" customFormat="1" ht="15.75" customHeight="1" x14ac:dyDescent="0.2">
      <c r="A196" s="113">
        <v>5</v>
      </c>
      <c r="B196" s="113" t="s">
        <v>655</v>
      </c>
      <c r="C196" s="113" t="s">
        <v>681</v>
      </c>
      <c r="D196" s="113" t="s">
        <v>699</v>
      </c>
      <c r="E196" s="113" t="s">
        <v>1160</v>
      </c>
      <c r="F196" s="150"/>
    </row>
    <row r="197" spans="1:6" customFormat="1" ht="15.75" customHeight="1" x14ac:dyDescent="0.2">
      <c r="A197" s="123">
        <v>5</v>
      </c>
      <c r="B197" s="123" t="s">
        <v>655</v>
      </c>
      <c r="C197" s="123" t="s">
        <v>690</v>
      </c>
      <c r="D197" s="123" t="s">
        <v>1161</v>
      </c>
      <c r="E197" s="123"/>
      <c r="F197" s="146"/>
    </row>
    <row r="198" spans="1:6" customFormat="1" ht="15.75" customHeight="1" x14ac:dyDescent="0.2">
      <c r="A198" s="113">
        <v>5</v>
      </c>
      <c r="B198" s="113" t="s">
        <v>655</v>
      </c>
      <c r="C198" s="113" t="s">
        <v>690</v>
      </c>
      <c r="D198" s="113" t="s">
        <v>651</v>
      </c>
      <c r="E198" s="113" t="s">
        <v>1162</v>
      </c>
      <c r="F198" s="150"/>
    </row>
    <row r="199" spans="1:6" customFormat="1" ht="15.75" customHeight="1" x14ac:dyDescent="0.2">
      <c r="A199" s="113">
        <v>5</v>
      </c>
      <c r="B199" s="113" t="s">
        <v>655</v>
      </c>
      <c r="C199" s="113" t="s">
        <v>690</v>
      </c>
      <c r="D199" s="113" t="s">
        <v>653</v>
      </c>
      <c r="E199" s="113" t="s">
        <v>1163</v>
      </c>
      <c r="F199" s="150"/>
    </row>
    <row r="200" spans="1:6" customFormat="1" ht="15.75" customHeight="1" x14ac:dyDescent="0.2">
      <c r="A200" s="123">
        <v>5</v>
      </c>
      <c r="B200" s="123" t="s">
        <v>655</v>
      </c>
      <c r="C200" s="123" t="s">
        <v>693</v>
      </c>
      <c r="D200" s="123" t="s">
        <v>1164</v>
      </c>
      <c r="E200" s="123"/>
      <c r="F200" s="146"/>
    </row>
    <row r="201" spans="1:6" customFormat="1" ht="15.75" customHeight="1" x14ac:dyDescent="0.2">
      <c r="A201" s="113">
        <v>5</v>
      </c>
      <c r="B201" s="113" t="s">
        <v>655</v>
      </c>
      <c r="C201" s="113" t="s">
        <v>693</v>
      </c>
      <c r="D201" s="113" t="s">
        <v>651</v>
      </c>
      <c r="E201" s="113" t="s">
        <v>167</v>
      </c>
      <c r="F201" s="150"/>
    </row>
    <row r="202" spans="1:6" customFormat="1" ht="15.75" customHeight="1" x14ac:dyDescent="0.2">
      <c r="A202" s="113">
        <v>5</v>
      </c>
      <c r="B202" s="113" t="s">
        <v>655</v>
      </c>
      <c r="C202" s="113" t="s">
        <v>693</v>
      </c>
      <c r="D202" s="113" t="s">
        <v>653</v>
      </c>
      <c r="E202" s="113" t="s">
        <v>1165</v>
      </c>
      <c r="F202" s="150"/>
    </row>
    <row r="203" spans="1:6" customFormat="1" ht="15.75" customHeight="1" x14ac:dyDescent="0.2">
      <c r="A203" s="123">
        <v>5</v>
      </c>
      <c r="B203" s="123" t="s">
        <v>655</v>
      </c>
      <c r="C203" s="123" t="s">
        <v>926</v>
      </c>
      <c r="D203" s="123" t="s">
        <v>1166</v>
      </c>
      <c r="E203" s="123"/>
      <c r="F203" s="146"/>
    </row>
    <row r="204" spans="1:6" customFormat="1" ht="15.75" customHeight="1" x14ac:dyDescent="0.2">
      <c r="A204" s="113">
        <v>5</v>
      </c>
      <c r="B204" s="113" t="s">
        <v>655</v>
      </c>
      <c r="C204" s="113" t="s">
        <v>926</v>
      </c>
      <c r="D204" s="113" t="s">
        <v>651</v>
      </c>
      <c r="E204" s="113" t="s">
        <v>1167</v>
      </c>
      <c r="F204" s="150"/>
    </row>
    <row r="205" spans="1:6" customFormat="1" ht="15.75" customHeight="1" x14ac:dyDescent="0.2">
      <c r="A205" s="113">
        <v>5</v>
      </c>
      <c r="B205" s="113" t="s">
        <v>655</v>
      </c>
      <c r="C205" s="113" t="s">
        <v>926</v>
      </c>
      <c r="D205" s="113" t="s">
        <v>653</v>
      </c>
      <c r="E205" s="113" t="s">
        <v>1168</v>
      </c>
      <c r="F205" s="150"/>
    </row>
    <row r="206" spans="1:6" customFormat="1" ht="15.75" customHeight="1" x14ac:dyDescent="0.2">
      <c r="A206" s="123">
        <v>5</v>
      </c>
      <c r="B206" s="123" t="s">
        <v>655</v>
      </c>
      <c r="C206" s="123" t="s">
        <v>942</v>
      </c>
      <c r="D206" s="123" t="s">
        <v>1169</v>
      </c>
      <c r="E206" s="123"/>
      <c r="F206" s="146"/>
    </row>
    <row r="207" spans="1:6" customFormat="1" ht="15.75" customHeight="1" x14ac:dyDescent="0.2">
      <c r="A207" s="113">
        <v>5</v>
      </c>
      <c r="B207" s="113" t="s">
        <v>655</v>
      </c>
      <c r="C207" s="113" t="s">
        <v>942</v>
      </c>
      <c r="D207" s="113" t="s">
        <v>651</v>
      </c>
      <c r="E207" s="113" t="s">
        <v>1169</v>
      </c>
      <c r="F207" s="150"/>
    </row>
    <row r="208" spans="1:6" customFormat="1" ht="15.75" customHeight="1" x14ac:dyDescent="0.2">
      <c r="A208" s="123">
        <v>5</v>
      </c>
      <c r="B208" s="123" t="s">
        <v>655</v>
      </c>
      <c r="C208" s="140" t="s">
        <v>953</v>
      </c>
      <c r="D208" s="123" t="s">
        <v>1170</v>
      </c>
      <c r="E208" s="123"/>
      <c r="F208" s="146"/>
    </row>
    <row r="209" spans="1:6" customFormat="1" ht="15.75" customHeight="1" x14ac:dyDescent="0.2">
      <c r="A209" s="113">
        <v>5</v>
      </c>
      <c r="B209" s="113" t="s">
        <v>655</v>
      </c>
      <c r="C209" s="113" t="s">
        <v>953</v>
      </c>
      <c r="D209" s="113" t="s">
        <v>651</v>
      </c>
      <c r="E209" s="113" t="s">
        <v>308</v>
      </c>
      <c r="F209" s="150"/>
    </row>
    <row r="210" spans="1:6" customFormat="1" ht="15.75" customHeight="1" x14ac:dyDescent="0.2">
      <c r="A210" s="113">
        <v>5</v>
      </c>
      <c r="B210" s="113" t="s">
        <v>655</v>
      </c>
      <c r="C210" s="113" t="s">
        <v>953</v>
      </c>
      <c r="D210" s="113" t="s">
        <v>653</v>
      </c>
      <c r="E210" s="113" t="s">
        <v>309</v>
      </c>
      <c r="F210" s="150"/>
    </row>
    <row r="211" spans="1:6" customFormat="1" ht="15.75" customHeight="1" x14ac:dyDescent="0.2">
      <c r="A211" s="113">
        <v>5</v>
      </c>
      <c r="B211" s="113" t="s">
        <v>655</v>
      </c>
      <c r="C211" s="113" t="s">
        <v>953</v>
      </c>
      <c r="D211" s="113" t="s">
        <v>667</v>
      </c>
      <c r="E211" s="113" t="s">
        <v>1171</v>
      </c>
      <c r="F211" s="150"/>
    </row>
    <row r="212" spans="1:6" customFormat="1" ht="15.75" customHeight="1" x14ac:dyDescent="0.2">
      <c r="A212" s="123">
        <v>5</v>
      </c>
      <c r="B212" s="123" t="s">
        <v>655</v>
      </c>
      <c r="C212" s="123" t="s">
        <v>959</v>
      </c>
      <c r="D212" s="123" t="s">
        <v>509</v>
      </c>
      <c r="E212" s="123"/>
      <c r="F212" s="146"/>
    </row>
    <row r="213" spans="1:6" customFormat="1" ht="15.75" customHeight="1" x14ac:dyDescent="0.2">
      <c r="A213" s="113">
        <v>5</v>
      </c>
      <c r="B213" s="113" t="s">
        <v>655</v>
      </c>
      <c r="C213" s="113" t="s">
        <v>959</v>
      </c>
      <c r="D213" s="113" t="s">
        <v>651</v>
      </c>
      <c r="E213" s="113" t="s">
        <v>189</v>
      </c>
      <c r="F213" s="150"/>
    </row>
    <row r="214" spans="1:6" customFormat="1" ht="15.75" customHeight="1" x14ac:dyDescent="0.2">
      <c r="A214" s="113">
        <v>5</v>
      </c>
      <c r="B214" s="113" t="s">
        <v>655</v>
      </c>
      <c r="C214" s="113" t="s">
        <v>959</v>
      </c>
      <c r="D214" s="113" t="s">
        <v>653</v>
      </c>
      <c r="E214" s="113" t="s">
        <v>190</v>
      </c>
      <c r="F214" s="150"/>
    </row>
    <row r="215" spans="1:6" customFormat="1" ht="15.75" customHeight="1" x14ac:dyDescent="0.2">
      <c r="A215" s="113">
        <v>5</v>
      </c>
      <c r="B215" s="113" t="s">
        <v>655</v>
      </c>
      <c r="C215" s="113" t="s">
        <v>959</v>
      </c>
      <c r="D215" s="113" t="s">
        <v>667</v>
      </c>
      <c r="E215" s="113" t="s">
        <v>143</v>
      </c>
      <c r="F215" s="150"/>
    </row>
    <row r="216" spans="1:6" customFormat="1" ht="15.75" customHeight="1" x14ac:dyDescent="0.2">
      <c r="A216" s="113">
        <v>5</v>
      </c>
      <c r="B216" s="113" t="s">
        <v>655</v>
      </c>
      <c r="C216" s="113" t="s">
        <v>959</v>
      </c>
      <c r="D216" s="113" t="s">
        <v>686</v>
      </c>
      <c r="E216" s="113" t="s">
        <v>302</v>
      </c>
      <c r="F216" s="150"/>
    </row>
    <row r="217" spans="1:6" customFormat="1" ht="15.75" customHeight="1" x14ac:dyDescent="0.2">
      <c r="A217" s="123">
        <v>5</v>
      </c>
      <c r="B217" s="123" t="s">
        <v>655</v>
      </c>
      <c r="C217" s="123" t="s">
        <v>1172</v>
      </c>
      <c r="D217" s="123" t="s">
        <v>299</v>
      </c>
      <c r="E217" s="123"/>
      <c r="F217" s="146"/>
    </row>
    <row r="218" spans="1:6" customFormat="1" ht="15.75" customHeight="1" x14ac:dyDescent="0.2">
      <c r="A218" s="113">
        <v>5</v>
      </c>
      <c r="B218" s="113" t="s">
        <v>655</v>
      </c>
      <c r="C218" s="113" t="s">
        <v>1172</v>
      </c>
      <c r="D218" s="113" t="s">
        <v>651</v>
      </c>
      <c r="E218" s="113" t="s">
        <v>298</v>
      </c>
      <c r="F218" s="150"/>
    </row>
    <row r="219" spans="1:6" customFormat="1" ht="15.75" customHeight="1" x14ac:dyDescent="0.2">
      <c r="A219" s="113">
        <v>5</v>
      </c>
      <c r="B219" s="113" t="s">
        <v>655</v>
      </c>
      <c r="C219" s="113" t="s">
        <v>1172</v>
      </c>
      <c r="D219" s="113" t="s">
        <v>653</v>
      </c>
      <c r="E219" s="113" t="s">
        <v>300</v>
      </c>
      <c r="F219" s="150"/>
    </row>
    <row r="220" spans="1:6" customFormat="1" ht="15.75" customHeight="1" x14ac:dyDescent="0.2">
      <c r="A220" s="113">
        <v>5</v>
      </c>
      <c r="B220" s="113" t="s">
        <v>655</v>
      </c>
      <c r="C220" s="113" t="s">
        <v>1172</v>
      </c>
      <c r="D220" s="113" t="s">
        <v>667</v>
      </c>
      <c r="E220" s="113" t="s">
        <v>301</v>
      </c>
      <c r="F220" s="150"/>
    </row>
    <row r="221" spans="1:6" customFormat="1" ht="15.75" customHeight="1" x14ac:dyDescent="0.2">
      <c r="A221" s="113">
        <v>5</v>
      </c>
      <c r="B221" s="113" t="s">
        <v>655</v>
      </c>
      <c r="C221" s="113" t="s">
        <v>1172</v>
      </c>
      <c r="D221" s="115" t="s">
        <v>686</v>
      </c>
      <c r="E221" s="113" t="s">
        <v>1173</v>
      </c>
      <c r="F221" s="150"/>
    </row>
    <row r="222" spans="1:6" customFormat="1" ht="15.75" customHeight="1" x14ac:dyDescent="0.2">
      <c r="A222" s="123">
        <v>5</v>
      </c>
      <c r="B222" s="123" t="s">
        <v>655</v>
      </c>
      <c r="C222" s="123" t="s">
        <v>1174</v>
      </c>
      <c r="D222" s="123" t="s">
        <v>1175</v>
      </c>
      <c r="E222" s="123"/>
      <c r="F222" s="146"/>
    </row>
    <row r="223" spans="1:6" customFormat="1" ht="15.75" customHeight="1" x14ac:dyDescent="0.2">
      <c r="A223" s="113">
        <v>5</v>
      </c>
      <c r="B223" s="113" t="s">
        <v>655</v>
      </c>
      <c r="C223" s="113" t="s">
        <v>1174</v>
      </c>
      <c r="D223" s="113" t="s">
        <v>651</v>
      </c>
      <c r="E223" s="113" t="s">
        <v>1176</v>
      </c>
      <c r="F223" s="150"/>
    </row>
    <row r="224" spans="1:6" customFormat="1" ht="15.75" customHeight="1" x14ac:dyDescent="0.2">
      <c r="A224" s="113">
        <v>5</v>
      </c>
      <c r="B224" s="113" t="s">
        <v>655</v>
      </c>
      <c r="C224" s="113" t="s">
        <v>1174</v>
      </c>
      <c r="D224" s="113" t="s">
        <v>653</v>
      </c>
      <c r="E224" s="113" t="s">
        <v>1177</v>
      </c>
      <c r="F224" s="150"/>
    </row>
    <row r="225" spans="1:6" customFormat="1" ht="15.75" customHeight="1" x14ac:dyDescent="0.2">
      <c r="A225" s="113">
        <v>5</v>
      </c>
      <c r="B225" s="113" t="s">
        <v>655</v>
      </c>
      <c r="C225" s="113" t="s">
        <v>1174</v>
      </c>
      <c r="D225" s="113" t="s">
        <v>667</v>
      </c>
      <c r="E225" s="113" t="s">
        <v>1178</v>
      </c>
      <c r="F225" s="150"/>
    </row>
    <row r="226" spans="1:6" customFormat="1" ht="15.75" customHeight="1" x14ac:dyDescent="0.2">
      <c r="A226" s="113">
        <v>5</v>
      </c>
      <c r="B226" s="113" t="s">
        <v>655</v>
      </c>
      <c r="C226" s="113" t="s">
        <v>1174</v>
      </c>
      <c r="D226" s="113" t="s">
        <v>699</v>
      </c>
      <c r="E226" s="113" t="s">
        <v>1179</v>
      </c>
      <c r="F226" s="150"/>
    </row>
    <row r="227" spans="1:6" customFormat="1" ht="15.75" customHeight="1" x14ac:dyDescent="0.2">
      <c r="A227" s="113">
        <v>5</v>
      </c>
      <c r="B227" s="113" t="s">
        <v>655</v>
      </c>
      <c r="C227" s="113" t="s">
        <v>1174</v>
      </c>
      <c r="D227" s="113" t="s">
        <v>703</v>
      </c>
      <c r="E227" s="113" t="s">
        <v>1180</v>
      </c>
      <c r="F227" s="150"/>
    </row>
    <row r="228" spans="1:6" customFormat="1" ht="15.75" customHeight="1" x14ac:dyDescent="0.2">
      <c r="A228" s="113">
        <v>5</v>
      </c>
      <c r="B228" s="113" t="s">
        <v>655</v>
      </c>
      <c r="C228" s="113" t="s">
        <v>1174</v>
      </c>
      <c r="D228" s="113" t="s">
        <v>707</v>
      </c>
      <c r="E228" s="113" t="s">
        <v>1181</v>
      </c>
      <c r="F228" s="150"/>
    </row>
    <row r="229" spans="1:6" customFormat="1" ht="15.75" customHeight="1" x14ac:dyDescent="0.2">
      <c r="A229" s="113">
        <v>5</v>
      </c>
      <c r="B229" s="113" t="s">
        <v>655</v>
      </c>
      <c r="C229" s="113" t="s">
        <v>1174</v>
      </c>
      <c r="D229" s="113" t="s">
        <v>711</v>
      </c>
      <c r="E229" s="113" t="s">
        <v>1182</v>
      </c>
      <c r="F229" s="150"/>
    </row>
    <row r="230" spans="1:6" customFormat="1" ht="15.75" customHeight="1" x14ac:dyDescent="0.2">
      <c r="A230" s="113">
        <v>5</v>
      </c>
      <c r="B230" s="113" t="s">
        <v>655</v>
      </c>
      <c r="C230" s="113" t="s">
        <v>1174</v>
      </c>
      <c r="D230" s="113" t="s">
        <v>714</v>
      </c>
      <c r="E230" s="113" t="s">
        <v>1183</v>
      </c>
      <c r="F230" s="150"/>
    </row>
    <row r="231" spans="1:6" customFormat="1" ht="15.75" customHeight="1" x14ac:dyDescent="0.2">
      <c r="A231" s="113">
        <v>5</v>
      </c>
      <c r="B231" s="113" t="s">
        <v>655</v>
      </c>
      <c r="C231" s="113" t="s">
        <v>1174</v>
      </c>
      <c r="D231" s="113" t="s">
        <v>759</v>
      </c>
      <c r="E231" s="113" t="s">
        <v>1184</v>
      </c>
      <c r="F231" s="150"/>
    </row>
    <row r="232" spans="1:6" customFormat="1" ht="15.75" customHeight="1" x14ac:dyDescent="0.2">
      <c r="A232" s="113">
        <v>5</v>
      </c>
      <c r="B232" s="113" t="s">
        <v>655</v>
      </c>
      <c r="C232" s="113" t="s">
        <v>1174</v>
      </c>
      <c r="D232" s="113" t="s">
        <v>686</v>
      </c>
      <c r="E232" s="113" t="s">
        <v>1185</v>
      </c>
      <c r="F232" s="150"/>
    </row>
    <row r="233" spans="1:6" customFormat="1" ht="15.75" customHeight="1" x14ac:dyDescent="0.2">
      <c r="A233" s="123">
        <v>5</v>
      </c>
      <c r="B233" s="123" t="s">
        <v>655</v>
      </c>
      <c r="C233" s="140" t="s">
        <v>1186</v>
      </c>
      <c r="D233" s="123" t="s">
        <v>1187</v>
      </c>
      <c r="E233" s="123"/>
      <c r="F233" s="146"/>
    </row>
    <row r="234" spans="1:6" customFormat="1" ht="15.75" customHeight="1" x14ac:dyDescent="0.2">
      <c r="A234" s="113">
        <v>5</v>
      </c>
      <c r="B234" s="113" t="s">
        <v>655</v>
      </c>
      <c r="C234" s="113" t="s">
        <v>1186</v>
      </c>
      <c r="D234" s="113" t="s">
        <v>653</v>
      </c>
      <c r="E234" s="113" t="s">
        <v>1188</v>
      </c>
      <c r="F234" s="150"/>
    </row>
    <row r="235" spans="1:6" customFormat="1" ht="15.75" customHeight="1" x14ac:dyDescent="0.2">
      <c r="A235" s="113">
        <v>5</v>
      </c>
      <c r="B235" s="113" t="s">
        <v>655</v>
      </c>
      <c r="C235" s="113" t="s">
        <v>1186</v>
      </c>
      <c r="D235" s="135">
        <v>30</v>
      </c>
      <c r="E235" s="113" t="s">
        <v>160</v>
      </c>
      <c r="F235" s="150"/>
    </row>
    <row r="236" spans="1:6" customFormat="1" ht="15.75" customHeight="1" x14ac:dyDescent="0.2">
      <c r="A236" s="113">
        <v>5</v>
      </c>
      <c r="B236" s="113" t="s">
        <v>655</v>
      </c>
      <c r="C236" s="113" t="s">
        <v>1186</v>
      </c>
      <c r="D236" s="113" t="s">
        <v>707</v>
      </c>
      <c r="E236" s="113" t="s">
        <v>1189</v>
      </c>
      <c r="F236" s="150"/>
    </row>
    <row r="237" spans="1:6" customFormat="1" ht="15.75" customHeight="1" x14ac:dyDescent="0.2">
      <c r="A237" s="113">
        <v>5</v>
      </c>
      <c r="B237" s="113" t="s">
        <v>655</v>
      </c>
      <c r="C237" s="113" t="s">
        <v>1186</v>
      </c>
      <c r="D237" s="113" t="s">
        <v>711</v>
      </c>
      <c r="E237" s="113" t="s">
        <v>1190</v>
      </c>
      <c r="F237" s="150"/>
    </row>
    <row r="238" spans="1:6" customFormat="1" ht="15.75" customHeight="1" x14ac:dyDescent="0.2">
      <c r="A238" s="113">
        <v>5</v>
      </c>
      <c r="B238" s="113" t="s">
        <v>655</v>
      </c>
      <c r="C238" s="113" t="s">
        <v>1186</v>
      </c>
      <c r="D238" s="113" t="s">
        <v>714</v>
      </c>
      <c r="E238" s="113" t="s">
        <v>1191</v>
      </c>
      <c r="F238" s="150"/>
    </row>
    <row r="239" spans="1:6" customFormat="1" ht="15.75" customHeight="1" x14ac:dyDescent="0.2">
      <c r="A239" s="113">
        <v>5</v>
      </c>
      <c r="B239" s="113" t="s">
        <v>655</v>
      </c>
      <c r="C239" s="113" t="s">
        <v>1186</v>
      </c>
      <c r="D239" s="115" t="s">
        <v>686</v>
      </c>
      <c r="E239" s="113" t="s">
        <v>1192</v>
      </c>
      <c r="F239" s="150"/>
    </row>
    <row r="240" spans="1:6" customFormat="1" ht="15.75" customHeight="1" x14ac:dyDescent="0.2">
      <c r="A240" s="123">
        <v>5</v>
      </c>
      <c r="B240" s="123" t="s">
        <v>655</v>
      </c>
      <c r="C240" s="140" t="s">
        <v>1193</v>
      </c>
      <c r="D240" s="123" t="s">
        <v>1104</v>
      </c>
      <c r="E240" s="123"/>
      <c r="F240" s="146"/>
    </row>
    <row r="241" spans="1:6" customFormat="1" ht="15.75" customHeight="1" x14ac:dyDescent="0.2">
      <c r="A241" s="113">
        <v>5</v>
      </c>
      <c r="B241" s="113" t="s">
        <v>655</v>
      </c>
      <c r="C241" s="115" t="s">
        <v>1193</v>
      </c>
      <c r="D241" s="113" t="s">
        <v>651</v>
      </c>
      <c r="E241" s="113" t="s">
        <v>1194</v>
      </c>
      <c r="F241" s="150"/>
    </row>
    <row r="242" spans="1:6" customFormat="1" ht="15.75" customHeight="1" x14ac:dyDescent="0.2">
      <c r="A242" s="113">
        <v>5</v>
      </c>
      <c r="B242" s="113" t="s">
        <v>655</v>
      </c>
      <c r="C242" s="115" t="s">
        <v>1193</v>
      </c>
      <c r="D242" s="115" t="s">
        <v>653</v>
      </c>
      <c r="E242" s="113" t="s">
        <v>1195</v>
      </c>
      <c r="F242" s="150"/>
    </row>
    <row r="243" spans="1:6" customFormat="1" ht="15.75" customHeight="1" x14ac:dyDescent="0.2">
      <c r="A243" s="123">
        <v>5</v>
      </c>
      <c r="B243" s="123" t="s">
        <v>655</v>
      </c>
      <c r="C243" s="140" t="s">
        <v>1196</v>
      </c>
      <c r="D243" s="123" t="s">
        <v>545</v>
      </c>
      <c r="E243" s="123"/>
      <c r="F243" s="146"/>
    </row>
    <row r="244" spans="1:6" customFormat="1" ht="15.75" customHeight="1" x14ac:dyDescent="0.2">
      <c r="A244" s="113">
        <v>5</v>
      </c>
      <c r="B244" s="113" t="s">
        <v>655</v>
      </c>
      <c r="C244" s="113" t="s">
        <v>1196</v>
      </c>
      <c r="D244" s="113" t="s">
        <v>651</v>
      </c>
      <c r="E244" s="113" t="s">
        <v>144</v>
      </c>
      <c r="F244" s="150"/>
    </row>
    <row r="245" spans="1:6" customFormat="1" ht="15.75" customHeight="1" x14ac:dyDescent="0.2">
      <c r="A245" s="113">
        <v>5</v>
      </c>
      <c r="B245" s="113" t="s">
        <v>655</v>
      </c>
      <c r="C245" s="113" t="s">
        <v>1196</v>
      </c>
      <c r="D245" s="113" t="s">
        <v>653</v>
      </c>
      <c r="E245" s="113" t="s">
        <v>1197</v>
      </c>
      <c r="F245" s="150"/>
    </row>
    <row r="246" spans="1:6" customFormat="1" ht="15.75" customHeight="1" x14ac:dyDescent="0.2">
      <c r="A246" s="113">
        <v>5</v>
      </c>
      <c r="B246" s="113" t="s">
        <v>655</v>
      </c>
      <c r="C246" s="113" t="s">
        <v>1196</v>
      </c>
      <c r="D246" s="113" t="s">
        <v>667</v>
      </c>
      <c r="E246" s="113" t="s">
        <v>31</v>
      </c>
      <c r="F246" s="150"/>
    </row>
    <row r="247" spans="1:6" customFormat="1" ht="15.75" customHeight="1" x14ac:dyDescent="0.2">
      <c r="A247" s="123">
        <v>5</v>
      </c>
      <c r="B247" s="123" t="s">
        <v>655</v>
      </c>
      <c r="C247" s="140" t="s">
        <v>963</v>
      </c>
      <c r="D247" s="123" t="s">
        <v>316</v>
      </c>
      <c r="E247" s="123"/>
      <c r="F247" s="146"/>
    </row>
    <row r="248" spans="1:6" customFormat="1" ht="15.75" customHeight="1" x14ac:dyDescent="0.2">
      <c r="A248" s="113">
        <v>5</v>
      </c>
      <c r="B248" s="113" t="s">
        <v>655</v>
      </c>
      <c r="C248" s="113" t="s">
        <v>963</v>
      </c>
      <c r="D248" s="113" t="s">
        <v>651</v>
      </c>
      <c r="E248" s="113" t="s">
        <v>53</v>
      </c>
      <c r="F248" s="150"/>
    </row>
    <row r="249" spans="1:6" customFormat="1" ht="15.75" customHeight="1" x14ac:dyDescent="0.2">
      <c r="A249" s="113">
        <v>5</v>
      </c>
      <c r="B249" s="113" t="s">
        <v>655</v>
      </c>
      <c r="C249" s="113" t="s">
        <v>963</v>
      </c>
      <c r="D249" s="113" t="s">
        <v>653</v>
      </c>
      <c r="E249" s="113" t="s">
        <v>1198</v>
      </c>
      <c r="F249" s="150"/>
    </row>
    <row r="250" spans="1:6" customFormat="1" ht="15.75" customHeight="1" x14ac:dyDescent="0.2">
      <c r="A250" s="113">
        <v>5</v>
      </c>
      <c r="B250" s="113" t="s">
        <v>655</v>
      </c>
      <c r="C250" s="113" t="s">
        <v>963</v>
      </c>
      <c r="D250" s="113" t="s">
        <v>667</v>
      </c>
      <c r="E250" s="113" t="s">
        <v>48</v>
      </c>
      <c r="F250" s="150"/>
    </row>
    <row r="251" spans="1:6" customFormat="1" ht="15.75" customHeight="1" x14ac:dyDescent="0.2">
      <c r="A251" s="113">
        <v>5</v>
      </c>
      <c r="B251" s="113" t="s">
        <v>655</v>
      </c>
      <c r="C251" s="113" t="s">
        <v>963</v>
      </c>
      <c r="D251" s="113" t="s">
        <v>699</v>
      </c>
      <c r="E251" s="113" t="s">
        <v>296</v>
      </c>
      <c r="F251" s="150"/>
    </row>
    <row r="252" spans="1:6" customFormat="1" ht="15.75" customHeight="1" x14ac:dyDescent="0.2">
      <c r="A252" s="113">
        <v>5</v>
      </c>
      <c r="B252" s="113" t="s">
        <v>655</v>
      </c>
      <c r="C252" s="113" t="s">
        <v>963</v>
      </c>
      <c r="D252" s="113" t="s">
        <v>703</v>
      </c>
      <c r="E252" s="113" t="s">
        <v>142</v>
      </c>
      <c r="F252" s="150"/>
    </row>
    <row r="253" spans="1:6" customFormat="1" ht="15.75" customHeight="1" x14ac:dyDescent="0.2">
      <c r="A253" s="113">
        <v>5</v>
      </c>
      <c r="B253" s="113" t="s">
        <v>655</v>
      </c>
      <c r="C253" s="113" t="s">
        <v>963</v>
      </c>
      <c r="D253" s="113" t="s">
        <v>707</v>
      </c>
      <c r="E253" s="113" t="s">
        <v>505</v>
      </c>
      <c r="F253" s="150"/>
    </row>
    <row r="254" spans="1:6" customFormat="1" ht="15.75" customHeight="1" x14ac:dyDescent="0.2">
      <c r="A254" s="113">
        <v>5</v>
      </c>
      <c r="B254" s="113" t="s">
        <v>655</v>
      </c>
      <c r="C254" s="113" t="s">
        <v>963</v>
      </c>
      <c r="D254" s="113" t="s">
        <v>711</v>
      </c>
      <c r="E254" s="113" t="s">
        <v>508</v>
      </c>
      <c r="F254" s="150"/>
    </row>
    <row r="255" spans="1:6" ht="15.75" customHeight="1" x14ac:dyDescent="0.2">
      <c r="A255" s="113">
        <v>5</v>
      </c>
      <c r="B255" s="113" t="s">
        <v>655</v>
      </c>
      <c r="C255" s="113" t="s">
        <v>963</v>
      </c>
      <c r="D255" s="113" t="s">
        <v>714</v>
      </c>
      <c r="E255" s="113" t="s">
        <v>77</v>
      </c>
      <c r="F255" s="150"/>
    </row>
    <row r="256" spans="1:6" customFormat="1" ht="15.75" customHeight="1" x14ac:dyDescent="0.2">
      <c r="A256" s="113">
        <v>5</v>
      </c>
      <c r="B256" s="113" t="s">
        <v>655</v>
      </c>
      <c r="C256" s="113" t="s">
        <v>963</v>
      </c>
      <c r="D256" s="113" t="s">
        <v>686</v>
      </c>
      <c r="E256" s="113" t="s">
        <v>1199</v>
      </c>
      <c r="F256" s="150"/>
    </row>
    <row r="257" spans="1:6" customFormat="1" ht="15.75" customHeight="1" x14ac:dyDescent="0.2">
      <c r="A257" s="399" t="s">
        <v>50</v>
      </c>
      <c r="B257" s="400"/>
      <c r="C257" s="400"/>
      <c r="D257" s="400"/>
      <c r="E257" s="401"/>
      <c r="F257" s="147"/>
    </row>
    <row r="258" spans="1:6" customFormat="1" ht="15.75" customHeight="1" x14ac:dyDescent="0.2">
      <c r="A258" s="121">
        <v>5</v>
      </c>
      <c r="B258" s="121" t="s">
        <v>659</v>
      </c>
      <c r="C258" s="121" t="s">
        <v>575</v>
      </c>
      <c r="D258" s="121"/>
      <c r="E258" s="121"/>
      <c r="F258" s="148"/>
    </row>
    <row r="259" spans="1:6" customFormat="1" ht="15.75" customHeight="1" x14ac:dyDescent="0.2">
      <c r="A259" s="123">
        <v>5</v>
      </c>
      <c r="B259" s="123" t="s">
        <v>659</v>
      </c>
      <c r="C259" s="123" t="s">
        <v>649</v>
      </c>
      <c r="D259" s="123" t="s">
        <v>1200</v>
      </c>
      <c r="E259" s="123"/>
      <c r="F259" s="146"/>
    </row>
    <row r="260" spans="1:6" customFormat="1" ht="15.75" customHeight="1" x14ac:dyDescent="0.2">
      <c r="A260" s="113">
        <v>5</v>
      </c>
      <c r="B260" s="113" t="s">
        <v>659</v>
      </c>
      <c r="C260" s="113" t="s">
        <v>649</v>
      </c>
      <c r="D260" s="113" t="s">
        <v>651</v>
      </c>
      <c r="E260" s="113" t="s">
        <v>1201</v>
      </c>
      <c r="F260" s="145"/>
    </row>
    <row r="261" spans="1:6" customFormat="1" ht="15.75" customHeight="1" x14ac:dyDescent="0.2">
      <c r="A261" s="113">
        <v>5</v>
      </c>
      <c r="B261" s="113" t="s">
        <v>659</v>
      </c>
      <c r="C261" s="113" t="s">
        <v>649</v>
      </c>
      <c r="D261" s="113" t="s">
        <v>653</v>
      </c>
      <c r="E261" s="113" t="s">
        <v>1202</v>
      </c>
      <c r="F261" s="145"/>
    </row>
    <row r="262" spans="1:6" customFormat="1" ht="15.75" customHeight="1" x14ac:dyDescent="0.2">
      <c r="A262" s="113">
        <v>5</v>
      </c>
      <c r="B262" s="113" t="s">
        <v>659</v>
      </c>
      <c r="C262" s="113" t="s">
        <v>649</v>
      </c>
      <c r="D262" s="113" t="s">
        <v>667</v>
      </c>
      <c r="E262" s="113" t="s">
        <v>1203</v>
      </c>
      <c r="F262" s="145"/>
    </row>
    <row r="263" spans="1:6" customFormat="1" ht="15.75" customHeight="1" x14ac:dyDescent="0.2">
      <c r="A263" s="113">
        <v>5</v>
      </c>
      <c r="B263" s="113" t="s">
        <v>659</v>
      </c>
      <c r="C263" s="113" t="s">
        <v>649</v>
      </c>
      <c r="D263" s="113" t="s">
        <v>699</v>
      </c>
      <c r="E263" s="113" t="s">
        <v>148</v>
      </c>
      <c r="F263" s="145"/>
    </row>
    <row r="264" spans="1:6" customFormat="1" ht="15.75" customHeight="1" x14ac:dyDescent="0.2">
      <c r="A264" s="113">
        <v>5</v>
      </c>
      <c r="B264" s="113" t="s">
        <v>659</v>
      </c>
      <c r="C264" s="113" t="s">
        <v>649</v>
      </c>
      <c r="D264" s="113" t="s">
        <v>703</v>
      </c>
      <c r="E264" s="113" t="s">
        <v>1204</v>
      </c>
      <c r="F264" s="145"/>
    </row>
    <row r="265" spans="1:6" customFormat="1" ht="15.75" customHeight="1" x14ac:dyDescent="0.2">
      <c r="A265" s="113">
        <v>5</v>
      </c>
      <c r="B265" s="113" t="s">
        <v>659</v>
      </c>
      <c r="C265" s="113" t="s">
        <v>649</v>
      </c>
      <c r="D265" s="115" t="s">
        <v>686</v>
      </c>
      <c r="E265" s="113" t="s">
        <v>1205</v>
      </c>
      <c r="F265" s="150"/>
    </row>
    <row r="266" spans="1:6" customFormat="1" ht="15.75" customHeight="1" x14ac:dyDescent="0.2">
      <c r="A266" s="399" t="s">
        <v>50</v>
      </c>
      <c r="B266" s="400"/>
      <c r="C266" s="400"/>
      <c r="D266" s="400"/>
      <c r="E266" s="401"/>
      <c r="F266" s="147"/>
    </row>
    <row r="267" spans="1:6" customFormat="1" ht="15.75" customHeight="1" x14ac:dyDescent="0.2">
      <c r="A267" s="121">
        <v>5</v>
      </c>
      <c r="B267" s="121" t="s">
        <v>679</v>
      </c>
      <c r="C267" s="407" t="s">
        <v>1291</v>
      </c>
      <c r="D267" s="408"/>
      <c r="E267" s="409"/>
      <c r="F267" s="148"/>
    </row>
    <row r="268" spans="1:6" customFormat="1" ht="15.75" customHeight="1" x14ac:dyDescent="0.2">
      <c r="A268" s="123">
        <v>5</v>
      </c>
      <c r="B268" s="123" t="s">
        <v>679</v>
      </c>
      <c r="C268" s="123" t="s">
        <v>649</v>
      </c>
      <c r="D268" s="123" t="s">
        <v>1206</v>
      </c>
      <c r="E268" s="123"/>
      <c r="F268" s="146"/>
    </row>
    <row r="269" spans="1:6" customFormat="1" ht="15.75" customHeight="1" x14ac:dyDescent="0.2">
      <c r="A269" s="113">
        <v>5</v>
      </c>
      <c r="B269" s="113" t="s">
        <v>679</v>
      </c>
      <c r="C269" s="113" t="s">
        <v>649</v>
      </c>
      <c r="D269" s="113" t="s">
        <v>651</v>
      </c>
      <c r="E269" s="113" t="s">
        <v>1207</v>
      </c>
      <c r="F269" s="145"/>
    </row>
    <row r="270" spans="1:6" customFormat="1" ht="15.75" customHeight="1" x14ac:dyDescent="0.2">
      <c r="A270" s="113">
        <v>5</v>
      </c>
      <c r="B270" s="113" t="s">
        <v>679</v>
      </c>
      <c r="C270" s="113" t="s">
        <v>649</v>
      </c>
      <c r="D270" s="113" t="s">
        <v>653</v>
      </c>
      <c r="E270" s="113" t="s">
        <v>1208</v>
      </c>
      <c r="F270" s="145"/>
    </row>
    <row r="271" spans="1:6" customFormat="1" ht="15.75" customHeight="1" x14ac:dyDescent="0.2">
      <c r="A271" s="113">
        <v>5</v>
      </c>
      <c r="B271" s="113" t="s">
        <v>679</v>
      </c>
      <c r="C271" s="113" t="s">
        <v>649</v>
      </c>
      <c r="D271" s="113" t="s">
        <v>667</v>
      </c>
      <c r="E271" s="113" t="s">
        <v>1209</v>
      </c>
      <c r="F271" s="145"/>
    </row>
    <row r="272" spans="1:6" customFormat="1" ht="15.75" customHeight="1" x14ac:dyDescent="0.2">
      <c r="A272" s="123">
        <v>5</v>
      </c>
      <c r="B272" s="123" t="s">
        <v>679</v>
      </c>
      <c r="C272" s="123" t="s">
        <v>655</v>
      </c>
      <c r="D272" s="123" t="s">
        <v>1210</v>
      </c>
      <c r="E272" s="123"/>
      <c r="F272" s="146"/>
    </row>
    <row r="273" spans="1:6" customFormat="1" ht="15.75" customHeight="1" x14ac:dyDescent="0.2">
      <c r="A273" s="113">
        <v>5</v>
      </c>
      <c r="B273" s="113" t="s">
        <v>679</v>
      </c>
      <c r="C273" s="113" t="s">
        <v>655</v>
      </c>
      <c r="D273" s="113" t="s">
        <v>651</v>
      </c>
      <c r="E273" s="113" t="s">
        <v>1210</v>
      </c>
      <c r="F273" s="145"/>
    </row>
    <row r="274" spans="1:6" customFormat="1" ht="15.75" customHeight="1" x14ac:dyDescent="0.2">
      <c r="A274" s="121">
        <v>5</v>
      </c>
      <c r="B274" s="121" t="s">
        <v>681</v>
      </c>
      <c r="C274" s="121" t="s">
        <v>1289</v>
      </c>
      <c r="D274" s="121"/>
      <c r="E274" s="121"/>
      <c r="F274" s="148"/>
    </row>
    <row r="275" spans="1:6" customFormat="1" ht="15.75" customHeight="1" x14ac:dyDescent="0.2">
      <c r="A275" s="123">
        <v>5</v>
      </c>
      <c r="B275" s="123" t="s">
        <v>681</v>
      </c>
      <c r="C275" s="123" t="s">
        <v>649</v>
      </c>
      <c r="D275" s="123" t="s">
        <v>1212</v>
      </c>
      <c r="E275" s="123"/>
      <c r="F275" s="146"/>
    </row>
    <row r="276" spans="1:6" customFormat="1" ht="15.75" customHeight="1" x14ac:dyDescent="0.2">
      <c r="A276" s="113">
        <v>5</v>
      </c>
      <c r="B276" s="113" t="s">
        <v>681</v>
      </c>
      <c r="C276" s="113" t="s">
        <v>649</v>
      </c>
      <c r="D276" s="113" t="s">
        <v>651</v>
      </c>
      <c r="E276" s="113" t="s">
        <v>1213</v>
      </c>
      <c r="F276" s="145"/>
    </row>
    <row r="277" spans="1:6" customFormat="1" ht="15.75" customHeight="1" x14ac:dyDescent="0.2">
      <c r="A277" s="113">
        <v>5</v>
      </c>
      <c r="B277" s="113" t="s">
        <v>681</v>
      </c>
      <c r="C277" s="113" t="s">
        <v>649</v>
      </c>
      <c r="D277" s="113" t="s">
        <v>653</v>
      </c>
      <c r="E277" s="113" t="s">
        <v>1214</v>
      </c>
      <c r="F277" s="145"/>
    </row>
    <row r="278" spans="1:6" customFormat="1" ht="15.75" customHeight="1" x14ac:dyDescent="0.2">
      <c r="A278" s="113">
        <v>5</v>
      </c>
      <c r="B278" s="113" t="s">
        <v>681</v>
      </c>
      <c r="C278" s="113" t="s">
        <v>649</v>
      </c>
      <c r="D278" s="113" t="s">
        <v>667</v>
      </c>
      <c r="E278" s="113" t="s">
        <v>1215</v>
      </c>
      <c r="F278" s="145"/>
    </row>
    <row r="279" spans="1:6" customFormat="1" ht="15.75" customHeight="1" x14ac:dyDescent="0.2">
      <c r="A279" s="113">
        <v>5</v>
      </c>
      <c r="B279" s="113" t="s">
        <v>681</v>
      </c>
      <c r="C279" s="113" t="s">
        <v>649</v>
      </c>
      <c r="D279" s="113" t="s">
        <v>699</v>
      </c>
      <c r="E279" s="113" t="s">
        <v>1216</v>
      </c>
      <c r="F279" s="145"/>
    </row>
    <row r="280" spans="1:6" customFormat="1" ht="15.75" customHeight="1" x14ac:dyDescent="0.2">
      <c r="A280" s="113">
        <v>5</v>
      </c>
      <c r="B280" s="113" t="s">
        <v>681</v>
      </c>
      <c r="C280" s="113" t="s">
        <v>649</v>
      </c>
      <c r="D280" s="113" t="s">
        <v>703</v>
      </c>
      <c r="E280" s="113" t="s">
        <v>1217</v>
      </c>
      <c r="F280" s="145"/>
    </row>
    <row r="281" spans="1:6" customFormat="1" ht="15.75" customHeight="1" x14ac:dyDescent="0.2">
      <c r="A281" s="113">
        <v>5</v>
      </c>
      <c r="B281" s="113" t="s">
        <v>681</v>
      </c>
      <c r="C281" s="113" t="s">
        <v>649</v>
      </c>
      <c r="D281" s="113" t="s">
        <v>707</v>
      </c>
      <c r="E281" s="113" t="s">
        <v>1218</v>
      </c>
      <c r="F281" s="145"/>
    </row>
    <row r="282" spans="1:6" customFormat="1" ht="15.75" customHeight="1" x14ac:dyDescent="0.2">
      <c r="A282" s="113">
        <v>5</v>
      </c>
      <c r="B282" s="113" t="s">
        <v>681</v>
      </c>
      <c r="C282" s="113" t="s">
        <v>649</v>
      </c>
      <c r="D282" s="113" t="s">
        <v>711</v>
      </c>
      <c r="E282" s="113" t="s">
        <v>1219</v>
      </c>
      <c r="F282" s="145"/>
    </row>
    <row r="283" spans="1:6" customFormat="1" ht="15.75" customHeight="1" x14ac:dyDescent="0.2">
      <c r="A283" s="113">
        <v>5</v>
      </c>
      <c r="B283" s="113" t="s">
        <v>681</v>
      </c>
      <c r="C283" s="113" t="s">
        <v>649</v>
      </c>
      <c r="D283" s="113" t="s">
        <v>714</v>
      </c>
      <c r="E283" s="113" t="s">
        <v>1220</v>
      </c>
      <c r="F283" s="145"/>
    </row>
    <row r="284" spans="1:6" customFormat="1" ht="15.75" customHeight="1" x14ac:dyDescent="0.2">
      <c r="A284" s="113">
        <v>5</v>
      </c>
      <c r="B284" s="113" t="s">
        <v>681</v>
      </c>
      <c r="C284" s="113" t="s">
        <v>649</v>
      </c>
      <c r="D284" s="113" t="s">
        <v>759</v>
      </c>
      <c r="E284" s="113" t="s">
        <v>1221</v>
      </c>
      <c r="F284" s="145"/>
    </row>
    <row r="285" spans="1:6" customFormat="1" ht="15.75" customHeight="1" x14ac:dyDescent="0.2">
      <c r="A285" s="113">
        <v>5</v>
      </c>
      <c r="B285" s="113" t="s">
        <v>681</v>
      </c>
      <c r="C285" s="113" t="s">
        <v>649</v>
      </c>
      <c r="D285" s="113" t="s">
        <v>769</v>
      </c>
      <c r="E285" s="113" t="s">
        <v>1222</v>
      </c>
      <c r="F285" s="145"/>
    </row>
    <row r="286" spans="1:6" customFormat="1" ht="15.75" customHeight="1" x14ac:dyDescent="0.2">
      <c r="A286" s="113">
        <v>5</v>
      </c>
      <c r="B286" s="113" t="s">
        <v>681</v>
      </c>
      <c r="C286" s="113" t="s">
        <v>649</v>
      </c>
      <c r="D286" s="115" t="s">
        <v>686</v>
      </c>
      <c r="E286" s="113" t="s">
        <v>1223</v>
      </c>
      <c r="F286" s="145"/>
    </row>
    <row r="287" spans="1:6" customFormat="1" ht="15.75" customHeight="1" x14ac:dyDescent="0.2">
      <c r="A287" s="123">
        <v>5</v>
      </c>
      <c r="B287" s="123" t="s">
        <v>681</v>
      </c>
      <c r="C287" s="123" t="s">
        <v>655</v>
      </c>
      <c r="D287" s="123" t="s">
        <v>1224</v>
      </c>
      <c r="E287" s="123"/>
      <c r="F287" s="146"/>
    </row>
    <row r="288" spans="1:6" customFormat="1" ht="15.75" customHeight="1" x14ac:dyDescent="0.2">
      <c r="A288" s="113">
        <v>5</v>
      </c>
      <c r="B288" s="113" t="s">
        <v>681</v>
      </c>
      <c r="C288" s="113" t="s">
        <v>655</v>
      </c>
      <c r="D288" s="113" t="s">
        <v>651</v>
      </c>
      <c r="E288" s="113" t="s">
        <v>1225</v>
      </c>
      <c r="F288" s="145"/>
    </row>
    <row r="289" spans="1:6" customFormat="1" ht="15.75" customHeight="1" x14ac:dyDescent="0.2">
      <c r="A289" s="123">
        <v>5</v>
      </c>
      <c r="B289" s="123" t="s">
        <v>681</v>
      </c>
      <c r="C289" s="123" t="s">
        <v>659</v>
      </c>
      <c r="D289" s="123" t="s">
        <v>1226</v>
      </c>
      <c r="E289" s="123"/>
      <c r="F289" s="146"/>
    </row>
    <row r="290" spans="1:6" customFormat="1" ht="15.75" customHeight="1" x14ac:dyDescent="0.2">
      <c r="A290" s="113">
        <v>5</v>
      </c>
      <c r="B290" s="113" t="s">
        <v>681</v>
      </c>
      <c r="C290" s="113" t="s">
        <v>659</v>
      </c>
      <c r="D290" s="113" t="s">
        <v>651</v>
      </c>
      <c r="E290" s="113" t="s">
        <v>1227</v>
      </c>
      <c r="F290" s="145"/>
    </row>
    <row r="291" spans="1:6" customFormat="1" ht="15.75" customHeight="1" x14ac:dyDescent="0.2">
      <c r="A291" s="113">
        <v>5</v>
      </c>
      <c r="B291" s="113" t="s">
        <v>681</v>
      </c>
      <c r="C291" s="113" t="s">
        <v>659</v>
      </c>
      <c r="D291" s="113" t="s">
        <v>653</v>
      </c>
      <c r="E291" s="113" t="s">
        <v>1228</v>
      </c>
      <c r="F291" s="145"/>
    </row>
    <row r="292" spans="1:6" customFormat="1" ht="15.75" customHeight="1" x14ac:dyDescent="0.2">
      <c r="A292" s="113">
        <v>5</v>
      </c>
      <c r="B292" s="113" t="s">
        <v>681</v>
      </c>
      <c r="C292" s="113" t="s">
        <v>659</v>
      </c>
      <c r="D292" s="113" t="s">
        <v>667</v>
      </c>
      <c r="E292" s="113" t="s">
        <v>1229</v>
      </c>
      <c r="F292" s="145"/>
    </row>
    <row r="293" spans="1:6" customFormat="1" ht="15.75" customHeight="1" x14ac:dyDescent="0.2">
      <c r="A293" s="113">
        <v>5</v>
      </c>
      <c r="B293" s="113" t="s">
        <v>681</v>
      </c>
      <c r="C293" s="113" t="s">
        <v>659</v>
      </c>
      <c r="D293" s="113" t="s">
        <v>699</v>
      </c>
      <c r="E293" s="113" t="s">
        <v>1230</v>
      </c>
      <c r="F293" s="145"/>
    </row>
    <row r="294" spans="1:6" customFormat="1" ht="15.75" customHeight="1" x14ac:dyDescent="0.2">
      <c r="A294" s="113">
        <v>5</v>
      </c>
      <c r="B294" s="113" t="s">
        <v>681</v>
      </c>
      <c r="C294" s="113" t="s">
        <v>659</v>
      </c>
      <c r="D294" s="113" t="s">
        <v>703</v>
      </c>
      <c r="E294" s="113" t="s">
        <v>1231</v>
      </c>
      <c r="F294" s="145"/>
    </row>
    <row r="295" spans="1:6" customFormat="1" ht="15.75" customHeight="1" x14ac:dyDescent="0.2">
      <c r="A295" s="113">
        <v>5</v>
      </c>
      <c r="B295" s="113" t="s">
        <v>681</v>
      </c>
      <c r="C295" s="113" t="s">
        <v>659</v>
      </c>
      <c r="D295" s="115" t="s">
        <v>707</v>
      </c>
      <c r="E295" s="113" t="s">
        <v>1232</v>
      </c>
      <c r="F295" s="145"/>
    </row>
    <row r="296" spans="1:6" customFormat="1" ht="15.75" customHeight="1" x14ac:dyDescent="0.2">
      <c r="A296" s="113">
        <v>5</v>
      </c>
      <c r="B296" s="113" t="s">
        <v>681</v>
      </c>
      <c r="C296" s="113" t="s">
        <v>659</v>
      </c>
      <c r="D296" s="113" t="s">
        <v>711</v>
      </c>
      <c r="E296" s="113" t="s">
        <v>1233</v>
      </c>
      <c r="F296" s="145"/>
    </row>
    <row r="297" spans="1:6" customFormat="1" ht="15.75" customHeight="1" x14ac:dyDescent="0.2">
      <c r="A297" s="113">
        <v>5</v>
      </c>
      <c r="B297" s="113" t="s">
        <v>681</v>
      </c>
      <c r="C297" s="113" t="s">
        <v>659</v>
      </c>
      <c r="D297" s="113" t="s">
        <v>714</v>
      </c>
      <c r="E297" s="113" t="s">
        <v>1234</v>
      </c>
      <c r="F297" s="145"/>
    </row>
    <row r="298" spans="1:6" customFormat="1" ht="15.75" customHeight="1" x14ac:dyDescent="0.2">
      <c r="A298" s="113">
        <v>5</v>
      </c>
      <c r="B298" s="113" t="s">
        <v>681</v>
      </c>
      <c r="C298" s="113" t="s">
        <v>659</v>
      </c>
      <c r="D298" s="113" t="s">
        <v>759</v>
      </c>
      <c r="E298" s="113" t="s">
        <v>1235</v>
      </c>
      <c r="F298" s="145"/>
    </row>
    <row r="299" spans="1:6" customFormat="1" ht="15.75" customHeight="1" x14ac:dyDescent="0.2">
      <c r="A299" s="113">
        <v>5</v>
      </c>
      <c r="B299" s="113" t="s">
        <v>681</v>
      </c>
      <c r="C299" s="113" t="s">
        <v>659</v>
      </c>
      <c r="D299" s="113" t="s">
        <v>769</v>
      </c>
      <c r="E299" s="113" t="s">
        <v>1236</v>
      </c>
      <c r="F299" s="145"/>
    </row>
    <row r="300" spans="1:6" customFormat="1" ht="15.75" customHeight="1" x14ac:dyDescent="0.2">
      <c r="A300" s="123">
        <v>5</v>
      </c>
      <c r="B300" s="123" t="s">
        <v>681</v>
      </c>
      <c r="C300" s="123" t="s">
        <v>679</v>
      </c>
      <c r="D300" s="405" t="s">
        <v>1237</v>
      </c>
      <c r="E300" s="406"/>
      <c r="F300" s="146"/>
    </row>
    <row r="301" spans="1:6" customFormat="1" ht="15.75" customHeight="1" x14ac:dyDescent="0.2">
      <c r="A301" s="113">
        <v>5</v>
      </c>
      <c r="B301" s="113" t="s">
        <v>681</v>
      </c>
      <c r="C301" s="113" t="s">
        <v>679</v>
      </c>
      <c r="D301" s="113" t="s">
        <v>651</v>
      </c>
      <c r="E301" s="113" t="s">
        <v>1238</v>
      </c>
      <c r="F301" s="145"/>
    </row>
    <row r="302" spans="1:6" customFormat="1" ht="15.75" customHeight="1" x14ac:dyDescent="0.2">
      <c r="A302" s="113">
        <v>5</v>
      </c>
      <c r="B302" s="113" t="s">
        <v>681</v>
      </c>
      <c r="C302" s="113" t="s">
        <v>679</v>
      </c>
      <c r="D302" s="113" t="s">
        <v>653</v>
      </c>
      <c r="E302" s="113" t="s">
        <v>1239</v>
      </c>
      <c r="F302" s="145"/>
    </row>
    <row r="303" spans="1:6" customFormat="1" ht="15.75" customHeight="1" x14ac:dyDescent="0.2">
      <c r="A303" s="113">
        <v>5</v>
      </c>
      <c r="B303" s="113" t="s">
        <v>681</v>
      </c>
      <c r="C303" s="113" t="s">
        <v>679</v>
      </c>
      <c r="D303" s="113" t="s">
        <v>667</v>
      </c>
      <c r="E303" s="113" t="s">
        <v>1240</v>
      </c>
      <c r="F303" s="145"/>
    </row>
    <row r="304" spans="1:6" customFormat="1" ht="15.75" customHeight="1" x14ac:dyDescent="0.2">
      <c r="A304" s="113">
        <v>5</v>
      </c>
      <c r="B304" s="113" t="s">
        <v>681</v>
      </c>
      <c r="C304" s="113" t="s">
        <v>679</v>
      </c>
      <c r="D304" s="113" t="s">
        <v>699</v>
      </c>
      <c r="E304" s="113" t="s">
        <v>1241</v>
      </c>
      <c r="F304" s="145"/>
    </row>
    <row r="305" spans="1:6" customFormat="1" ht="15.75" customHeight="1" x14ac:dyDescent="0.2">
      <c r="A305" s="113">
        <v>5</v>
      </c>
      <c r="B305" s="113" t="s">
        <v>681</v>
      </c>
      <c r="C305" s="113" t="s">
        <v>679</v>
      </c>
      <c r="D305" s="113" t="s">
        <v>703</v>
      </c>
      <c r="E305" s="113" t="s">
        <v>1242</v>
      </c>
      <c r="F305" s="145"/>
    </row>
    <row r="306" spans="1:6" customFormat="1" ht="15.75" customHeight="1" x14ac:dyDescent="0.2">
      <c r="A306" s="113">
        <v>5</v>
      </c>
      <c r="B306" s="113" t="s">
        <v>681</v>
      </c>
      <c r="C306" s="113" t="s">
        <v>679</v>
      </c>
      <c r="D306" s="113" t="s">
        <v>707</v>
      </c>
      <c r="E306" s="113" t="s">
        <v>1243</v>
      </c>
      <c r="F306" s="145"/>
    </row>
    <row r="307" spans="1:6" customFormat="1" ht="15.75" customHeight="1" x14ac:dyDescent="0.2">
      <c r="A307" s="113">
        <v>5</v>
      </c>
      <c r="B307" s="113" t="s">
        <v>681</v>
      </c>
      <c r="C307" s="113" t="s">
        <v>679</v>
      </c>
      <c r="D307" s="113" t="s">
        <v>711</v>
      </c>
      <c r="E307" s="113" t="s">
        <v>1244</v>
      </c>
      <c r="F307" s="145"/>
    </row>
    <row r="308" spans="1:6" customFormat="1" ht="15.75" customHeight="1" x14ac:dyDescent="0.2">
      <c r="A308" s="113">
        <v>5</v>
      </c>
      <c r="B308" s="113" t="s">
        <v>681</v>
      </c>
      <c r="C308" s="113" t="s">
        <v>679</v>
      </c>
      <c r="D308" s="113" t="s">
        <v>714</v>
      </c>
      <c r="E308" s="113" t="s">
        <v>1245</v>
      </c>
      <c r="F308" s="145"/>
    </row>
    <row r="309" spans="1:6" customFormat="1" ht="15.75" customHeight="1" x14ac:dyDescent="0.2">
      <c r="A309" s="113">
        <v>5</v>
      </c>
      <c r="B309" s="113" t="s">
        <v>681</v>
      </c>
      <c r="C309" s="113" t="s">
        <v>679</v>
      </c>
      <c r="D309" s="113" t="s">
        <v>759</v>
      </c>
      <c r="E309" s="113" t="s">
        <v>1246</v>
      </c>
      <c r="F309" s="145"/>
    </row>
    <row r="310" spans="1:6" customFormat="1" ht="15.75" customHeight="1" x14ac:dyDescent="0.2">
      <c r="A310" s="113">
        <v>5</v>
      </c>
      <c r="B310" s="113" t="s">
        <v>681</v>
      </c>
      <c r="C310" s="113" t="s">
        <v>679</v>
      </c>
      <c r="D310" s="113" t="s">
        <v>769</v>
      </c>
      <c r="E310" s="113" t="s">
        <v>1247</v>
      </c>
      <c r="F310" s="145"/>
    </row>
    <row r="311" spans="1:6" customFormat="1" ht="15.75" customHeight="1" x14ac:dyDescent="0.2">
      <c r="A311" s="113">
        <v>5</v>
      </c>
      <c r="B311" s="113" t="s">
        <v>681</v>
      </c>
      <c r="C311" s="113" t="s">
        <v>679</v>
      </c>
      <c r="D311" s="113" t="s">
        <v>686</v>
      </c>
      <c r="E311" s="113" t="s">
        <v>1248</v>
      </c>
      <c r="F311" s="145"/>
    </row>
    <row r="312" spans="1:6" customFormat="1" ht="15.75" customHeight="1" x14ac:dyDescent="0.2">
      <c r="A312" s="399" t="s">
        <v>50</v>
      </c>
      <c r="B312" s="400"/>
      <c r="C312" s="400"/>
      <c r="D312" s="400"/>
      <c r="E312" s="401"/>
      <c r="F312" s="147"/>
    </row>
    <row r="313" spans="1:6" customFormat="1" ht="15.75" customHeight="1" x14ac:dyDescent="0.2">
      <c r="A313" s="123">
        <v>5</v>
      </c>
      <c r="B313" s="123" t="s">
        <v>681</v>
      </c>
      <c r="C313" s="140" t="s">
        <v>681</v>
      </c>
      <c r="D313" s="405" t="s">
        <v>1249</v>
      </c>
      <c r="E313" s="406"/>
      <c r="F313" s="146"/>
    </row>
    <row r="314" spans="1:6" customFormat="1" ht="15.75" customHeight="1" x14ac:dyDescent="0.2">
      <c r="A314" s="113">
        <v>5</v>
      </c>
      <c r="B314" s="113" t="s">
        <v>681</v>
      </c>
      <c r="C314" s="115" t="s">
        <v>681</v>
      </c>
      <c r="D314" s="115" t="s">
        <v>651</v>
      </c>
      <c r="E314" s="116" t="s">
        <v>1250</v>
      </c>
      <c r="F314" s="145"/>
    </row>
    <row r="315" spans="1:6" ht="15.75" customHeight="1" x14ac:dyDescent="0.2">
      <c r="A315" s="399" t="s">
        <v>50</v>
      </c>
      <c r="B315" s="400"/>
      <c r="C315" s="400"/>
      <c r="D315" s="400"/>
      <c r="E315" s="401"/>
      <c r="F315" s="147"/>
    </row>
    <row r="316" spans="1:6" ht="14.25" x14ac:dyDescent="0.2">
      <c r="F316" s="175"/>
    </row>
    <row r="317" spans="1:6" x14ac:dyDescent="0.2">
      <c r="A317" s="109" t="s">
        <v>638</v>
      </c>
      <c r="B317" s="154"/>
      <c r="C317" s="154"/>
      <c r="D317" s="110"/>
      <c r="E317" s="171" t="s">
        <v>163</v>
      </c>
    </row>
    <row r="318" spans="1:6" x14ac:dyDescent="0.2">
      <c r="A318" s="109"/>
      <c r="B318" s="154"/>
      <c r="C318" s="154"/>
      <c r="D318" s="110"/>
      <c r="E318" s="171"/>
    </row>
    <row r="319" spans="1:6" ht="4.5" customHeight="1" x14ac:dyDescent="0.2">
      <c r="A319" s="154"/>
      <c r="B319" s="154"/>
      <c r="C319" s="154"/>
      <c r="D319" s="110"/>
      <c r="E319" s="165"/>
    </row>
    <row r="320" spans="1:6" ht="15" customHeight="1" x14ac:dyDescent="0.2">
      <c r="A320" s="154"/>
      <c r="B320" s="173" t="s">
        <v>2081</v>
      </c>
      <c r="C320" s="154"/>
      <c r="D320" s="110"/>
      <c r="E320" s="172"/>
      <c r="F320" s="172" t="s">
        <v>2083</v>
      </c>
    </row>
    <row r="321" spans="1:6" ht="15" customHeight="1" x14ac:dyDescent="0.2">
      <c r="A321" s="108"/>
      <c r="B321" s="174" t="s">
        <v>2082</v>
      </c>
      <c r="C321" s="108"/>
      <c r="D321" s="109"/>
      <c r="F321" s="170" t="s">
        <v>161</v>
      </c>
    </row>
    <row r="322" spans="1:6" ht="14.25" x14ac:dyDescent="0.2">
      <c r="E322" s="170"/>
      <c r="F322" s="175"/>
    </row>
    <row r="323" spans="1:6" ht="14.25" x14ac:dyDescent="0.2">
      <c r="F323" s="175"/>
    </row>
    <row r="324" spans="1:6" ht="14.25" x14ac:dyDescent="0.2">
      <c r="F324" s="175"/>
    </row>
    <row r="325" spans="1:6" ht="14.25" x14ac:dyDescent="0.2">
      <c r="F325" s="175"/>
    </row>
    <row r="326" spans="1:6" ht="14.25" x14ac:dyDescent="0.2">
      <c r="F326" s="175"/>
    </row>
    <row r="327" spans="1:6" ht="14.25" x14ac:dyDescent="0.2">
      <c r="F327" s="175"/>
    </row>
  </sheetData>
  <mergeCells count="26">
    <mergeCell ref="A312:E312"/>
    <mergeCell ref="A9:D10"/>
    <mergeCell ref="E9:E10"/>
    <mergeCell ref="F9:F10"/>
    <mergeCell ref="A1:F1"/>
    <mergeCell ref="A2:F2"/>
    <mergeCell ref="A3:F3"/>
    <mergeCell ref="A5:F5"/>
    <mergeCell ref="A6:F6"/>
    <mergeCell ref="A7:F7"/>
    <mergeCell ref="A315:E315"/>
    <mergeCell ref="B11:E11"/>
    <mergeCell ref="A38:E38"/>
    <mergeCell ref="A45:E45"/>
    <mergeCell ref="A90:E90"/>
    <mergeCell ref="A110:E110"/>
    <mergeCell ref="D103:E103"/>
    <mergeCell ref="C111:E111"/>
    <mergeCell ref="B133:E133"/>
    <mergeCell ref="C267:E267"/>
    <mergeCell ref="D300:E300"/>
    <mergeCell ref="D313:E313"/>
    <mergeCell ref="A132:E132"/>
    <mergeCell ref="A166:E166"/>
    <mergeCell ref="A257:E257"/>
    <mergeCell ref="A266:E266"/>
  </mergeCells>
  <phoneticPr fontId="3" type="noConversion"/>
  <printOptions horizontalCentered="1"/>
  <pageMargins left="0.31496062992125984" right="0.31496062992125984" top="0.47244094488188981" bottom="0.39370078740157483" header="0.51181102362204722" footer="0.51181102362204722"/>
  <pageSetup paperSize="256" orientation="portrait" horizontalDpi="300" verticalDpi="300" r:id="rId1"/>
  <headerFooter alignWithMargins="0"/>
  <rowBreaks count="1" manualBreakCount="1">
    <brk id="162" max="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34"/>
  <sheetViews>
    <sheetView zoomScale="80" zoomScaleNormal="80" workbookViewId="0">
      <selection activeCell="C13" sqref="C13"/>
    </sheetView>
  </sheetViews>
  <sheetFormatPr defaultRowHeight="18.75" x14ac:dyDescent="0.25"/>
  <cols>
    <col min="1" max="1" width="6.7109375" style="178" customWidth="1"/>
    <col min="2" max="2" width="6.85546875" style="178" customWidth="1"/>
    <col min="3" max="3" width="58.140625" style="178" customWidth="1"/>
    <col min="4" max="4" width="24.7109375" style="178" customWidth="1"/>
    <col min="5" max="5" width="5.140625" style="106" customWidth="1"/>
    <col min="6" max="6" width="22.140625" style="169" hidden="1" customWidth="1"/>
    <col min="7" max="7" width="9.140625" style="106"/>
    <col min="8" max="8" width="12.42578125" style="106" bestFit="1" customWidth="1"/>
    <col min="9" max="16384" width="9.140625" style="106"/>
  </cols>
  <sheetData>
    <row r="1" spans="1:6" x14ac:dyDescent="0.25">
      <c r="A1" s="424" t="s">
        <v>198</v>
      </c>
      <c r="B1" s="424"/>
      <c r="C1" s="424"/>
      <c r="D1" s="424"/>
    </row>
    <row r="2" spans="1:6" x14ac:dyDescent="0.25">
      <c r="A2" s="424" t="s">
        <v>608</v>
      </c>
      <c r="B2" s="424"/>
      <c r="C2" s="424"/>
      <c r="D2" s="424"/>
    </row>
    <row r="3" spans="1:6" x14ac:dyDescent="0.25">
      <c r="A3" s="425" t="s">
        <v>1293</v>
      </c>
      <c r="B3" s="425"/>
      <c r="C3" s="425"/>
      <c r="D3" s="425"/>
    </row>
    <row r="5" spans="1:6" ht="15.75" x14ac:dyDescent="0.25">
      <c r="A5" s="426" t="s">
        <v>1292</v>
      </c>
      <c r="B5" s="426"/>
      <c r="C5" s="426"/>
      <c r="D5" s="426"/>
    </row>
    <row r="6" spans="1:6" x14ac:dyDescent="0.25">
      <c r="A6" s="427" t="s">
        <v>171</v>
      </c>
      <c r="B6" s="427"/>
      <c r="C6" s="427"/>
      <c r="D6" s="427"/>
    </row>
    <row r="7" spans="1:6" s="107" customFormat="1" x14ac:dyDescent="0.25">
      <c r="A7" s="425" t="s">
        <v>2075</v>
      </c>
      <c r="B7" s="425"/>
      <c r="C7" s="425"/>
      <c r="D7" s="425"/>
      <c r="F7" s="169"/>
    </row>
    <row r="8" spans="1:6" s="107" customFormat="1" x14ac:dyDescent="0.25">
      <c r="A8" s="180"/>
      <c r="B8" s="180"/>
      <c r="C8" s="180"/>
      <c r="D8" s="180"/>
      <c r="F8" s="169"/>
    </row>
    <row r="9" spans="1:6" x14ac:dyDescent="0.25">
      <c r="A9" s="425" t="s">
        <v>1295</v>
      </c>
      <c r="B9" s="424"/>
      <c r="C9" s="424"/>
      <c r="D9" s="245">
        <v>2019</v>
      </c>
      <c r="F9" s="245">
        <v>2021</v>
      </c>
    </row>
    <row r="10" spans="1:6" ht="20.25" customHeight="1" x14ac:dyDescent="0.25">
      <c r="A10" s="428" t="s">
        <v>1294</v>
      </c>
      <c r="B10" s="428"/>
      <c r="C10" s="428"/>
      <c r="D10" s="189"/>
      <c r="F10" s="189"/>
    </row>
    <row r="11" spans="1:6" s="167" customFormat="1" ht="20.25" customHeight="1" x14ac:dyDescent="0.25">
      <c r="A11" s="246"/>
      <c r="B11" s="193" t="s">
        <v>1025</v>
      </c>
      <c r="C11" s="247"/>
      <c r="D11" s="248">
        <f>'Schedule FP'!F38</f>
        <v>0</v>
      </c>
      <c r="F11" s="298">
        <v>4812161.2699999996</v>
      </c>
    </row>
    <row r="12" spans="1:6" s="167" customFormat="1" ht="20.25" customHeight="1" x14ac:dyDescent="0.25">
      <c r="A12" s="191"/>
      <c r="B12" s="191" t="s">
        <v>1251</v>
      </c>
      <c r="C12" s="191"/>
      <c r="D12" s="248">
        <f>SUM('Schedule FP'!F45)</f>
        <v>0</v>
      </c>
      <c r="F12" s="298">
        <v>166003264</v>
      </c>
    </row>
    <row r="13" spans="1:6" s="167" customFormat="1" ht="20.25" customHeight="1" x14ac:dyDescent="0.25">
      <c r="A13" s="191"/>
      <c r="B13" s="191" t="s">
        <v>1265</v>
      </c>
      <c r="C13" s="191"/>
      <c r="D13" s="248"/>
      <c r="F13" s="298"/>
    </row>
    <row r="14" spans="1:6" s="167" customFormat="1" ht="20.25" customHeight="1" x14ac:dyDescent="0.25">
      <c r="A14" s="191"/>
      <c r="B14" s="191" t="s">
        <v>1053</v>
      </c>
      <c r="C14" s="191"/>
      <c r="D14" s="248">
        <f>SUM('Schedule FP'!F90)</f>
        <v>0</v>
      </c>
      <c r="F14" s="298">
        <v>10759216.52</v>
      </c>
    </row>
    <row r="15" spans="1:6" s="167" customFormat="1" ht="20.25" customHeight="1" x14ac:dyDescent="0.25">
      <c r="A15" s="191"/>
      <c r="B15" s="191" t="s">
        <v>1107</v>
      </c>
      <c r="C15" s="191"/>
      <c r="D15" s="248">
        <f>SUM('Schedule FP'!F110)</f>
        <v>0</v>
      </c>
      <c r="F15" s="298">
        <v>415709.59</v>
      </c>
    </row>
    <row r="16" spans="1:6" ht="20.25" customHeight="1" x14ac:dyDescent="0.25">
      <c r="A16" s="189"/>
      <c r="B16" s="420" t="s">
        <v>1115</v>
      </c>
      <c r="C16" s="420"/>
      <c r="D16" s="197">
        <f>'Schedule FP'!F132</f>
        <v>0</v>
      </c>
      <c r="F16" s="299" t="e">
        <f>'[1]Schedule FP'!H132</f>
        <v>#REF!</v>
      </c>
    </row>
    <row r="17" spans="1:9" ht="20.25" customHeight="1" x14ac:dyDescent="0.25">
      <c r="A17" s="189"/>
      <c r="B17" s="189" t="s">
        <v>1252</v>
      </c>
      <c r="C17" s="189"/>
      <c r="D17" s="197">
        <f>'Schedule FP'!F132</f>
        <v>0</v>
      </c>
      <c r="F17" s="299" t="e">
        <f>'[1]Schedule FP'!H132</f>
        <v>#REF!</v>
      </c>
    </row>
    <row r="18" spans="1:9" ht="20.25" customHeight="1" thickBot="1" x14ac:dyDescent="0.3">
      <c r="A18" s="421" t="s">
        <v>1296</v>
      </c>
      <c r="B18" s="421"/>
      <c r="C18" s="421"/>
      <c r="D18" s="249">
        <f>SUM(D11:D17)</f>
        <v>0</v>
      </c>
      <c r="F18" s="300" t="e">
        <f>SUM(F11:F17)</f>
        <v>#REF!</v>
      </c>
    </row>
    <row r="19" spans="1:9" ht="20.25" customHeight="1" thickTop="1" x14ac:dyDescent="0.25">
      <c r="A19" s="196" t="s">
        <v>1253</v>
      </c>
      <c r="B19" s="196"/>
      <c r="C19" s="189"/>
      <c r="D19" s="197"/>
      <c r="F19" s="299"/>
    </row>
    <row r="20" spans="1:9" s="167" customFormat="1" ht="20.25" customHeight="1" x14ac:dyDescent="0.25">
      <c r="A20" s="191"/>
      <c r="B20" s="191" t="s">
        <v>1131</v>
      </c>
      <c r="C20" s="191"/>
      <c r="D20" s="248">
        <f>'Schedule FP'!F166</f>
        <v>0</v>
      </c>
      <c r="F20" s="298">
        <v>88363077.900000006</v>
      </c>
    </row>
    <row r="21" spans="1:9" s="167" customFormat="1" ht="20.25" customHeight="1" x14ac:dyDescent="0.25">
      <c r="A21" s="191"/>
      <c r="B21" s="191" t="s">
        <v>1146</v>
      </c>
      <c r="C21" s="191"/>
      <c r="D21" s="248">
        <f>'Schedule FP'!F257</f>
        <v>0</v>
      </c>
      <c r="F21" s="298">
        <v>38129410.880000003</v>
      </c>
      <c r="H21" s="240"/>
      <c r="I21" s="240"/>
    </row>
    <row r="22" spans="1:9" s="167" customFormat="1" ht="20.25" customHeight="1" x14ac:dyDescent="0.25">
      <c r="A22" s="191"/>
      <c r="B22" s="191" t="s">
        <v>1200</v>
      </c>
      <c r="C22" s="191"/>
      <c r="D22" s="248">
        <f>SUM('Schedule FP'!F266)</f>
        <v>0</v>
      </c>
      <c r="F22" s="298">
        <v>21234.82</v>
      </c>
      <c r="H22" s="240"/>
      <c r="I22" s="240"/>
    </row>
    <row r="23" spans="1:9" s="167" customFormat="1" ht="20.25" customHeight="1" x14ac:dyDescent="0.25">
      <c r="A23" s="191"/>
      <c r="B23" s="191" t="s">
        <v>1211</v>
      </c>
      <c r="C23" s="191"/>
      <c r="D23" s="248">
        <f>'Schedule FP'!F312</f>
        <v>0</v>
      </c>
      <c r="F23" s="298">
        <v>2972161.75</v>
      </c>
    </row>
    <row r="24" spans="1:9" ht="20.25" customHeight="1" x14ac:dyDescent="0.25">
      <c r="A24" s="421" t="s">
        <v>1297</v>
      </c>
      <c r="B24" s="421"/>
      <c r="C24" s="421"/>
      <c r="D24" s="252">
        <f>SUM(D20:D23)</f>
        <v>0</v>
      </c>
      <c r="F24" s="301">
        <f>SUM(F20:F23)</f>
        <v>129485885.34999999</v>
      </c>
    </row>
    <row r="25" spans="1:9" ht="20.25" customHeight="1" x14ac:dyDescent="0.25">
      <c r="A25" s="422" t="s">
        <v>1266</v>
      </c>
      <c r="B25" s="422"/>
      <c r="C25" s="422"/>
      <c r="D25" s="250">
        <f>D18-D24</f>
        <v>0</v>
      </c>
      <c r="F25" s="302" t="e">
        <f>F18-F24</f>
        <v>#REF!</v>
      </c>
    </row>
    <row r="26" spans="1:9" ht="20.25" customHeight="1" x14ac:dyDescent="0.25">
      <c r="A26" s="189"/>
      <c r="B26" s="422" t="s">
        <v>1254</v>
      </c>
      <c r="C26" s="422"/>
      <c r="D26" s="197"/>
      <c r="F26" s="299"/>
    </row>
    <row r="27" spans="1:9" ht="20.25" customHeight="1" x14ac:dyDescent="0.25">
      <c r="A27" s="196"/>
      <c r="B27" s="196"/>
      <c r="C27" s="189" t="s">
        <v>1255</v>
      </c>
      <c r="D27" s="197">
        <v>0</v>
      </c>
      <c r="F27" s="299">
        <v>0</v>
      </c>
    </row>
    <row r="28" spans="1:9" ht="20.25" customHeight="1" x14ac:dyDescent="0.25">
      <c r="A28" s="189"/>
      <c r="B28" s="189"/>
      <c r="C28" s="189" t="s">
        <v>1267</v>
      </c>
      <c r="D28" s="251">
        <f>-'Schedule FP'!F235</f>
        <v>0</v>
      </c>
      <c r="F28" s="303">
        <v>-1043041.9</v>
      </c>
    </row>
    <row r="29" spans="1:9" ht="24.75" customHeight="1" x14ac:dyDescent="0.25">
      <c r="A29" s="423" t="s">
        <v>1298</v>
      </c>
      <c r="B29" s="423"/>
      <c r="C29" s="423"/>
      <c r="D29" s="250">
        <f>D25+D28</f>
        <v>0</v>
      </c>
      <c r="F29" s="302" t="e">
        <f>F25+F28</f>
        <v>#REF!</v>
      </c>
    </row>
    <row r="30" spans="1:9" ht="15.75" x14ac:dyDescent="0.25">
      <c r="A30" s="196"/>
      <c r="B30" s="196"/>
      <c r="C30" s="189"/>
      <c r="D30" s="197"/>
    </row>
    <row r="31" spans="1:9" ht="15.75" x14ac:dyDescent="0.25">
      <c r="A31" s="420" t="s">
        <v>638</v>
      </c>
      <c r="B31" s="420"/>
      <c r="C31" s="190" t="s">
        <v>163</v>
      </c>
      <c r="D31" s="191"/>
    </row>
    <row r="32" spans="1:9" ht="15.75" x14ac:dyDescent="0.25">
      <c r="A32" s="189"/>
      <c r="B32" s="189"/>
      <c r="C32" s="189"/>
      <c r="D32" s="191"/>
    </row>
    <row r="33" spans="1:4" ht="15.75" x14ac:dyDescent="0.25">
      <c r="A33" s="189"/>
      <c r="B33" s="422" t="s">
        <v>2081</v>
      </c>
      <c r="C33" s="422"/>
      <c r="D33" s="192" t="s">
        <v>1940</v>
      </c>
    </row>
    <row r="34" spans="1:4" ht="15.75" x14ac:dyDescent="0.25">
      <c r="A34" s="189"/>
      <c r="B34" s="420" t="s">
        <v>2084</v>
      </c>
      <c r="C34" s="420"/>
      <c r="D34" s="193" t="s">
        <v>161</v>
      </c>
    </row>
  </sheetData>
  <mergeCells count="17">
    <mergeCell ref="B33:C33"/>
    <mergeCell ref="A31:B31"/>
    <mergeCell ref="B34:C34"/>
    <mergeCell ref="A29:C29"/>
    <mergeCell ref="A1:D1"/>
    <mergeCell ref="A2:D2"/>
    <mergeCell ref="A3:D3"/>
    <mergeCell ref="A5:D5"/>
    <mergeCell ref="A6:D6"/>
    <mergeCell ref="A7:D7"/>
    <mergeCell ref="A9:C9"/>
    <mergeCell ref="A10:C10"/>
    <mergeCell ref="B16:C16"/>
    <mergeCell ref="A18:C18"/>
    <mergeCell ref="A24:C24"/>
    <mergeCell ref="A25:C25"/>
    <mergeCell ref="B26:C26"/>
  </mergeCells>
  <printOptions horizontalCentered="1"/>
  <pageMargins left="0.5" right="0.5" top="0.75" bottom="0.5" header="0.2" footer="0.16"/>
  <pageSetup scale="9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83"/>
  <sheetViews>
    <sheetView workbookViewId="0">
      <selection activeCell="A5" sqref="A5:J5"/>
    </sheetView>
  </sheetViews>
  <sheetFormatPr defaultRowHeight="12.75" x14ac:dyDescent="0.2"/>
  <cols>
    <col min="1" max="1" width="2.7109375" customWidth="1"/>
    <col min="2" max="2" width="2.28515625" customWidth="1"/>
    <col min="3" max="3" width="2" customWidth="1"/>
    <col min="7" max="7" width="34.28515625" customWidth="1"/>
    <col min="8" max="8" width="15.5703125" customWidth="1"/>
    <col min="9" max="9" width="2.140625" customWidth="1"/>
    <col min="10" max="10" width="16.140625" customWidth="1"/>
  </cols>
  <sheetData>
    <row r="1" spans="1:10" ht="14.25" x14ac:dyDescent="0.2">
      <c r="A1" s="431" t="s">
        <v>198</v>
      </c>
      <c r="B1" s="431"/>
      <c r="C1" s="431"/>
      <c r="D1" s="431"/>
      <c r="E1" s="431"/>
      <c r="F1" s="431"/>
      <c r="G1" s="431"/>
      <c r="H1" s="431"/>
      <c r="I1" s="431"/>
      <c r="J1" s="431"/>
    </row>
    <row r="2" spans="1:10" ht="14.25" x14ac:dyDescent="0.2">
      <c r="A2" s="431" t="s">
        <v>608</v>
      </c>
      <c r="B2" s="431"/>
      <c r="C2" s="431"/>
      <c r="D2" s="431"/>
      <c r="E2" s="431"/>
      <c r="F2" s="431"/>
      <c r="G2" s="431"/>
      <c r="H2" s="431"/>
      <c r="I2" s="431"/>
      <c r="J2" s="431"/>
    </row>
    <row r="3" spans="1:10" ht="15" x14ac:dyDescent="0.25">
      <c r="A3" s="429" t="s">
        <v>86</v>
      </c>
      <c r="B3" s="429"/>
      <c r="C3" s="429"/>
      <c r="D3" s="429"/>
      <c r="E3" s="429"/>
      <c r="F3" s="429"/>
      <c r="G3" s="429"/>
      <c r="H3" s="429"/>
      <c r="I3" s="429"/>
      <c r="J3" s="429"/>
    </row>
    <row r="5" spans="1:10" ht="15" x14ac:dyDescent="0.25">
      <c r="A5" s="429" t="s">
        <v>136</v>
      </c>
      <c r="B5" s="429"/>
      <c r="C5" s="429"/>
      <c r="D5" s="429"/>
      <c r="E5" s="429"/>
      <c r="F5" s="429"/>
      <c r="G5" s="429"/>
      <c r="H5" s="429"/>
      <c r="I5" s="429"/>
      <c r="J5" s="429"/>
    </row>
    <row r="6" spans="1:10" ht="15" x14ac:dyDescent="0.25">
      <c r="A6" s="34"/>
      <c r="B6" s="34"/>
      <c r="C6" s="34"/>
      <c r="D6" s="34"/>
      <c r="E6" s="34"/>
      <c r="F6" s="34"/>
      <c r="G6" s="34" t="s">
        <v>159</v>
      </c>
      <c r="H6" s="34"/>
      <c r="I6" s="34"/>
      <c r="J6" s="34"/>
    </row>
    <row r="7" spans="1:10" ht="14.25" x14ac:dyDescent="0.2">
      <c r="A7" s="431" t="s">
        <v>640</v>
      </c>
      <c r="B7" s="431"/>
      <c r="C7" s="431"/>
      <c r="D7" s="431"/>
      <c r="E7" s="431"/>
      <c r="F7" s="431"/>
      <c r="G7" s="431"/>
      <c r="H7" s="431"/>
      <c r="I7" s="431"/>
      <c r="J7" s="431"/>
    </row>
    <row r="8" spans="1:10" x14ac:dyDescent="0.2">
      <c r="A8" s="430" t="s">
        <v>641</v>
      </c>
      <c r="B8" s="430"/>
      <c r="C8" s="430"/>
      <c r="D8" s="430"/>
      <c r="E8" s="430"/>
      <c r="F8" s="430"/>
      <c r="G8" s="430"/>
      <c r="H8" s="430"/>
      <c r="I8" s="430"/>
      <c r="J8" s="430"/>
    </row>
    <row r="9" spans="1:10" x14ac:dyDescent="0.2">
      <c r="A9" s="14"/>
      <c r="B9" s="14"/>
      <c r="C9" s="14"/>
      <c r="D9" s="14"/>
      <c r="F9" s="14"/>
      <c r="G9" s="14"/>
      <c r="H9" s="25"/>
      <c r="I9" s="14"/>
      <c r="J9" s="14"/>
    </row>
    <row r="10" spans="1:10" x14ac:dyDescent="0.2">
      <c r="A10" s="14"/>
      <c r="B10" s="14"/>
      <c r="C10" s="14"/>
      <c r="D10" s="14"/>
      <c r="E10" s="14"/>
      <c r="F10" s="14"/>
      <c r="G10" s="14"/>
      <c r="H10" s="25"/>
      <c r="I10" s="14"/>
      <c r="J10" s="5"/>
    </row>
    <row r="11" spans="1:10" x14ac:dyDescent="0.2">
      <c r="A11" s="71"/>
      <c r="B11" s="58"/>
      <c r="C11" s="58"/>
      <c r="D11" s="58"/>
      <c r="E11" s="58"/>
      <c r="F11" s="58"/>
      <c r="G11" s="58"/>
      <c r="H11" s="38">
        <v>2015</v>
      </c>
      <c r="I11" s="42"/>
      <c r="J11" s="40">
        <v>2014</v>
      </c>
    </row>
    <row r="12" spans="1:10" x14ac:dyDescent="0.2">
      <c r="A12" s="41"/>
      <c r="B12" s="6"/>
      <c r="C12" s="14"/>
      <c r="D12" s="14"/>
      <c r="E12" s="14"/>
      <c r="F12" s="14"/>
      <c r="G12" s="14"/>
      <c r="H12" s="37"/>
      <c r="I12" s="13"/>
      <c r="J12" s="37"/>
    </row>
    <row r="13" spans="1:10" ht="14.25" x14ac:dyDescent="0.2">
      <c r="A13" s="41" t="s">
        <v>450</v>
      </c>
      <c r="B13" s="14"/>
      <c r="C13" s="14"/>
      <c r="D13" s="14"/>
      <c r="E13" s="14"/>
      <c r="F13" s="14"/>
      <c r="G13" s="14"/>
      <c r="H13" s="3"/>
      <c r="I13" s="72"/>
      <c r="J13" s="3"/>
    </row>
    <row r="14" spans="1:10" ht="14.25" x14ac:dyDescent="0.2">
      <c r="A14" s="36"/>
      <c r="B14" s="6" t="s">
        <v>596</v>
      </c>
      <c r="D14" s="14"/>
      <c r="E14" s="14"/>
      <c r="F14" s="14"/>
      <c r="G14" s="14"/>
      <c r="H14" s="68"/>
      <c r="I14" s="73"/>
      <c r="J14" s="68"/>
    </row>
    <row r="15" spans="1:10" ht="14.25" x14ac:dyDescent="0.2">
      <c r="A15" s="36"/>
      <c r="B15" s="14"/>
      <c r="C15" s="14" t="s">
        <v>37</v>
      </c>
      <c r="D15" s="14"/>
      <c r="E15" s="14"/>
      <c r="F15" s="14"/>
      <c r="G15" s="14"/>
      <c r="H15" s="68" t="e">
        <f>#REF!</f>
        <v>#REF!</v>
      </c>
      <c r="I15" s="73"/>
      <c r="J15" s="68">
        <v>3762.5</v>
      </c>
    </row>
    <row r="16" spans="1:10" ht="14.25" x14ac:dyDescent="0.2">
      <c r="A16" s="36"/>
      <c r="B16" s="14"/>
      <c r="C16" s="14" t="s">
        <v>451</v>
      </c>
      <c r="D16" s="14"/>
      <c r="E16" s="14"/>
      <c r="F16" s="14"/>
      <c r="G16" s="14"/>
      <c r="H16" s="68" t="e">
        <f>#REF!</f>
        <v>#REF!</v>
      </c>
      <c r="I16" s="73"/>
      <c r="J16" s="68">
        <v>989643.8</v>
      </c>
    </row>
    <row r="17" spans="1:10" ht="14.25" x14ac:dyDescent="0.2">
      <c r="A17" s="36"/>
      <c r="B17" s="14"/>
      <c r="C17" s="14" t="s">
        <v>38</v>
      </c>
      <c r="D17" s="14"/>
      <c r="E17" s="14"/>
      <c r="F17" s="14"/>
      <c r="G17" s="14"/>
      <c r="H17" s="68" t="e">
        <f>#REF!</f>
        <v>#REF!</v>
      </c>
      <c r="I17" s="73"/>
      <c r="J17" s="68">
        <v>615670.15</v>
      </c>
    </row>
    <row r="18" spans="1:10" ht="14.25" x14ac:dyDescent="0.2">
      <c r="A18" s="36"/>
      <c r="B18" s="14"/>
      <c r="C18" s="14" t="s">
        <v>258</v>
      </c>
      <c r="D18" s="14"/>
      <c r="E18" s="14"/>
      <c r="F18" s="14"/>
      <c r="G18" s="14"/>
      <c r="H18" s="68" t="str">
        <f>'Schedule FP'!D17</f>
        <v>040</v>
      </c>
      <c r="I18" s="73"/>
      <c r="J18" s="68">
        <v>1530</v>
      </c>
    </row>
    <row r="19" spans="1:10" ht="14.25" x14ac:dyDescent="0.2">
      <c r="A19" s="36"/>
      <c r="B19" s="14"/>
      <c r="C19" s="14" t="s">
        <v>39</v>
      </c>
      <c r="D19" s="14"/>
      <c r="E19" s="14"/>
      <c r="F19" s="14"/>
      <c r="G19" s="14"/>
      <c r="H19" s="68" t="e">
        <f>#REF!</f>
        <v>#REF!</v>
      </c>
      <c r="I19" s="73"/>
      <c r="J19" s="68">
        <v>92820</v>
      </c>
    </row>
    <row r="20" spans="1:10" ht="14.25" x14ac:dyDescent="0.2">
      <c r="A20" s="36"/>
      <c r="B20" s="14"/>
      <c r="C20" s="14" t="s">
        <v>259</v>
      </c>
      <c r="D20" s="14"/>
      <c r="E20" s="14"/>
      <c r="F20" s="14"/>
      <c r="G20" s="14"/>
      <c r="H20" s="68"/>
      <c r="I20" s="73"/>
      <c r="J20" s="68"/>
    </row>
    <row r="21" spans="1:10" ht="14.25" x14ac:dyDescent="0.2">
      <c r="A21" s="36"/>
      <c r="B21" s="14"/>
      <c r="C21" s="14" t="s">
        <v>260</v>
      </c>
      <c r="D21" s="14"/>
      <c r="E21" s="14"/>
      <c r="F21" s="14"/>
      <c r="G21" s="14"/>
      <c r="H21" s="68"/>
      <c r="I21" s="73"/>
      <c r="J21" s="68"/>
    </row>
    <row r="22" spans="1:10" ht="14.25" x14ac:dyDescent="0.2">
      <c r="A22" s="36"/>
      <c r="B22" s="14"/>
      <c r="C22" s="14" t="s">
        <v>40</v>
      </c>
      <c r="D22" s="14"/>
      <c r="E22" s="14"/>
      <c r="F22" s="14"/>
      <c r="G22" s="14"/>
      <c r="H22" s="68" t="e">
        <f>#REF!</f>
        <v>#REF!</v>
      </c>
      <c r="I22" s="73"/>
      <c r="J22" s="68">
        <v>322494.86</v>
      </c>
    </row>
    <row r="23" spans="1:10" ht="14.25" x14ac:dyDescent="0.2">
      <c r="A23" s="36"/>
      <c r="B23" s="14"/>
      <c r="C23" s="14"/>
      <c r="D23" s="14" t="s">
        <v>452</v>
      </c>
      <c r="E23" s="14"/>
      <c r="F23" s="14"/>
      <c r="G23" s="14"/>
      <c r="H23" s="77" t="e">
        <f>-#REF!</f>
        <v>#REF!</v>
      </c>
      <c r="I23" s="73"/>
      <c r="J23" s="77">
        <v>-42238.94</v>
      </c>
    </row>
    <row r="24" spans="1:10" ht="14.25" x14ac:dyDescent="0.2">
      <c r="A24" s="36"/>
      <c r="B24" s="14"/>
      <c r="C24" s="14" t="s">
        <v>261</v>
      </c>
      <c r="D24" s="14"/>
      <c r="E24" s="14"/>
      <c r="F24" s="14"/>
      <c r="G24" s="14"/>
      <c r="H24" s="68"/>
      <c r="I24" s="73"/>
      <c r="J24" s="68"/>
    </row>
    <row r="25" spans="1:10" ht="14.25" x14ac:dyDescent="0.2">
      <c r="A25" s="36"/>
      <c r="B25" s="14"/>
      <c r="C25" s="14" t="s">
        <v>262</v>
      </c>
      <c r="D25" s="14"/>
      <c r="E25" s="14"/>
      <c r="F25" s="14"/>
      <c r="G25" s="14"/>
      <c r="H25" s="68"/>
      <c r="I25" s="73"/>
      <c r="J25" s="68"/>
    </row>
    <row r="26" spans="1:10" ht="14.25" x14ac:dyDescent="0.2">
      <c r="A26" s="36"/>
      <c r="B26" s="14"/>
      <c r="C26" s="14" t="s">
        <v>453</v>
      </c>
      <c r="D26" s="14"/>
      <c r="E26" s="14"/>
      <c r="F26" s="14"/>
      <c r="G26" s="14"/>
      <c r="H26" s="68"/>
      <c r="I26" s="73"/>
      <c r="J26" s="68"/>
    </row>
    <row r="27" spans="1:10" ht="14.25" x14ac:dyDescent="0.2">
      <c r="A27" s="36"/>
      <c r="B27" s="14"/>
      <c r="C27" s="14"/>
      <c r="D27" s="14" t="s">
        <v>454</v>
      </c>
      <c r="E27" s="14"/>
      <c r="F27" s="14"/>
      <c r="G27" s="14"/>
      <c r="H27" s="68"/>
      <c r="I27" s="73"/>
      <c r="J27" s="68"/>
    </row>
    <row r="28" spans="1:10" ht="14.25" x14ac:dyDescent="0.2">
      <c r="A28" s="36"/>
      <c r="B28" s="14"/>
      <c r="C28" s="14" t="s">
        <v>81</v>
      </c>
      <c r="D28" s="14"/>
      <c r="E28" s="14"/>
      <c r="F28" s="14"/>
      <c r="G28" s="14"/>
      <c r="H28" s="68" t="e">
        <f>#REF!</f>
        <v>#REF!</v>
      </c>
      <c r="I28" s="73"/>
      <c r="J28" s="68">
        <v>30150</v>
      </c>
    </row>
    <row r="29" spans="1:10" ht="14.25" x14ac:dyDescent="0.2">
      <c r="A29" s="36"/>
      <c r="B29" s="14"/>
      <c r="C29" s="14" t="s">
        <v>455</v>
      </c>
      <c r="D29" s="14"/>
      <c r="E29" s="14"/>
      <c r="F29" s="14"/>
      <c r="G29" s="14"/>
      <c r="H29" s="68" t="e">
        <f>#REF!</f>
        <v>#REF!</v>
      </c>
      <c r="I29" s="73"/>
      <c r="J29" s="68">
        <v>70000</v>
      </c>
    </row>
    <row r="30" spans="1:10" ht="14.25" x14ac:dyDescent="0.2">
      <c r="A30" s="36"/>
      <c r="B30" s="14"/>
      <c r="C30" s="14" t="s">
        <v>41</v>
      </c>
      <c r="D30" s="14"/>
      <c r="E30" s="14"/>
      <c r="F30" s="14"/>
      <c r="G30" s="14"/>
      <c r="H30" s="68" t="e">
        <f>#REF!</f>
        <v>#REF!</v>
      </c>
      <c r="I30" s="73"/>
      <c r="J30" s="68">
        <v>8130</v>
      </c>
    </row>
    <row r="31" spans="1:10" ht="14.25" x14ac:dyDescent="0.2">
      <c r="A31" s="36"/>
      <c r="B31" s="14"/>
      <c r="C31" s="14" t="s">
        <v>42</v>
      </c>
      <c r="D31" s="14"/>
      <c r="E31" s="14"/>
      <c r="F31" s="14"/>
      <c r="G31" s="14"/>
      <c r="H31" s="68" t="e">
        <f>#REF!</f>
        <v>#REF!</v>
      </c>
      <c r="I31" s="73"/>
      <c r="J31" s="68">
        <v>199482.86</v>
      </c>
    </row>
    <row r="32" spans="1:10" ht="14.25" x14ac:dyDescent="0.2">
      <c r="A32" s="36"/>
      <c r="B32" s="14"/>
      <c r="C32" s="6" t="s">
        <v>456</v>
      </c>
      <c r="D32" s="14"/>
      <c r="E32" s="14"/>
      <c r="F32" s="14"/>
      <c r="G32" s="14"/>
      <c r="H32" s="75" t="e">
        <f>SUM(H15:H31)</f>
        <v>#REF!</v>
      </c>
      <c r="I32" s="76"/>
      <c r="J32" s="75">
        <f>SUM(J15:J31)</f>
        <v>2291445.23</v>
      </c>
    </row>
    <row r="33" spans="1:10" ht="14.25" x14ac:dyDescent="0.2">
      <c r="A33" s="41" t="s">
        <v>457</v>
      </c>
      <c r="B33" s="14"/>
      <c r="C33" s="14"/>
      <c r="D33" s="14"/>
      <c r="E33" s="14"/>
      <c r="F33" s="14"/>
      <c r="G33" s="14"/>
      <c r="H33" s="68"/>
      <c r="I33" s="73"/>
      <c r="J33" s="68"/>
    </row>
    <row r="34" spans="1:10" ht="14.25" x14ac:dyDescent="0.2">
      <c r="A34" s="36"/>
      <c r="B34" s="14" t="s">
        <v>131</v>
      </c>
      <c r="C34" s="14"/>
      <c r="D34" s="14"/>
      <c r="E34" s="14"/>
      <c r="F34" s="14"/>
      <c r="G34" s="14"/>
      <c r="H34" s="68" t="e">
        <f>#REF!</f>
        <v>#REF!</v>
      </c>
      <c r="I34" s="73"/>
      <c r="J34" s="68">
        <v>81867039</v>
      </c>
    </row>
    <row r="35" spans="1:10" ht="14.25" x14ac:dyDescent="0.2">
      <c r="A35" s="36"/>
      <c r="B35" s="6" t="s">
        <v>597</v>
      </c>
      <c r="D35" s="14"/>
      <c r="E35" s="14"/>
      <c r="F35" s="14"/>
      <c r="G35" s="14"/>
      <c r="H35" s="68"/>
      <c r="I35" s="73"/>
      <c r="J35" s="68"/>
    </row>
    <row r="36" spans="1:10" ht="14.25" x14ac:dyDescent="0.2">
      <c r="A36" s="36"/>
      <c r="B36" s="14"/>
      <c r="C36" s="14" t="s">
        <v>82</v>
      </c>
      <c r="D36" s="14"/>
      <c r="E36" s="14"/>
      <c r="F36" s="14"/>
      <c r="G36" s="14"/>
      <c r="H36" s="68" t="e">
        <f>#REF!</f>
        <v>#REF!</v>
      </c>
      <c r="I36" s="73"/>
      <c r="J36" s="68">
        <v>8870</v>
      </c>
    </row>
    <row r="37" spans="1:10" ht="14.25" x14ac:dyDescent="0.2">
      <c r="A37" s="36"/>
      <c r="B37" s="14"/>
      <c r="C37" s="14" t="s">
        <v>263</v>
      </c>
      <c r="D37" s="14"/>
      <c r="E37" s="14"/>
      <c r="F37" s="14"/>
      <c r="G37" s="14"/>
      <c r="H37" s="68"/>
      <c r="I37" s="73"/>
      <c r="J37" s="68"/>
    </row>
    <row r="38" spans="1:10" ht="14.25" x14ac:dyDescent="0.2">
      <c r="A38" s="36"/>
      <c r="B38" s="14"/>
      <c r="C38" s="14" t="s">
        <v>264</v>
      </c>
      <c r="D38" s="14"/>
      <c r="E38" s="14"/>
      <c r="F38" s="14"/>
      <c r="G38" s="14"/>
      <c r="H38" s="68"/>
      <c r="I38" s="73"/>
      <c r="J38" s="68"/>
    </row>
    <row r="39" spans="1:10" ht="14.25" x14ac:dyDescent="0.2">
      <c r="A39" s="36"/>
      <c r="B39" s="14"/>
      <c r="C39" s="14" t="s">
        <v>458</v>
      </c>
      <c r="D39" s="14"/>
      <c r="E39" s="14"/>
      <c r="F39" s="14"/>
      <c r="G39" s="14"/>
      <c r="H39" s="68"/>
      <c r="I39" s="73"/>
      <c r="J39" s="68"/>
    </row>
    <row r="40" spans="1:10" ht="14.25" x14ac:dyDescent="0.2">
      <c r="A40" s="36"/>
      <c r="B40" s="14"/>
      <c r="C40" s="14" t="s">
        <v>130</v>
      </c>
      <c r="D40" s="14"/>
      <c r="E40" s="14"/>
      <c r="F40" s="14"/>
      <c r="G40" s="14"/>
      <c r="H40" s="68" t="e">
        <f>#REF!</f>
        <v>#REF!</v>
      </c>
      <c r="I40" s="73"/>
      <c r="J40" s="68">
        <v>463848.61</v>
      </c>
    </row>
    <row r="41" spans="1:10" ht="14.25" x14ac:dyDescent="0.2">
      <c r="A41" s="36"/>
      <c r="B41" s="14"/>
      <c r="C41" s="14" t="s">
        <v>43</v>
      </c>
      <c r="D41" s="14"/>
      <c r="E41" s="14"/>
      <c r="F41" s="14"/>
      <c r="G41" s="14"/>
      <c r="H41" s="68" t="e">
        <f>#REF!</f>
        <v>#REF!</v>
      </c>
      <c r="I41" s="73"/>
      <c r="J41" s="68">
        <v>68460</v>
      </c>
    </row>
    <row r="42" spans="1:10" ht="14.25" x14ac:dyDescent="0.2">
      <c r="A42" s="36"/>
      <c r="B42" s="14"/>
      <c r="C42" s="14" t="s">
        <v>44</v>
      </c>
      <c r="D42" s="14"/>
      <c r="E42" s="14"/>
      <c r="F42" s="14"/>
      <c r="G42" s="14"/>
      <c r="H42" s="68" t="e">
        <f>#REF!</f>
        <v>#REF!</v>
      </c>
      <c r="I42" s="73"/>
      <c r="J42" s="68">
        <v>132884.5</v>
      </c>
    </row>
    <row r="43" spans="1:10" ht="14.25" x14ac:dyDescent="0.2">
      <c r="A43" s="36"/>
      <c r="B43" s="14"/>
      <c r="C43" s="14" t="s">
        <v>459</v>
      </c>
      <c r="D43" s="14"/>
      <c r="E43" s="14"/>
      <c r="F43" s="14"/>
      <c r="G43" s="14"/>
      <c r="H43" s="68"/>
      <c r="I43" s="73"/>
      <c r="J43" s="68"/>
    </row>
    <row r="44" spans="1:10" ht="14.25" x14ac:dyDescent="0.2">
      <c r="A44" s="36"/>
      <c r="B44" s="14"/>
      <c r="C44" s="6" t="s">
        <v>460</v>
      </c>
      <c r="D44" s="14"/>
      <c r="E44" s="14"/>
      <c r="F44" s="14"/>
      <c r="G44" s="14"/>
      <c r="H44" s="75" t="e">
        <f>SUM(H36:H43)</f>
        <v>#REF!</v>
      </c>
      <c r="I44" s="76"/>
      <c r="J44" s="75">
        <f>SUM(J36:J43)</f>
        <v>674063.11</v>
      </c>
    </row>
    <row r="45" spans="1:10" ht="14.25" x14ac:dyDescent="0.2">
      <c r="A45" s="36"/>
      <c r="B45" s="6" t="s">
        <v>598</v>
      </c>
      <c r="D45" s="14"/>
      <c r="E45" s="14"/>
      <c r="F45" s="14"/>
      <c r="G45" s="14"/>
      <c r="H45" s="68"/>
      <c r="I45" s="73"/>
      <c r="J45" s="68"/>
    </row>
    <row r="46" spans="1:10" ht="14.25" x14ac:dyDescent="0.2">
      <c r="A46" s="36"/>
      <c r="B46" s="14"/>
      <c r="C46" s="14" t="s">
        <v>265</v>
      </c>
      <c r="D46" s="14"/>
      <c r="E46" s="14"/>
      <c r="F46" s="14"/>
      <c r="G46" s="14"/>
      <c r="H46" s="68"/>
      <c r="I46" s="73"/>
      <c r="J46" s="68"/>
    </row>
    <row r="47" spans="1:10" ht="14.25" x14ac:dyDescent="0.2">
      <c r="A47" s="36"/>
      <c r="B47" s="14"/>
      <c r="C47" s="14" t="s">
        <v>461</v>
      </c>
      <c r="D47" s="14"/>
      <c r="E47" s="14"/>
      <c r="F47" s="14"/>
      <c r="G47" s="14"/>
      <c r="H47" s="68"/>
      <c r="I47" s="73"/>
      <c r="J47" s="68"/>
    </row>
    <row r="48" spans="1:10" ht="14.25" x14ac:dyDescent="0.2">
      <c r="A48" s="36"/>
      <c r="B48" s="14"/>
      <c r="C48" s="14" t="s">
        <v>45</v>
      </c>
      <c r="D48" s="14"/>
      <c r="E48" s="14"/>
      <c r="F48" s="14"/>
      <c r="G48" s="14"/>
      <c r="H48" s="68" t="e">
        <f>#REF!</f>
        <v>#REF!</v>
      </c>
      <c r="I48" s="73"/>
      <c r="J48" s="68">
        <v>771501</v>
      </c>
    </row>
    <row r="49" spans="1:10" ht="14.25" x14ac:dyDescent="0.2">
      <c r="A49" s="36"/>
      <c r="B49" s="14"/>
      <c r="C49" s="14" t="s">
        <v>266</v>
      </c>
      <c r="D49" s="14"/>
      <c r="E49" s="14"/>
      <c r="F49" s="14"/>
      <c r="G49" s="14"/>
      <c r="H49" s="68"/>
      <c r="I49" s="73"/>
      <c r="J49" s="68"/>
    </row>
    <row r="50" spans="1:10" ht="14.25" x14ac:dyDescent="0.2">
      <c r="A50" s="36"/>
      <c r="B50" s="14"/>
      <c r="C50" s="14" t="s">
        <v>267</v>
      </c>
      <c r="D50" s="14"/>
      <c r="E50" s="14"/>
      <c r="F50" s="14"/>
      <c r="G50" s="14"/>
      <c r="H50" s="68"/>
      <c r="I50" s="73"/>
      <c r="J50" s="68"/>
    </row>
    <row r="51" spans="1:10" ht="14.25" x14ac:dyDescent="0.2">
      <c r="A51" s="36"/>
      <c r="B51" s="14"/>
      <c r="C51" s="14" t="s">
        <v>83</v>
      </c>
      <c r="D51" s="14"/>
      <c r="E51" s="14"/>
      <c r="F51" s="14"/>
      <c r="G51" s="14"/>
      <c r="H51" s="68" t="e">
        <f>#REF!</f>
        <v>#REF!</v>
      </c>
      <c r="I51" s="73"/>
      <c r="J51" s="68">
        <v>112060</v>
      </c>
    </row>
    <row r="52" spans="1:10" ht="14.25" x14ac:dyDescent="0.2">
      <c r="A52" s="36"/>
      <c r="B52" s="14"/>
      <c r="C52" s="14" t="s">
        <v>46</v>
      </c>
      <c r="D52" s="14"/>
      <c r="E52" s="14"/>
      <c r="F52" s="14"/>
      <c r="G52" s="14"/>
      <c r="H52" s="68" t="e">
        <f>#REF!</f>
        <v>#REF!</v>
      </c>
      <c r="I52" s="73"/>
      <c r="J52" s="68">
        <v>228189</v>
      </c>
    </row>
    <row r="53" spans="1:10" ht="14.25" x14ac:dyDescent="0.2">
      <c r="A53" s="36"/>
      <c r="B53" s="14"/>
      <c r="C53" s="14" t="s">
        <v>268</v>
      </c>
      <c r="D53" s="14"/>
      <c r="E53" s="14"/>
      <c r="F53" s="14"/>
      <c r="G53" s="14"/>
      <c r="H53" s="68"/>
      <c r="I53" s="73"/>
      <c r="J53" s="68"/>
    </row>
    <row r="54" spans="1:10" ht="14.25" x14ac:dyDescent="0.2">
      <c r="A54" s="36"/>
      <c r="B54" s="14"/>
      <c r="C54" s="14" t="s">
        <v>269</v>
      </c>
      <c r="D54" s="14"/>
      <c r="E54" s="14"/>
      <c r="F54" s="14"/>
      <c r="G54" s="14"/>
      <c r="H54" s="68"/>
      <c r="I54" s="73"/>
      <c r="J54" s="68"/>
    </row>
    <row r="55" spans="1:10" ht="14.25" x14ac:dyDescent="0.2">
      <c r="A55" s="36"/>
      <c r="B55" s="14"/>
      <c r="C55" s="14" t="s">
        <v>270</v>
      </c>
      <c r="D55" s="14"/>
      <c r="E55" s="14"/>
      <c r="F55" s="14"/>
      <c r="G55" s="14"/>
      <c r="H55" s="68"/>
      <c r="I55" s="73"/>
      <c r="J55" s="68"/>
    </row>
    <row r="56" spans="1:10" ht="14.25" x14ac:dyDescent="0.2">
      <c r="A56" s="36"/>
      <c r="B56" s="14"/>
      <c r="C56" s="14" t="s">
        <v>271</v>
      </c>
      <c r="D56" s="14"/>
      <c r="E56" s="14"/>
      <c r="F56" s="14"/>
      <c r="G56" s="14"/>
      <c r="H56" s="68"/>
      <c r="I56" s="73"/>
      <c r="J56" s="68"/>
    </row>
    <row r="57" spans="1:10" ht="14.25" x14ac:dyDescent="0.2">
      <c r="A57" s="36"/>
      <c r="B57" s="14"/>
      <c r="C57" s="14" t="s">
        <v>272</v>
      </c>
      <c r="D57" s="14"/>
      <c r="E57" s="14"/>
      <c r="F57" s="14"/>
      <c r="G57" s="14"/>
      <c r="H57" s="68"/>
      <c r="I57" s="73"/>
      <c r="J57" s="68"/>
    </row>
    <row r="58" spans="1:10" ht="14.25" x14ac:dyDescent="0.2">
      <c r="A58" s="36"/>
      <c r="B58" s="14"/>
      <c r="C58" s="14" t="s">
        <v>462</v>
      </c>
      <c r="D58" s="14"/>
      <c r="E58" s="14"/>
      <c r="F58" s="14"/>
      <c r="G58" s="14"/>
      <c r="H58" s="68"/>
      <c r="I58" s="73"/>
      <c r="J58" s="68"/>
    </row>
    <row r="59" spans="1:10" ht="14.25" x14ac:dyDescent="0.2">
      <c r="A59" s="36"/>
      <c r="B59" s="14"/>
      <c r="C59" s="14" t="s">
        <v>463</v>
      </c>
      <c r="D59" s="14"/>
      <c r="E59" s="14"/>
      <c r="F59" s="14"/>
      <c r="G59" s="14"/>
      <c r="H59" s="68" t="e">
        <f>#REF!</f>
        <v>#REF!</v>
      </c>
      <c r="I59" s="73"/>
      <c r="J59" s="68">
        <v>293541</v>
      </c>
    </row>
    <row r="60" spans="1:10" ht="14.25" x14ac:dyDescent="0.2">
      <c r="A60" s="36"/>
      <c r="B60" s="14"/>
      <c r="C60" s="14" t="s">
        <v>464</v>
      </c>
      <c r="D60" s="14"/>
      <c r="E60" s="14"/>
      <c r="F60" s="14"/>
      <c r="G60" s="14"/>
      <c r="H60" s="68"/>
      <c r="I60" s="73"/>
      <c r="J60" s="68"/>
    </row>
    <row r="61" spans="1:10" ht="14.25" x14ac:dyDescent="0.2">
      <c r="A61" s="36"/>
      <c r="B61" s="14"/>
      <c r="C61" s="6" t="s">
        <v>465</v>
      </c>
      <c r="D61" s="14"/>
      <c r="E61" s="14"/>
      <c r="F61" s="14"/>
      <c r="G61" s="14"/>
      <c r="H61" s="75" t="e">
        <f>SUM(H46:H60)</f>
        <v>#REF!</v>
      </c>
      <c r="I61" s="76"/>
      <c r="J61" s="75">
        <f>SUM(J46:J60)</f>
        <v>1405291</v>
      </c>
    </row>
    <row r="62" spans="1:10" ht="14.25" x14ac:dyDescent="0.2">
      <c r="A62" s="36"/>
      <c r="B62" s="6" t="s">
        <v>599</v>
      </c>
      <c r="D62" s="14"/>
      <c r="E62" s="14"/>
      <c r="F62" s="14"/>
      <c r="G62" s="14"/>
      <c r="H62" s="68"/>
      <c r="I62" s="73"/>
      <c r="J62" s="68"/>
    </row>
    <row r="63" spans="1:10" ht="14.25" x14ac:dyDescent="0.2">
      <c r="A63" s="36"/>
      <c r="B63" s="14"/>
      <c r="C63" s="14" t="s">
        <v>466</v>
      </c>
      <c r="D63" s="14"/>
      <c r="E63" s="14"/>
      <c r="F63" s="14"/>
      <c r="G63" s="14"/>
      <c r="H63" s="68"/>
      <c r="I63" s="73"/>
      <c r="J63" s="68"/>
    </row>
    <row r="64" spans="1:10" ht="14.25" x14ac:dyDescent="0.2">
      <c r="A64" s="36"/>
      <c r="B64" s="14"/>
      <c r="C64" s="14" t="s">
        <v>273</v>
      </c>
      <c r="D64" s="14"/>
      <c r="E64" s="14"/>
      <c r="F64" s="14"/>
      <c r="G64" s="14"/>
      <c r="H64" s="68"/>
      <c r="I64" s="73"/>
      <c r="J64" s="68"/>
    </row>
    <row r="65" spans="1:10" ht="14.25" x14ac:dyDescent="0.2">
      <c r="A65" s="92"/>
      <c r="B65" s="66"/>
      <c r="C65" s="66" t="s">
        <v>84</v>
      </c>
      <c r="D65" s="66"/>
      <c r="E65" s="66"/>
      <c r="F65" s="66"/>
      <c r="G65" s="66"/>
      <c r="H65" s="96" t="e">
        <f>#REF!</f>
        <v>#REF!</v>
      </c>
      <c r="I65" s="97"/>
      <c r="J65" s="96">
        <v>158370</v>
      </c>
    </row>
    <row r="66" spans="1:10" ht="14.25" x14ac:dyDescent="0.2">
      <c r="A66" s="71"/>
      <c r="B66" s="58"/>
      <c r="C66" s="58" t="s">
        <v>467</v>
      </c>
      <c r="D66" s="58"/>
      <c r="E66" s="58"/>
      <c r="F66" s="58"/>
      <c r="G66" s="58"/>
      <c r="H66" s="98"/>
      <c r="I66" s="99"/>
      <c r="J66" s="98"/>
    </row>
    <row r="67" spans="1:10" ht="14.25" x14ac:dyDescent="0.2">
      <c r="A67" s="36"/>
      <c r="B67" s="14"/>
      <c r="C67" s="14" t="s">
        <v>274</v>
      </c>
      <c r="D67" s="14"/>
      <c r="E67" s="14"/>
      <c r="F67" s="14"/>
      <c r="G67" s="14"/>
      <c r="H67" s="68"/>
      <c r="I67" s="73"/>
      <c r="J67" s="68"/>
    </row>
    <row r="68" spans="1:10" ht="14.25" x14ac:dyDescent="0.2">
      <c r="A68" s="36"/>
      <c r="B68" s="14"/>
      <c r="C68" s="14" t="s">
        <v>275</v>
      </c>
      <c r="D68" s="14"/>
      <c r="E68" s="14"/>
      <c r="F68" s="14"/>
      <c r="G68" s="14"/>
      <c r="H68" s="68"/>
      <c r="I68" s="73"/>
      <c r="J68" s="68"/>
    </row>
    <row r="69" spans="1:10" ht="14.25" x14ac:dyDescent="0.2">
      <c r="A69" s="36"/>
      <c r="B69" s="14"/>
      <c r="C69" s="14" t="s">
        <v>85</v>
      </c>
      <c r="D69" s="14"/>
      <c r="E69" s="14"/>
      <c r="F69" s="14"/>
      <c r="G69" s="14"/>
      <c r="H69" s="68" t="e">
        <f>#REF!</f>
        <v>#REF!</v>
      </c>
      <c r="I69" s="73"/>
      <c r="J69" s="68">
        <v>732820</v>
      </c>
    </row>
    <row r="70" spans="1:10" ht="14.25" x14ac:dyDescent="0.2">
      <c r="A70" s="36"/>
      <c r="B70" s="14"/>
      <c r="C70" s="14" t="s">
        <v>468</v>
      </c>
      <c r="D70" s="14"/>
      <c r="E70" s="14"/>
      <c r="F70" s="14"/>
      <c r="G70" s="14"/>
      <c r="H70" s="68" t="e">
        <f>#REF!</f>
        <v>#REF!</v>
      </c>
      <c r="I70" s="73"/>
      <c r="J70" s="68">
        <v>288740</v>
      </c>
    </row>
    <row r="71" spans="1:10" ht="14.25" x14ac:dyDescent="0.2">
      <c r="A71" s="36"/>
      <c r="B71" s="14"/>
      <c r="C71" s="14" t="s">
        <v>469</v>
      </c>
      <c r="D71" s="14"/>
      <c r="E71" s="14"/>
      <c r="F71" s="14"/>
      <c r="G71" s="14"/>
      <c r="H71" s="68"/>
      <c r="I71" s="73"/>
      <c r="J71" s="68"/>
    </row>
    <row r="72" spans="1:10" ht="14.25" x14ac:dyDescent="0.2">
      <c r="A72" s="36"/>
      <c r="B72" s="14"/>
      <c r="C72" s="14" t="s">
        <v>470</v>
      </c>
      <c r="D72" s="14"/>
      <c r="E72" s="14"/>
      <c r="F72" s="14"/>
      <c r="G72" s="14"/>
      <c r="H72" s="68"/>
      <c r="I72" s="73"/>
      <c r="J72" s="68"/>
    </row>
    <row r="73" spans="1:10" ht="14.25" x14ac:dyDescent="0.2">
      <c r="A73" s="36"/>
      <c r="B73" s="14"/>
      <c r="C73" s="14" t="s">
        <v>276</v>
      </c>
      <c r="D73" s="14"/>
      <c r="E73" s="14"/>
      <c r="F73" s="14"/>
      <c r="G73" s="14"/>
      <c r="H73" s="68"/>
      <c r="I73" s="73"/>
      <c r="J73" s="68"/>
    </row>
    <row r="74" spans="1:10" ht="14.25" x14ac:dyDescent="0.2">
      <c r="A74" s="36"/>
      <c r="B74" s="14"/>
      <c r="C74" s="14" t="s">
        <v>170</v>
      </c>
      <c r="D74" s="14"/>
      <c r="E74" s="14"/>
      <c r="F74" s="14"/>
      <c r="G74" s="14"/>
      <c r="H74" s="68" t="e">
        <f>#REF!</f>
        <v>#REF!</v>
      </c>
      <c r="I74" s="73"/>
      <c r="J74" s="68">
        <v>25380</v>
      </c>
    </row>
    <row r="75" spans="1:10" ht="14.25" x14ac:dyDescent="0.2">
      <c r="A75" s="36"/>
      <c r="B75" s="14"/>
      <c r="C75" s="14" t="s">
        <v>277</v>
      </c>
      <c r="D75" s="14"/>
      <c r="E75" s="14"/>
      <c r="F75" s="14"/>
      <c r="G75" s="14"/>
      <c r="H75" s="68"/>
      <c r="I75" s="73"/>
      <c r="J75" s="68"/>
    </row>
    <row r="76" spans="1:10" ht="14.25" x14ac:dyDescent="0.2">
      <c r="A76" s="36"/>
      <c r="B76" s="14"/>
      <c r="C76" s="14"/>
      <c r="D76" s="14" t="s">
        <v>257</v>
      </c>
      <c r="E76" s="14"/>
      <c r="F76" s="14"/>
      <c r="G76" s="14"/>
      <c r="H76" s="68"/>
      <c r="I76" s="73"/>
      <c r="J76" s="68"/>
    </row>
    <row r="77" spans="1:10" ht="14.25" x14ac:dyDescent="0.2">
      <c r="A77" s="36"/>
      <c r="B77" s="14"/>
      <c r="C77" s="14" t="s">
        <v>471</v>
      </c>
      <c r="D77" s="14"/>
      <c r="E77" s="14"/>
      <c r="F77" s="14"/>
      <c r="G77" s="14"/>
      <c r="H77" s="68"/>
      <c r="I77" s="73"/>
      <c r="J77" s="68"/>
    </row>
    <row r="78" spans="1:10" ht="14.25" x14ac:dyDescent="0.2">
      <c r="A78" s="36"/>
      <c r="B78" s="14"/>
      <c r="C78" s="14" t="s">
        <v>278</v>
      </c>
      <c r="D78" s="14"/>
      <c r="E78" s="14"/>
      <c r="F78" s="14"/>
      <c r="G78" s="14"/>
      <c r="H78" s="68"/>
      <c r="I78" s="73"/>
      <c r="J78" s="68"/>
    </row>
    <row r="79" spans="1:10" ht="14.25" x14ac:dyDescent="0.2">
      <c r="A79" s="36"/>
      <c r="B79" s="14"/>
      <c r="C79" s="14" t="s">
        <v>185</v>
      </c>
      <c r="D79" s="14"/>
      <c r="E79" s="14"/>
      <c r="F79" s="14"/>
      <c r="G79" s="14"/>
      <c r="H79" s="68" t="str">
        <f>'Schedule FP'!D48</f>
        <v>010</v>
      </c>
      <c r="I79" s="73"/>
      <c r="J79" s="68">
        <v>32630</v>
      </c>
    </row>
    <row r="80" spans="1:10" ht="14.25" x14ac:dyDescent="0.2">
      <c r="A80" s="36"/>
      <c r="B80" s="14"/>
      <c r="C80" s="14" t="s">
        <v>472</v>
      </c>
      <c r="D80" s="14"/>
      <c r="E80" s="14"/>
      <c r="F80" s="14"/>
      <c r="G80" s="14"/>
      <c r="H80" s="68"/>
      <c r="I80" s="73"/>
      <c r="J80" s="68"/>
    </row>
    <row r="81" spans="1:10" ht="14.25" x14ac:dyDescent="0.2">
      <c r="A81" s="36"/>
      <c r="B81" s="14"/>
      <c r="C81" s="6" t="s">
        <v>133</v>
      </c>
      <c r="D81" s="14"/>
      <c r="E81" s="14"/>
      <c r="F81" s="14"/>
      <c r="G81" s="14"/>
      <c r="H81" s="75" t="e">
        <f>SUM(H63:H80)</f>
        <v>#REF!</v>
      </c>
      <c r="I81" s="76"/>
      <c r="J81" s="75">
        <f>SUM(J63:J80)</f>
        <v>1237940</v>
      </c>
    </row>
    <row r="82" spans="1:10" ht="14.25" x14ac:dyDescent="0.2">
      <c r="A82" s="36"/>
      <c r="B82" s="6" t="s">
        <v>600</v>
      </c>
      <c r="D82" s="14"/>
      <c r="E82" s="14"/>
      <c r="F82" s="14"/>
      <c r="G82" s="14"/>
      <c r="H82" s="68"/>
      <c r="I82" s="73"/>
      <c r="J82" s="68"/>
    </row>
    <row r="83" spans="1:10" ht="14.25" x14ac:dyDescent="0.2">
      <c r="A83" s="36"/>
      <c r="B83" s="14"/>
      <c r="C83" s="14" t="s">
        <v>281</v>
      </c>
      <c r="D83" s="14"/>
      <c r="E83" s="14"/>
      <c r="F83" s="14"/>
      <c r="G83" s="14"/>
      <c r="H83" s="68"/>
      <c r="I83" s="73"/>
      <c r="J83" s="68"/>
    </row>
    <row r="84" spans="1:10" ht="14.25" x14ac:dyDescent="0.2">
      <c r="A84" s="36"/>
      <c r="B84" s="14"/>
      <c r="C84" s="14" t="s">
        <v>169</v>
      </c>
      <c r="D84" s="14"/>
      <c r="E84" s="14"/>
      <c r="F84" s="14"/>
      <c r="G84" s="14"/>
      <c r="H84" s="68"/>
      <c r="I84" s="73"/>
      <c r="J84" s="68"/>
    </row>
    <row r="85" spans="1:10" ht="14.25" x14ac:dyDescent="0.2">
      <c r="A85" s="36"/>
      <c r="B85" s="14"/>
      <c r="C85" s="14" t="s">
        <v>282</v>
      </c>
      <c r="D85" s="14"/>
      <c r="E85" s="14"/>
      <c r="F85" s="14"/>
      <c r="G85" s="14"/>
      <c r="H85" s="68"/>
      <c r="I85" s="73"/>
      <c r="J85" s="68"/>
    </row>
    <row r="86" spans="1:10" ht="14.25" x14ac:dyDescent="0.2">
      <c r="A86" s="36"/>
      <c r="B86" s="14"/>
      <c r="C86" s="14" t="s">
        <v>49</v>
      </c>
      <c r="D86" s="14"/>
      <c r="E86" s="14"/>
      <c r="F86" s="14"/>
      <c r="G86" s="14"/>
      <c r="H86" s="68" t="e">
        <f>#REF!</f>
        <v>#REF!</v>
      </c>
      <c r="I86" s="73"/>
      <c r="J86" s="68">
        <v>58352.480000000003</v>
      </c>
    </row>
    <row r="87" spans="1:10" ht="14.25" x14ac:dyDescent="0.2">
      <c r="A87" s="36"/>
      <c r="B87" s="14"/>
      <c r="C87" s="14" t="s">
        <v>283</v>
      </c>
      <c r="D87" s="14"/>
      <c r="E87" s="14"/>
      <c r="F87" s="14"/>
      <c r="G87" s="14"/>
      <c r="H87" s="68"/>
      <c r="I87" s="73"/>
      <c r="J87" s="68"/>
    </row>
    <row r="88" spans="1:10" ht="14.25" x14ac:dyDescent="0.2">
      <c r="A88" s="36"/>
      <c r="B88" s="14"/>
      <c r="C88" s="14" t="s">
        <v>284</v>
      </c>
      <c r="D88" s="14"/>
      <c r="E88" s="14"/>
      <c r="F88" s="14"/>
      <c r="G88" s="14"/>
      <c r="H88" s="68"/>
      <c r="I88" s="73"/>
      <c r="J88" s="68"/>
    </row>
    <row r="89" spans="1:10" ht="14.25" x14ac:dyDescent="0.2">
      <c r="A89" s="36"/>
      <c r="B89" s="14"/>
      <c r="C89" s="14" t="s">
        <v>473</v>
      </c>
      <c r="D89" s="14"/>
      <c r="E89" s="14"/>
      <c r="F89" s="14"/>
      <c r="G89" s="14"/>
      <c r="H89" s="68"/>
      <c r="I89" s="73"/>
      <c r="J89" s="68"/>
    </row>
    <row r="90" spans="1:10" ht="14.25" x14ac:dyDescent="0.2">
      <c r="A90" s="36"/>
      <c r="B90" s="14"/>
      <c r="C90" s="14" t="s">
        <v>285</v>
      </c>
      <c r="D90" s="14"/>
      <c r="E90" s="14"/>
      <c r="F90" s="14"/>
      <c r="G90" s="14"/>
      <c r="H90" s="68"/>
      <c r="I90" s="73"/>
      <c r="J90" s="68"/>
    </row>
    <row r="91" spans="1:10" ht="14.25" x14ac:dyDescent="0.2">
      <c r="A91" s="36"/>
      <c r="B91" s="14"/>
      <c r="C91" s="93" t="s">
        <v>146</v>
      </c>
      <c r="D91" s="93"/>
      <c r="E91" s="93"/>
      <c r="F91" s="93"/>
      <c r="G91" s="93"/>
      <c r="H91" s="94" t="e">
        <f>#REF!</f>
        <v>#REF!</v>
      </c>
      <c r="I91" s="95"/>
      <c r="J91" s="94">
        <v>142167.82</v>
      </c>
    </row>
    <row r="92" spans="1:10" ht="14.25" x14ac:dyDescent="0.2">
      <c r="A92" s="36"/>
      <c r="B92" s="14"/>
      <c r="C92" s="14" t="s">
        <v>474</v>
      </c>
      <c r="D92" s="14"/>
      <c r="E92" s="14"/>
      <c r="F92" s="14"/>
      <c r="G92" s="14"/>
      <c r="H92" s="68"/>
      <c r="I92" s="73"/>
      <c r="J92" s="68"/>
    </row>
    <row r="93" spans="1:10" ht="14.25" x14ac:dyDescent="0.2">
      <c r="A93" s="36"/>
      <c r="B93" s="14"/>
      <c r="C93" s="14" t="s">
        <v>286</v>
      </c>
      <c r="D93" s="14"/>
      <c r="E93" s="14"/>
      <c r="F93" s="14"/>
      <c r="G93" s="14"/>
      <c r="H93" s="68"/>
      <c r="I93" s="73"/>
      <c r="J93" s="68"/>
    </row>
    <row r="94" spans="1:10" ht="14.25" x14ac:dyDescent="0.2">
      <c r="A94" s="36"/>
      <c r="B94" s="14"/>
      <c r="C94" s="14" t="s">
        <v>287</v>
      </c>
      <c r="D94" s="14"/>
      <c r="E94" s="14"/>
      <c r="F94" s="14"/>
      <c r="G94" s="14"/>
      <c r="H94" s="68"/>
      <c r="I94" s="73"/>
      <c r="J94" s="68"/>
    </row>
    <row r="95" spans="1:10" ht="14.25" x14ac:dyDescent="0.2">
      <c r="A95" s="36"/>
      <c r="B95" s="14"/>
      <c r="C95" s="6" t="s">
        <v>134</v>
      </c>
      <c r="D95" s="14"/>
      <c r="E95" s="14"/>
      <c r="F95" s="14"/>
      <c r="G95" s="14"/>
      <c r="H95" s="75" t="e">
        <f>SUM(H83:H94)</f>
        <v>#REF!</v>
      </c>
      <c r="I95" s="76"/>
      <c r="J95" s="75">
        <f>SUM(J83:J94)</f>
        <v>200520.30000000002</v>
      </c>
    </row>
    <row r="96" spans="1:10" ht="14.25" x14ac:dyDescent="0.2">
      <c r="A96" s="36"/>
      <c r="B96" s="6" t="s">
        <v>475</v>
      </c>
      <c r="C96" s="14"/>
      <c r="D96" s="14"/>
      <c r="E96" s="14"/>
      <c r="F96" s="14"/>
      <c r="G96" s="14"/>
      <c r="H96" s="67" t="e">
        <f>H32+H34+H44+H61+H81+H95</f>
        <v>#REF!</v>
      </c>
      <c r="I96" s="76"/>
      <c r="J96" s="67">
        <f>J32+J34+J44+J61+J81+J95</f>
        <v>87676298.640000001</v>
      </c>
    </row>
    <row r="97" spans="1:10" ht="14.25" x14ac:dyDescent="0.2">
      <c r="A97" s="41" t="s">
        <v>476</v>
      </c>
      <c r="B97" s="14"/>
      <c r="C97" s="14"/>
      <c r="D97" s="14"/>
      <c r="E97" s="14"/>
      <c r="F97" s="14"/>
      <c r="G97" s="14"/>
      <c r="H97" s="74"/>
      <c r="I97" s="73"/>
      <c r="J97" s="74"/>
    </row>
    <row r="98" spans="1:10" ht="14.25" x14ac:dyDescent="0.2">
      <c r="A98" s="36"/>
      <c r="B98" s="6" t="s">
        <v>477</v>
      </c>
      <c r="C98" s="14"/>
      <c r="D98" s="14"/>
      <c r="E98" s="14"/>
      <c r="F98" s="14"/>
      <c r="G98" s="14"/>
      <c r="H98" s="74"/>
      <c r="I98" s="73"/>
      <c r="J98" s="74"/>
    </row>
    <row r="99" spans="1:10" ht="14.25" x14ac:dyDescent="0.2">
      <c r="A99" s="36"/>
      <c r="B99" s="14"/>
      <c r="C99" s="6" t="s">
        <v>478</v>
      </c>
      <c r="D99" s="14"/>
      <c r="E99" s="14"/>
      <c r="F99" s="14"/>
      <c r="G99" s="14"/>
      <c r="H99" s="74"/>
      <c r="I99" s="73"/>
      <c r="J99" s="74"/>
    </row>
    <row r="100" spans="1:10" ht="14.25" x14ac:dyDescent="0.2">
      <c r="A100" s="36"/>
      <c r="B100" s="14"/>
      <c r="C100" s="14"/>
      <c r="D100" s="14" t="s">
        <v>479</v>
      </c>
      <c r="E100" s="14"/>
      <c r="F100" s="14"/>
      <c r="G100" s="14"/>
      <c r="H100" s="69" t="e">
        <f>#REF!</f>
        <v>#REF!</v>
      </c>
      <c r="I100" s="73"/>
      <c r="J100" s="69">
        <v>33625968.740000002</v>
      </c>
    </row>
    <row r="101" spans="1:10" ht="14.25" x14ac:dyDescent="0.2">
      <c r="A101" s="36"/>
      <c r="B101" s="14"/>
      <c r="C101" s="14"/>
      <c r="D101" s="14" t="s">
        <v>480</v>
      </c>
      <c r="E101" s="14"/>
      <c r="F101" s="14"/>
      <c r="G101" s="14"/>
      <c r="H101" s="69"/>
      <c r="I101" s="73"/>
      <c r="J101" s="69"/>
    </row>
    <row r="102" spans="1:10" ht="14.25" x14ac:dyDescent="0.2">
      <c r="A102" s="36"/>
      <c r="B102" s="14"/>
      <c r="C102" s="14"/>
      <c r="D102" s="14" t="s">
        <v>481</v>
      </c>
      <c r="E102" s="14"/>
      <c r="F102" s="14"/>
      <c r="G102" s="14"/>
      <c r="H102" s="69"/>
      <c r="I102" s="73"/>
      <c r="J102" s="69"/>
    </row>
    <row r="103" spans="1:10" ht="14.25" x14ac:dyDescent="0.2">
      <c r="A103" s="36"/>
      <c r="B103" s="14"/>
      <c r="C103" s="14"/>
      <c r="D103" s="14" t="s">
        <v>482</v>
      </c>
      <c r="E103" s="14"/>
      <c r="F103" s="14"/>
      <c r="G103" s="14"/>
      <c r="H103" s="69"/>
      <c r="I103" s="73"/>
      <c r="J103" s="69"/>
    </row>
    <row r="104" spans="1:10" ht="14.25" x14ac:dyDescent="0.2">
      <c r="A104" s="36"/>
      <c r="B104" s="14"/>
      <c r="C104" s="14"/>
      <c r="D104" s="14" t="s">
        <v>483</v>
      </c>
      <c r="E104" s="14"/>
      <c r="F104" s="14"/>
      <c r="G104" s="14"/>
      <c r="H104" s="69" t="e">
        <f>#REF!</f>
        <v>#REF!</v>
      </c>
      <c r="I104" s="73"/>
      <c r="J104" s="69">
        <v>4014741.28</v>
      </c>
    </row>
    <row r="105" spans="1:10" ht="14.25" x14ac:dyDescent="0.2">
      <c r="A105" s="36"/>
      <c r="B105" s="14"/>
      <c r="C105" s="14"/>
      <c r="D105" s="14" t="s">
        <v>484</v>
      </c>
      <c r="E105" s="14"/>
      <c r="F105" s="14"/>
      <c r="G105" s="14"/>
      <c r="H105" s="69" t="e">
        <f>#REF!</f>
        <v>#REF!</v>
      </c>
      <c r="I105" s="73"/>
      <c r="J105" s="69">
        <v>4554319.34</v>
      </c>
    </row>
    <row r="106" spans="1:10" ht="14.25" x14ac:dyDescent="0.2">
      <c r="A106" s="36"/>
      <c r="B106" s="14"/>
      <c r="C106" s="14"/>
      <c r="D106" s="14" t="s">
        <v>485</v>
      </c>
      <c r="E106" s="14"/>
      <c r="F106" s="14"/>
      <c r="G106" s="14"/>
      <c r="H106" s="69" t="e">
        <f>#REF!</f>
        <v>#REF!</v>
      </c>
      <c r="I106" s="73"/>
      <c r="J106" s="69"/>
    </row>
    <row r="107" spans="1:10" ht="14.25" x14ac:dyDescent="0.2">
      <c r="A107" s="36"/>
      <c r="B107" s="14"/>
      <c r="C107" s="6" t="s">
        <v>486</v>
      </c>
      <c r="D107" s="14"/>
      <c r="E107" s="14"/>
      <c r="F107" s="14"/>
      <c r="G107" s="14"/>
      <c r="H107" s="69"/>
      <c r="I107" s="73"/>
      <c r="J107" s="69"/>
    </row>
    <row r="108" spans="1:10" ht="14.25" x14ac:dyDescent="0.2">
      <c r="A108" s="36"/>
      <c r="B108" s="14"/>
      <c r="C108" s="14"/>
      <c r="D108" s="14" t="s">
        <v>52</v>
      </c>
      <c r="E108" s="14"/>
      <c r="F108" s="14"/>
      <c r="G108" s="14"/>
      <c r="H108" s="69" t="e">
        <f>#REF!</f>
        <v>#REF!</v>
      </c>
      <c r="I108" s="73"/>
      <c r="J108" s="69">
        <v>5949004.5</v>
      </c>
    </row>
    <row r="109" spans="1:10" ht="14.25" x14ac:dyDescent="0.2">
      <c r="A109" s="36"/>
      <c r="B109" s="14"/>
      <c r="C109" s="14"/>
      <c r="D109" s="14" t="s">
        <v>71</v>
      </c>
      <c r="E109" s="14"/>
      <c r="F109" s="14"/>
      <c r="G109" s="14"/>
      <c r="H109" s="69"/>
      <c r="I109" s="73"/>
      <c r="J109" s="69"/>
    </row>
    <row r="110" spans="1:10" ht="14.25" x14ac:dyDescent="0.2">
      <c r="A110" s="36"/>
      <c r="B110" s="14"/>
      <c r="C110" s="14"/>
      <c r="D110" s="14" t="s">
        <v>58</v>
      </c>
      <c r="E110" s="14"/>
      <c r="F110" s="14"/>
      <c r="G110" s="14"/>
      <c r="H110" s="69" t="e">
        <f>#REF!</f>
        <v>#REF!</v>
      </c>
      <c r="I110" s="73"/>
      <c r="J110" s="69">
        <v>1863200</v>
      </c>
    </row>
    <row r="111" spans="1:10" ht="14.25" x14ac:dyDescent="0.2">
      <c r="A111" s="36"/>
      <c r="B111" s="14"/>
      <c r="C111" s="14"/>
      <c r="D111" s="14" t="s">
        <v>59</v>
      </c>
      <c r="E111" s="14"/>
      <c r="F111" s="14"/>
      <c r="G111" s="14"/>
      <c r="H111" s="69" t="e">
        <f>#REF!</f>
        <v>#REF!</v>
      </c>
      <c r="I111" s="73"/>
      <c r="J111" s="69">
        <v>1863200</v>
      </c>
    </row>
    <row r="112" spans="1:10" ht="14.25" x14ac:dyDescent="0.2">
      <c r="A112" s="36"/>
      <c r="B112" s="14"/>
      <c r="C112" s="14"/>
      <c r="D112" s="14" t="s">
        <v>19</v>
      </c>
      <c r="E112" s="14"/>
      <c r="F112" s="14"/>
      <c r="G112" s="14"/>
      <c r="H112" s="69" t="e">
        <f>#REF!</f>
        <v>#REF!</v>
      </c>
      <c r="I112" s="73"/>
      <c r="J112" s="69">
        <v>1110000</v>
      </c>
    </row>
    <row r="113" spans="1:10" ht="14.25" x14ac:dyDescent="0.2">
      <c r="A113" s="36"/>
      <c r="B113" s="14"/>
      <c r="C113" s="14"/>
      <c r="D113" s="14" t="s">
        <v>487</v>
      </c>
      <c r="E113" s="14"/>
      <c r="F113" s="14"/>
      <c r="G113" s="14"/>
      <c r="H113" s="69" t="e">
        <f>#REF!</f>
        <v>#REF!</v>
      </c>
      <c r="I113" s="73"/>
      <c r="J113" s="69">
        <v>373494</v>
      </c>
    </row>
    <row r="114" spans="1:10" ht="14.25" x14ac:dyDescent="0.2">
      <c r="A114" s="36"/>
      <c r="B114" s="14"/>
      <c r="C114" s="14"/>
      <c r="D114" s="14" t="s">
        <v>20</v>
      </c>
      <c r="E114" s="14"/>
      <c r="F114" s="14"/>
      <c r="G114" s="14"/>
      <c r="H114" s="69" t="e">
        <f>#REF!</f>
        <v>#REF!</v>
      </c>
      <c r="I114" s="73"/>
      <c r="J114" s="69">
        <v>670500</v>
      </c>
    </row>
    <row r="115" spans="1:10" ht="14.25" x14ac:dyDescent="0.2">
      <c r="A115" s="36"/>
      <c r="B115" s="14"/>
      <c r="C115" s="14"/>
      <c r="D115" s="14" t="s">
        <v>488</v>
      </c>
      <c r="E115" s="14"/>
      <c r="F115" s="14"/>
      <c r="G115" s="14"/>
      <c r="H115" s="69" t="e">
        <f>#REF!</f>
        <v>#REF!</v>
      </c>
      <c r="I115" s="73"/>
      <c r="J115" s="69">
        <v>10000</v>
      </c>
    </row>
    <row r="116" spans="1:10" ht="14.25" x14ac:dyDescent="0.2">
      <c r="A116" s="36"/>
      <c r="B116" s="14"/>
      <c r="C116" s="14"/>
      <c r="D116" s="14" t="s">
        <v>21</v>
      </c>
      <c r="E116" s="14"/>
      <c r="F116" s="14"/>
      <c r="G116" s="14"/>
      <c r="H116" s="69" t="e">
        <f>#REF!</f>
        <v>#REF!</v>
      </c>
      <c r="I116" s="73"/>
      <c r="J116" s="69">
        <v>190422.3</v>
      </c>
    </row>
    <row r="117" spans="1:10" ht="14.25" x14ac:dyDescent="0.2">
      <c r="A117" s="36"/>
      <c r="B117" s="14"/>
      <c r="C117" s="14"/>
      <c r="D117" s="14" t="s">
        <v>139</v>
      </c>
      <c r="E117" s="14"/>
      <c r="F117" s="14"/>
      <c r="G117" s="14"/>
      <c r="H117" s="69" t="e">
        <f>#REF!</f>
        <v>#REF!</v>
      </c>
      <c r="I117" s="73"/>
      <c r="J117" s="69">
        <v>783036.32</v>
      </c>
    </row>
    <row r="118" spans="1:10" ht="14.25" x14ac:dyDescent="0.2">
      <c r="A118" s="36"/>
      <c r="B118" s="14"/>
      <c r="C118" s="14"/>
      <c r="D118" s="14" t="s">
        <v>22</v>
      </c>
      <c r="E118" s="14"/>
      <c r="F118" s="14"/>
      <c r="G118" s="14"/>
      <c r="H118" s="69" t="e">
        <f>#REF!</f>
        <v>#REF!</v>
      </c>
      <c r="I118" s="73"/>
      <c r="J118" s="69">
        <v>55000</v>
      </c>
    </row>
    <row r="119" spans="1:10" ht="14.25" x14ac:dyDescent="0.2">
      <c r="A119" s="36"/>
      <c r="B119" s="14"/>
      <c r="C119" s="14"/>
      <c r="D119" s="14" t="s">
        <v>140</v>
      </c>
      <c r="E119" s="14"/>
      <c r="F119" s="14"/>
      <c r="G119" s="14"/>
      <c r="H119" s="69" t="e">
        <f>#REF!</f>
        <v>#REF!</v>
      </c>
      <c r="I119" s="73"/>
      <c r="J119" s="69">
        <v>48303.15</v>
      </c>
    </row>
    <row r="120" spans="1:10" ht="14.25" x14ac:dyDescent="0.2">
      <c r="A120" s="36"/>
      <c r="B120" s="14"/>
      <c r="C120" s="14"/>
      <c r="D120" s="14" t="s">
        <v>23</v>
      </c>
      <c r="E120" s="14"/>
      <c r="F120" s="14"/>
      <c r="G120" s="14"/>
      <c r="H120" s="69" t="e">
        <f>#REF!</f>
        <v>#REF!</v>
      </c>
      <c r="I120" s="73"/>
      <c r="J120" s="69">
        <v>1088875</v>
      </c>
    </row>
    <row r="121" spans="1:10" ht="14.25" x14ac:dyDescent="0.2">
      <c r="A121" s="36"/>
      <c r="B121" s="14"/>
      <c r="C121" s="14"/>
      <c r="D121" s="14" t="s">
        <v>24</v>
      </c>
      <c r="E121" s="14"/>
      <c r="F121" s="14"/>
      <c r="G121" s="14"/>
      <c r="H121" s="69" t="e">
        <f>#REF!</f>
        <v>#REF!</v>
      </c>
      <c r="I121" s="73"/>
      <c r="J121" s="69">
        <v>3210456.52</v>
      </c>
    </row>
    <row r="122" spans="1:10" ht="14.25" x14ac:dyDescent="0.2">
      <c r="A122" s="36"/>
      <c r="B122" s="14"/>
      <c r="C122" s="6" t="s">
        <v>489</v>
      </c>
      <c r="D122" s="14"/>
      <c r="E122" s="14"/>
      <c r="F122" s="14"/>
      <c r="G122" s="14"/>
      <c r="H122" s="69"/>
      <c r="I122" s="73"/>
      <c r="J122" s="69"/>
    </row>
    <row r="123" spans="1:10" ht="14.25" x14ac:dyDescent="0.2">
      <c r="A123" s="36"/>
      <c r="B123" s="14"/>
      <c r="C123" s="14"/>
      <c r="D123" s="14" t="s">
        <v>192</v>
      </c>
      <c r="E123" s="14"/>
      <c r="F123" s="14"/>
      <c r="G123" s="14"/>
      <c r="H123" s="69" t="e">
        <f>#REF!</f>
        <v>#REF!</v>
      </c>
      <c r="I123" s="73"/>
      <c r="J123" s="69">
        <v>4035742.1</v>
      </c>
    </row>
    <row r="124" spans="1:10" ht="14.25" x14ac:dyDescent="0.2">
      <c r="A124" s="36"/>
      <c r="B124" s="14"/>
      <c r="C124" s="14"/>
      <c r="D124" s="14" t="s">
        <v>60</v>
      </c>
      <c r="E124" s="14"/>
      <c r="F124" s="14"/>
      <c r="G124" s="14"/>
      <c r="H124" s="69" t="e">
        <f>#REF!</f>
        <v>#REF!</v>
      </c>
      <c r="I124" s="73"/>
      <c r="J124" s="69">
        <v>168150</v>
      </c>
    </row>
    <row r="125" spans="1:10" ht="14.25" x14ac:dyDescent="0.2">
      <c r="A125" s="36"/>
      <c r="B125" s="14"/>
      <c r="C125" s="14"/>
      <c r="D125" s="14" t="s">
        <v>193</v>
      </c>
      <c r="E125" s="14"/>
      <c r="F125" s="14"/>
      <c r="G125" s="14"/>
      <c r="H125" s="69" t="e">
        <f>#REF!</f>
        <v>#REF!</v>
      </c>
      <c r="I125" s="73"/>
      <c r="J125" s="69">
        <v>340562.54</v>
      </c>
    </row>
    <row r="126" spans="1:10" ht="14.25" x14ac:dyDescent="0.2">
      <c r="A126" s="36"/>
      <c r="B126" s="14"/>
      <c r="C126" s="14"/>
      <c r="D126" s="14" t="s">
        <v>191</v>
      </c>
      <c r="E126" s="14"/>
      <c r="F126" s="14"/>
      <c r="G126" s="14"/>
      <c r="H126" s="69" t="e">
        <f>#REF!</f>
        <v>#REF!</v>
      </c>
      <c r="I126" s="73"/>
      <c r="J126" s="69">
        <v>207821.74</v>
      </c>
    </row>
    <row r="127" spans="1:10" ht="14.25" x14ac:dyDescent="0.2">
      <c r="A127" s="36"/>
      <c r="B127" s="14"/>
      <c r="C127" s="6" t="s">
        <v>26</v>
      </c>
      <c r="D127" s="14"/>
      <c r="E127" s="14"/>
      <c r="F127" s="14"/>
      <c r="G127" s="14"/>
      <c r="H127" s="69"/>
      <c r="I127" s="73"/>
      <c r="J127" s="69"/>
    </row>
    <row r="128" spans="1:10" ht="14.25" x14ac:dyDescent="0.2">
      <c r="A128" s="36"/>
      <c r="B128" s="14"/>
      <c r="C128" s="14"/>
      <c r="D128" s="14" t="s">
        <v>490</v>
      </c>
      <c r="E128" s="14"/>
      <c r="F128" s="14"/>
      <c r="G128" s="14"/>
      <c r="H128" s="69"/>
      <c r="I128" s="73"/>
      <c r="J128" s="69"/>
    </row>
    <row r="129" spans="1:10" ht="14.25" x14ac:dyDescent="0.2">
      <c r="A129" s="92"/>
      <c r="B129" s="66"/>
      <c r="C129" s="66"/>
      <c r="D129" s="66" t="s">
        <v>491</v>
      </c>
      <c r="E129" s="66"/>
      <c r="F129" s="66"/>
      <c r="G129" s="66"/>
      <c r="H129" s="100"/>
      <c r="I129" s="97"/>
      <c r="J129" s="100"/>
    </row>
    <row r="130" spans="1:10" ht="14.25" x14ac:dyDescent="0.2">
      <c r="A130" s="71"/>
      <c r="B130" s="58"/>
      <c r="C130" s="58"/>
      <c r="D130" s="58" t="s">
        <v>25</v>
      </c>
      <c r="E130" s="58"/>
      <c r="F130" s="58"/>
      <c r="G130" s="58"/>
      <c r="H130" s="101" t="e">
        <f>#REF!</f>
        <v>#REF!</v>
      </c>
      <c r="I130" s="99"/>
      <c r="J130" s="101">
        <v>1288244.71</v>
      </c>
    </row>
    <row r="131" spans="1:10" ht="14.25" x14ac:dyDescent="0.2">
      <c r="A131" s="36"/>
      <c r="B131" s="14"/>
      <c r="C131" s="14"/>
      <c r="D131" s="14" t="s">
        <v>187</v>
      </c>
      <c r="E131" s="14"/>
      <c r="F131" s="14"/>
      <c r="G131" s="14"/>
      <c r="H131" s="69"/>
      <c r="I131" s="73"/>
      <c r="J131" s="69"/>
    </row>
    <row r="132" spans="1:10" ht="14.25" x14ac:dyDescent="0.2">
      <c r="A132" s="36"/>
      <c r="B132" s="14"/>
      <c r="C132" s="14"/>
      <c r="D132" s="14" t="s">
        <v>26</v>
      </c>
      <c r="E132" s="14"/>
      <c r="F132" s="14"/>
      <c r="G132" s="14"/>
      <c r="H132" s="69" t="e">
        <f>#REF!</f>
        <v>#REF!</v>
      </c>
      <c r="I132" s="73"/>
      <c r="J132" s="69">
        <v>490204</v>
      </c>
    </row>
    <row r="133" spans="1:10" ht="14.25" x14ac:dyDescent="0.2">
      <c r="A133" s="36"/>
      <c r="B133" s="14"/>
      <c r="C133" s="6" t="s">
        <v>492</v>
      </c>
      <c r="D133" s="14"/>
      <c r="E133" s="14"/>
      <c r="F133" s="14"/>
      <c r="G133" s="14"/>
      <c r="H133" s="67" t="e">
        <f>SUM(H100:H132)</f>
        <v>#REF!</v>
      </c>
      <c r="I133" s="76"/>
      <c r="J133" s="67">
        <f>SUM(J100:J132)</f>
        <v>65941246.240000002</v>
      </c>
    </row>
    <row r="134" spans="1:10" ht="14.25" x14ac:dyDescent="0.2">
      <c r="A134" s="36"/>
      <c r="B134" s="6" t="s">
        <v>493</v>
      </c>
      <c r="C134" s="14"/>
      <c r="D134" s="14"/>
      <c r="E134" s="14"/>
      <c r="F134" s="14"/>
      <c r="G134" s="14"/>
      <c r="H134" s="74"/>
      <c r="I134" s="73"/>
      <c r="J134" s="74"/>
    </row>
    <row r="135" spans="1:10" ht="14.25" x14ac:dyDescent="0.2">
      <c r="A135" s="36"/>
      <c r="B135" s="14"/>
      <c r="C135" s="6" t="s">
        <v>494</v>
      </c>
      <c r="D135" s="14"/>
      <c r="E135" s="14"/>
      <c r="F135" s="14"/>
      <c r="G135" s="14"/>
      <c r="H135" s="69"/>
      <c r="I135" s="73"/>
      <c r="J135" s="69"/>
    </row>
    <row r="136" spans="1:10" ht="14.25" x14ac:dyDescent="0.2">
      <c r="A136" s="36"/>
      <c r="B136" s="14"/>
      <c r="C136" s="14"/>
      <c r="D136" s="14" t="s">
        <v>495</v>
      </c>
      <c r="E136" s="14"/>
      <c r="F136" s="14"/>
      <c r="G136" s="14"/>
      <c r="H136" s="69" t="e">
        <f>#REF!</f>
        <v>#REF!</v>
      </c>
      <c r="I136" s="73"/>
      <c r="J136" s="69">
        <v>887967.28</v>
      </c>
    </row>
    <row r="137" spans="1:10" ht="14.25" x14ac:dyDescent="0.2">
      <c r="A137" s="36"/>
      <c r="B137" s="14"/>
      <c r="C137" s="14"/>
      <c r="D137" s="14" t="s">
        <v>496</v>
      </c>
      <c r="E137" s="14"/>
      <c r="F137" s="14"/>
      <c r="G137" s="14"/>
      <c r="H137" s="69"/>
      <c r="I137" s="73"/>
      <c r="J137" s="69"/>
    </row>
    <row r="138" spans="1:10" ht="14.25" x14ac:dyDescent="0.2">
      <c r="A138" s="36"/>
      <c r="B138" s="14"/>
      <c r="C138" s="6" t="s">
        <v>497</v>
      </c>
      <c r="D138" s="14"/>
      <c r="E138" s="14"/>
      <c r="F138" s="14"/>
      <c r="G138" s="14"/>
      <c r="H138" s="69"/>
      <c r="I138" s="73"/>
      <c r="J138" s="69"/>
    </row>
    <row r="139" spans="1:10" ht="14.25" x14ac:dyDescent="0.2">
      <c r="A139" s="36"/>
      <c r="B139" s="14"/>
      <c r="C139" s="14"/>
      <c r="D139" s="14" t="s">
        <v>27</v>
      </c>
      <c r="E139" s="14"/>
      <c r="F139" s="14"/>
      <c r="G139" s="14"/>
      <c r="H139" s="69" t="e">
        <f>#REF!</f>
        <v>#REF!</v>
      </c>
      <c r="I139" s="73"/>
      <c r="J139" s="69">
        <v>419100</v>
      </c>
    </row>
    <row r="140" spans="1:10" ht="14.25" x14ac:dyDescent="0.2">
      <c r="A140" s="36"/>
      <c r="B140" s="14"/>
      <c r="C140" s="14"/>
      <c r="D140" s="14" t="s">
        <v>289</v>
      </c>
      <c r="E140" s="14"/>
      <c r="F140" s="14"/>
      <c r="G140" s="14"/>
      <c r="H140" s="69"/>
      <c r="I140" s="73"/>
      <c r="J140" s="69"/>
    </row>
    <row r="141" spans="1:10" ht="14.25" x14ac:dyDescent="0.2">
      <c r="A141" s="36"/>
      <c r="B141" s="14"/>
      <c r="C141" s="6" t="s">
        <v>498</v>
      </c>
      <c r="D141" s="14"/>
      <c r="E141" s="14"/>
      <c r="F141" s="14"/>
      <c r="G141" s="14"/>
      <c r="H141" s="69"/>
      <c r="I141" s="73"/>
      <c r="J141" s="69"/>
    </row>
    <row r="142" spans="1:10" ht="14.25" x14ac:dyDescent="0.2">
      <c r="A142" s="36"/>
      <c r="B142" s="14"/>
      <c r="C142" s="14"/>
      <c r="D142" s="14" t="s">
        <v>28</v>
      </c>
      <c r="E142" s="14"/>
      <c r="F142" s="14"/>
      <c r="G142" s="14"/>
      <c r="H142" s="69" t="e">
        <f>#REF!</f>
        <v>#REF!</v>
      </c>
      <c r="I142" s="73"/>
      <c r="J142" s="69">
        <v>509689.05</v>
      </c>
    </row>
    <row r="143" spans="1:10" ht="14.25" x14ac:dyDescent="0.2">
      <c r="A143" s="36"/>
      <c r="B143" s="14"/>
      <c r="C143" s="14"/>
      <c r="D143" s="14" t="s">
        <v>61</v>
      </c>
      <c r="E143" s="14"/>
      <c r="F143" s="14"/>
      <c r="G143" s="14"/>
      <c r="H143" s="69" t="e">
        <f>#REF!</f>
        <v>#REF!</v>
      </c>
      <c r="I143" s="73"/>
      <c r="J143" s="69">
        <v>88270</v>
      </c>
    </row>
    <row r="144" spans="1:10" ht="14.25" x14ac:dyDescent="0.2">
      <c r="A144" s="36"/>
      <c r="B144" s="14"/>
      <c r="C144" s="14"/>
      <c r="D144" s="14" t="s">
        <v>290</v>
      </c>
      <c r="E144" s="14"/>
      <c r="F144" s="14"/>
      <c r="G144" s="14"/>
      <c r="H144" s="69"/>
      <c r="I144" s="73"/>
      <c r="J144" s="69"/>
    </row>
    <row r="145" spans="1:10" ht="14.25" x14ac:dyDescent="0.2">
      <c r="A145" s="36"/>
      <c r="B145" s="14"/>
      <c r="C145" s="14"/>
      <c r="D145" s="14" t="s">
        <v>291</v>
      </c>
      <c r="E145" s="14"/>
      <c r="F145" s="14"/>
      <c r="G145" s="14"/>
      <c r="H145" s="69"/>
      <c r="I145" s="73"/>
      <c r="J145" s="69"/>
    </row>
    <row r="146" spans="1:10" ht="14.25" x14ac:dyDescent="0.2">
      <c r="A146" s="36"/>
      <c r="B146" s="14"/>
      <c r="C146" s="14"/>
      <c r="D146" s="14" t="s">
        <v>62</v>
      </c>
      <c r="E146" s="14"/>
      <c r="F146" s="14"/>
      <c r="G146" s="14"/>
      <c r="H146" s="69" t="e">
        <f>#REF!</f>
        <v>#REF!</v>
      </c>
      <c r="I146" s="73"/>
      <c r="J146" s="69">
        <v>199223.2</v>
      </c>
    </row>
    <row r="147" spans="1:10" ht="14.25" x14ac:dyDescent="0.2">
      <c r="A147" s="36"/>
      <c r="B147" s="14"/>
      <c r="C147" s="14"/>
      <c r="D147" s="14" t="s">
        <v>292</v>
      </c>
      <c r="E147" s="14"/>
      <c r="F147" s="14"/>
      <c r="G147" s="14"/>
      <c r="H147" s="69" t="e">
        <f>'Schedule FP'!#REF!</f>
        <v>#REF!</v>
      </c>
      <c r="I147" s="73"/>
      <c r="J147" s="69">
        <v>2690</v>
      </c>
    </row>
    <row r="148" spans="1:10" ht="14.25" x14ac:dyDescent="0.2">
      <c r="A148" s="36"/>
      <c r="B148" s="14"/>
      <c r="C148" s="14"/>
      <c r="D148" s="14" t="s">
        <v>499</v>
      </c>
      <c r="E148" s="14"/>
      <c r="F148" s="14"/>
      <c r="G148" s="14"/>
      <c r="H148" s="69" t="e">
        <f>#REF!</f>
        <v>#REF!</v>
      </c>
      <c r="I148" s="73"/>
      <c r="J148" s="69">
        <v>712460.11</v>
      </c>
    </row>
    <row r="149" spans="1:10" ht="14.25" x14ac:dyDescent="0.2">
      <c r="A149" s="36"/>
      <c r="B149" s="14"/>
      <c r="C149" s="14"/>
      <c r="D149" s="14" t="s">
        <v>29</v>
      </c>
      <c r="E149" s="14"/>
      <c r="F149" s="14"/>
      <c r="G149" s="14"/>
      <c r="H149" s="69" t="e">
        <f>#REF!</f>
        <v>#REF!</v>
      </c>
      <c r="I149" s="73"/>
      <c r="J149" s="69">
        <v>78235.100000000006</v>
      </c>
    </row>
    <row r="150" spans="1:10" ht="14.25" x14ac:dyDescent="0.2">
      <c r="A150" s="36"/>
      <c r="B150" s="14"/>
      <c r="C150" s="14"/>
      <c r="D150" s="14" t="s">
        <v>293</v>
      </c>
      <c r="E150" s="14"/>
      <c r="F150" s="14"/>
      <c r="G150" s="14"/>
      <c r="H150" s="69"/>
      <c r="I150" s="73"/>
      <c r="J150" s="69"/>
    </row>
    <row r="151" spans="1:10" ht="14.25" x14ac:dyDescent="0.2">
      <c r="A151" s="36"/>
      <c r="B151" s="14"/>
      <c r="C151" s="14"/>
      <c r="D151" s="14" t="s">
        <v>294</v>
      </c>
      <c r="E151" s="14"/>
      <c r="F151" s="14"/>
      <c r="G151" s="14"/>
      <c r="H151" s="69"/>
      <c r="I151" s="73"/>
      <c r="J151" s="69"/>
    </row>
    <row r="152" spans="1:10" ht="14.25" x14ac:dyDescent="0.2">
      <c r="A152" s="36"/>
      <c r="B152" s="14"/>
      <c r="C152" s="14"/>
      <c r="D152" s="14" t="s">
        <v>30</v>
      </c>
      <c r="E152" s="14"/>
      <c r="F152" s="14"/>
      <c r="G152" s="14"/>
      <c r="H152" s="69" t="e">
        <f>#REF!</f>
        <v>#REF!</v>
      </c>
      <c r="I152" s="73"/>
      <c r="J152" s="69">
        <v>1077905.03</v>
      </c>
    </row>
    <row r="153" spans="1:10" ht="14.25" x14ac:dyDescent="0.2">
      <c r="A153" s="36"/>
      <c r="B153" s="14"/>
      <c r="C153" s="6" t="s">
        <v>500</v>
      </c>
      <c r="D153" s="14"/>
      <c r="E153" s="14"/>
      <c r="F153" s="14"/>
      <c r="G153" s="14"/>
      <c r="H153" s="69"/>
      <c r="I153" s="73"/>
      <c r="J153" s="69"/>
    </row>
    <row r="154" spans="1:10" ht="14.25" x14ac:dyDescent="0.2">
      <c r="A154" s="36"/>
      <c r="B154" s="14"/>
      <c r="D154" s="14" t="s">
        <v>72</v>
      </c>
      <c r="E154" s="14"/>
      <c r="F154" s="14"/>
      <c r="G154" s="14"/>
      <c r="H154" s="69" t="e">
        <f>#REF!</f>
        <v>#REF!</v>
      </c>
      <c r="I154" s="73"/>
      <c r="J154" s="69">
        <v>107208.77</v>
      </c>
    </row>
    <row r="155" spans="1:10" ht="14.25" x14ac:dyDescent="0.2">
      <c r="A155" s="36"/>
      <c r="B155" s="14"/>
      <c r="C155" s="14"/>
      <c r="D155" s="14" t="s">
        <v>63</v>
      </c>
      <c r="E155" s="14"/>
      <c r="F155" s="14"/>
      <c r="G155" s="14"/>
      <c r="H155" s="69" t="e">
        <f>#REF!</f>
        <v>#REF!</v>
      </c>
      <c r="I155" s="73"/>
      <c r="J155" s="69">
        <v>763119.45</v>
      </c>
    </row>
    <row r="156" spans="1:10" ht="14.25" x14ac:dyDescent="0.2">
      <c r="A156" s="36"/>
      <c r="B156" s="14"/>
      <c r="C156" s="14"/>
      <c r="D156" s="14" t="s">
        <v>295</v>
      </c>
      <c r="E156" s="14"/>
      <c r="F156" s="14"/>
      <c r="G156" s="14"/>
      <c r="H156" s="69"/>
      <c r="I156" s="73"/>
      <c r="J156" s="69"/>
    </row>
    <row r="157" spans="1:10" ht="14.25" x14ac:dyDescent="0.2">
      <c r="A157" s="36"/>
      <c r="B157" s="14"/>
      <c r="C157" s="6" t="s">
        <v>501</v>
      </c>
      <c r="D157" s="14"/>
      <c r="E157" s="14"/>
      <c r="F157" s="14"/>
      <c r="G157" s="14"/>
      <c r="H157" s="69"/>
      <c r="I157" s="73"/>
      <c r="J157" s="69"/>
    </row>
    <row r="158" spans="1:10" ht="14.25" x14ac:dyDescent="0.2">
      <c r="A158" s="36"/>
      <c r="B158" s="14"/>
      <c r="C158" s="14"/>
      <c r="D158" s="14" t="s">
        <v>73</v>
      </c>
      <c r="E158" s="14"/>
      <c r="F158" s="14"/>
      <c r="G158" s="14"/>
      <c r="H158" s="69" t="e">
        <f>#REF!</f>
        <v>#REF!</v>
      </c>
      <c r="I158" s="73"/>
      <c r="J158" s="69">
        <v>6095</v>
      </c>
    </row>
    <row r="159" spans="1:10" ht="14.25" x14ac:dyDescent="0.2">
      <c r="A159" s="36"/>
      <c r="B159" s="14"/>
      <c r="C159" s="14"/>
      <c r="D159" s="14" t="s">
        <v>502</v>
      </c>
      <c r="E159" s="14"/>
      <c r="F159" s="14"/>
      <c r="G159" s="14"/>
      <c r="H159" s="69" t="e">
        <f>#REF!</f>
        <v>#REF!</v>
      </c>
      <c r="I159" s="73"/>
      <c r="J159" s="69">
        <v>19145.23</v>
      </c>
    </row>
    <row r="160" spans="1:10" ht="14.25" x14ac:dyDescent="0.2">
      <c r="A160" s="36"/>
      <c r="B160" s="14"/>
      <c r="C160" s="14"/>
      <c r="D160" s="14" t="s">
        <v>503</v>
      </c>
      <c r="E160" s="14"/>
      <c r="F160" s="14"/>
      <c r="G160" s="14"/>
      <c r="H160" s="69" t="e">
        <f>#REF!</f>
        <v>#REF!</v>
      </c>
      <c r="I160" s="73"/>
      <c r="J160" s="69">
        <v>500</v>
      </c>
    </row>
    <row r="161" spans="1:10" ht="14.25" x14ac:dyDescent="0.2">
      <c r="A161" s="36"/>
      <c r="B161" s="14"/>
      <c r="C161" s="14"/>
      <c r="D161" s="14" t="s">
        <v>188</v>
      </c>
      <c r="E161" s="14"/>
      <c r="F161" s="14"/>
      <c r="G161" s="14"/>
      <c r="H161" s="69" t="e">
        <f>#REF!</f>
        <v>#REF!</v>
      </c>
      <c r="I161" s="73"/>
      <c r="J161" s="69">
        <v>0</v>
      </c>
    </row>
    <row r="162" spans="1:10" ht="14.25" x14ac:dyDescent="0.2">
      <c r="A162" s="36"/>
      <c r="B162" s="14"/>
      <c r="C162" s="14"/>
      <c r="D162" s="14" t="s">
        <v>504</v>
      </c>
      <c r="E162" s="14"/>
      <c r="F162" s="14"/>
      <c r="G162" s="14"/>
      <c r="H162" s="69"/>
      <c r="I162" s="73"/>
      <c r="J162" s="69"/>
    </row>
    <row r="163" spans="1:10" ht="14.25" x14ac:dyDescent="0.2">
      <c r="A163" s="36"/>
      <c r="B163" s="14"/>
      <c r="C163" s="14" t="s">
        <v>505</v>
      </c>
      <c r="D163" s="14"/>
      <c r="E163" s="14"/>
      <c r="F163" s="14"/>
      <c r="G163" s="14"/>
      <c r="H163" s="69" t="e">
        <f>#REF!</f>
        <v>#REF!</v>
      </c>
      <c r="I163" s="73"/>
      <c r="J163" s="69">
        <v>53790</v>
      </c>
    </row>
    <row r="164" spans="1:10" ht="14.25" x14ac:dyDescent="0.2">
      <c r="A164" s="36"/>
      <c r="B164" s="14"/>
      <c r="C164" s="14" t="s">
        <v>506</v>
      </c>
      <c r="D164" s="14"/>
      <c r="E164" s="14"/>
      <c r="F164" s="14"/>
      <c r="G164" s="14"/>
      <c r="H164" s="69"/>
      <c r="I164" s="73"/>
      <c r="J164" s="69"/>
    </row>
    <row r="165" spans="1:10" ht="14.25" x14ac:dyDescent="0.2">
      <c r="A165" s="36"/>
      <c r="B165" s="14"/>
      <c r="C165" s="14" t="s">
        <v>507</v>
      </c>
      <c r="D165" s="14"/>
      <c r="E165" s="14"/>
      <c r="F165" s="14"/>
      <c r="G165" s="14"/>
      <c r="H165" s="69" t="e">
        <f>#REF!</f>
        <v>#REF!</v>
      </c>
      <c r="I165" s="73"/>
      <c r="J165" s="69">
        <v>0</v>
      </c>
    </row>
    <row r="166" spans="1:10" ht="14.25" x14ac:dyDescent="0.2">
      <c r="A166" s="36"/>
      <c r="B166" s="14"/>
      <c r="C166" s="14" t="s">
        <v>141</v>
      </c>
      <c r="D166" s="14"/>
      <c r="E166" s="14"/>
      <c r="F166" s="14"/>
      <c r="G166" s="14"/>
      <c r="H166" s="69" t="e">
        <f>#REF!</f>
        <v>#REF!</v>
      </c>
      <c r="I166" s="73"/>
      <c r="J166" s="69">
        <v>12680</v>
      </c>
    </row>
    <row r="167" spans="1:10" ht="14.25" x14ac:dyDescent="0.2">
      <c r="A167" s="36"/>
      <c r="B167" s="14"/>
      <c r="C167" s="14" t="s">
        <v>142</v>
      </c>
      <c r="D167" s="14"/>
      <c r="E167" s="14"/>
      <c r="F167" s="14"/>
      <c r="G167" s="14"/>
      <c r="H167" s="69" t="e">
        <f>#REF!</f>
        <v>#REF!</v>
      </c>
      <c r="I167" s="73"/>
      <c r="J167" s="69">
        <v>92930</v>
      </c>
    </row>
    <row r="168" spans="1:10" ht="14.25" x14ac:dyDescent="0.2">
      <c r="A168" s="36"/>
      <c r="B168" s="14"/>
      <c r="C168" s="14" t="s">
        <v>48</v>
      </c>
      <c r="D168" s="14"/>
      <c r="E168" s="14"/>
      <c r="F168" s="14"/>
      <c r="G168" s="14"/>
      <c r="H168" s="69" t="e">
        <f>#REF!</f>
        <v>#REF!</v>
      </c>
      <c r="I168" s="73"/>
      <c r="J168" s="69">
        <v>1031749</v>
      </c>
    </row>
    <row r="169" spans="1:10" ht="14.25" x14ac:dyDescent="0.2">
      <c r="A169" s="36"/>
      <c r="B169" s="14"/>
      <c r="C169" s="14" t="s">
        <v>296</v>
      </c>
      <c r="D169" s="14"/>
      <c r="E169" s="14"/>
      <c r="F169" s="14"/>
      <c r="G169" s="14"/>
      <c r="H169" s="69"/>
      <c r="I169" s="73"/>
      <c r="J169" s="69"/>
    </row>
    <row r="170" spans="1:10" ht="14.25" x14ac:dyDescent="0.2">
      <c r="A170" s="36"/>
      <c r="B170" s="14"/>
      <c r="C170" s="14" t="s">
        <v>166</v>
      </c>
      <c r="D170" s="14"/>
      <c r="E170" s="14"/>
      <c r="F170" s="14"/>
      <c r="G170" s="14"/>
      <c r="H170" s="69"/>
      <c r="I170" s="73"/>
      <c r="J170" s="69"/>
    </row>
    <row r="171" spans="1:10" ht="14.25" x14ac:dyDescent="0.2">
      <c r="A171" s="36"/>
      <c r="B171" s="14"/>
      <c r="C171" s="14" t="s">
        <v>508</v>
      </c>
      <c r="D171" s="14"/>
      <c r="E171" s="14"/>
      <c r="F171" s="14"/>
      <c r="G171" s="14"/>
      <c r="H171" s="69" t="str">
        <f>'Schedule FP'!D115</f>
        <v>030</v>
      </c>
      <c r="I171" s="73"/>
      <c r="J171" s="69">
        <v>150</v>
      </c>
    </row>
    <row r="172" spans="1:10" ht="14.25" x14ac:dyDescent="0.2">
      <c r="A172" s="36"/>
      <c r="B172" s="14"/>
      <c r="C172" s="14" t="s">
        <v>167</v>
      </c>
      <c r="D172" s="14"/>
      <c r="E172" s="14"/>
      <c r="F172" s="14"/>
      <c r="G172" s="14"/>
      <c r="H172" s="69" t="e">
        <f>#REF!</f>
        <v>#REF!</v>
      </c>
      <c r="I172" s="73"/>
      <c r="J172" s="69">
        <v>11000</v>
      </c>
    </row>
    <row r="173" spans="1:10" ht="14.25" x14ac:dyDescent="0.2">
      <c r="A173" s="36"/>
      <c r="B173" s="14"/>
      <c r="C173" s="14" t="s">
        <v>297</v>
      </c>
      <c r="D173" s="14"/>
      <c r="E173" s="14"/>
      <c r="F173" s="14"/>
      <c r="G173" s="14"/>
      <c r="H173" s="69"/>
      <c r="I173" s="73"/>
      <c r="J173" s="69"/>
    </row>
    <row r="174" spans="1:10" ht="14.25" x14ac:dyDescent="0.2">
      <c r="A174" s="36"/>
      <c r="B174" s="14"/>
      <c r="C174" s="6" t="s">
        <v>509</v>
      </c>
      <c r="D174" s="14"/>
      <c r="E174" s="14"/>
      <c r="F174" s="14"/>
      <c r="G174" s="14"/>
      <c r="H174" s="69"/>
      <c r="I174" s="73"/>
      <c r="J174" s="69"/>
    </row>
    <row r="175" spans="1:10" ht="14.25" x14ac:dyDescent="0.2">
      <c r="A175" s="36"/>
      <c r="B175" s="14"/>
      <c r="C175" s="14"/>
      <c r="D175" s="14" t="s">
        <v>189</v>
      </c>
      <c r="E175" s="14"/>
      <c r="F175" s="14"/>
      <c r="G175" s="14"/>
      <c r="H175" s="69" t="str">
        <f>'Schedule FP'!D117</f>
        <v>050</v>
      </c>
      <c r="I175" s="73"/>
      <c r="J175" s="69">
        <v>1200</v>
      </c>
    </row>
    <row r="176" spans="1:10" ht="14.25" x14ac:dyDescent="0.2">
      <c r="A176" s="36"/>
      <c r="B176" s="14"/>
      <c r="C176" s="14"/>
      <c r="D176" s="14" t="s">
        <v>190</v>
      </c>
      <c r="E176" s="14"/>
      <c r="F176" s="14"/>
      <c r="G176" s="14"/>
      <c r="H176" s="69" t="str">
        <f>'Schedule FP'!D118</f>
        <v>060</v>
      </c>
      <c r="I176" s="73"/>
      <c r="J176" s="69"/>
    </row>
    <row r="177" spans="1:10" ht="14.25" x14ac:dyDescent="0.2">
      <c r="A177" s="36"/>
      <c r="B177" s="14"/>
      <c r="C177" s="14"/>
      <c r="D177" s="14" t="s">
        <v>143</v>
      </c>
      <c r="E177" s="14"/>
      <c r="F177" s="14"/>
      <c r="G177" s="14"/>
      <c r="H177" s="69" t="e">
        <f>#REF!</f>
        <v>#REF!</v>
      </c>
      <c r="I177" s="73"/>
      <c r="J177" s="69">
        <v>1169142</v>
      </c>
    </row>
    <row r="178" spans="1:10" ht="14.25" x14ac:dyDescent="0.2">
      <c r="A178" s="36"/>
      <c r="B178" s="14"/>
      <c r="C178" s="14"/>
      <c r="D178" s="14" t="s">
        <v>298</v>
      </c>
      <c r="E178" s="14"/>
      <c r="F178" s="14"/>
      <c r="G178" s="14"/>
      <c r="H178" s="69"/>
      <c r="I178" s="73"/>
      <c r="J178" s="69"/>
    </row>
    <row r="179" spans="1:10" ht="14.25" x14ac:dyDescent="0.2">
      <c r="A179" s="36"/>
      <c r="B179" s="14"/>
      <c r="C179" s="14"/>
      <c r="D179" s="14" t="s">
        <v>299</v>
      </c>
      <c r="E179" s="14"/>
      <c r="F179" s="14"/>
      <c r="G179" s="14"/>
      <c r="H179" s="69"/>
      <c r="I179" s="73"/>
      <c r="J179" s="69"/>
    </row>
    <row r="180" spans="1:10" ht="14.25" x14ac:dyDescent="0.2">
      <c r="A180" s="36"/>
      <c r="B180" s="14"/>
      <c r="C180" s="14"/>
      <c r="D180" s="14" t="s">
        <v>300</v>
      </c>
      <c r="E180" s="14"/>
      <c r="F180" s="14"/>
      <c r="G180" s="14"/>
      <c r="H180" s="69"/>
      <c r="I180" s="73"/>
      <c r="J180" s="69"/>
    </row>
    <row r="181" spans="1:10" ht="14.25" x14ac:dyDescent="0.2">
      <c r="A181" s="36"/>
      <c r="B181" s="14"/>
      <c r="C181" s="14"/>
      <c r="D181" s="14" t="s">
        <v>301</v>
      </c>
      <c r="E181" s="14"/>
      <c r="F181" s="14"/>
      <c r="G181" s="14"/>
      <c r="H181" s="69"/>
      <c r="I181" s="73"/>
      <c r="J181" s="69"/>
    </row>
    <row r="182" spans="1:10" ht="14.25" x14ac:dyDescent="0.2">
      <c r="A182" s="36"/>
      <c r="B182" s="14"/>
      <c r="C182" s="14"/>
      <c r="D182" s="9" t="s">
        <v>302</v>
      </c>
      <c r="E182" s="14"/>
      <c r="F182" s="14"/>
      <c r="G182" s="14"/>
      <c r="H182" s="69" t="e">
        <f>#REF!</f>
        <v>#REF!</v>
      </c>
      <c r="I182" s="73"/>
      <c r="J182" s="69"/>
    </row>
    <row r="183" spans="1:10" ht="14.25" x14ac:dyDescent="0.2">
      <c r="A183" s="36"/>
      <c r="B183" s="6" t="s">
        <v>510</v>
      </c>
      <c r="D183" s="14"/>
      <c r="E183" s="14"/>
      <c r="F183" s="14"/>
      <c r="G183" s="14"/>
      <c r="H183" s="69"/>
      <c r="I183" s="73"/>
      <c r="J183" s="69"/>
    </row>
    <row r="184" spans="1:10" ht="14.25" x14ac:dyDescent="0.2">
      <c r="A184" s="36"/>
      <c r="B184" s="14"/>
      <c r="C184" s="6" t="s">
        <v>511</v>
      </c>
      <c r="D184" s="14"/>
      <c r="E184" s="14"/>
      <c r="F184" s="14"/>
      <c r="G184" s="14"/>
      <c r="H184" s="69"/>
      <c r="I184" s="73"/>
      <c r="J184" s="69"/>
    </row>
    <row r="185" spans="1:10" ht="14.25" x14ac:dyDescent="0.2">
      <c r="A185" s="36"/>
      <c r="B185" s="14"/>
      <c r="C185" s="14"/>
      <c r="D185" s="9" t="s">
        <v>47</v>
      </c>
      <c r="E185" s="14"/>
      <c r="F185" s="14"/>
      <c r="G185" s="14"/>
      <c r="H185" s="69"/>
      <c r="I185" s="73"/>
      <c r="J185" s="69"/>
    </row>
    <row r="186" spans="1:10" ht="14.25" x14ac:dyDescent="0.2">
      <c r="A186" s="36"/>
      <c r="B186" s="14"/>
      <c r="C186" s="14"/>
      <c r="D186" s="14" t="s">
        <v>512</v>
      </c>
      <c r="E186" s="14"/>
      <c r="F186" s="14"/>
      <c r="G186" s="14"/>
      <c r="H186" s="69" t="e">
        <f>#REF!</f>
        <v>#REF!</v>
      </c>
      <c r="I186" s="73"/>
      <c r="J186" s="69">
        <v>73525</v>
      </c>
    </row>
    <row r="187" spans="1:10" ht="14.25" x14ac:dyDescent="0.2">
      <c r="A187" s="36"/>
      <c r="B187" s="14"/>
      <c r="C187" s="6" t="s">
        <v>89</v>
      </c>
      <c r="D187" s="14"/>
      <c r="E187" s="14"/>
      <c r="F187" s="14"/>
      <c r="G187" s="14"/>
      <c r="H187" s="69"/>
      <c r="I187" s="73"/>
      <c r="J187" s="69"/>
    </row>
    <row r="188" spans="1:10" ht="14.25" x14ac:dyDescent="0.2">
      <c r="A188" s="36"/>
      <c r="B188" s="14"/>
      <c r="C188" s="14"/>
      <c r="D188" s="9" t="s">
        <v>74</v>
      </c>
      <c r="E188" s="14"/>
      <c r="F188" s="14"/>
      <c r="G188" s="14"/>
      <c r="H188" s="69" t="e">
        <f>#REF!</f>
        <v>#REF!</v>
      </c>
      <c r="I188" s="73"/>
      <c r="J188" s="69">
        <v>546908.16000000003</v>
      </c>
    </row>
    <row r="189" spans="1:10" ht="14.25" x14ac:dyDescent="0.2">
      <c r="A189" s="36"/>
      <c r="B189" s="14"/>
      <c r="C189" s="14"/>
      <c r="D189" s="9" t="s">
        <v>75</v>
      </c>
      <c r="E189" s="14"/>
      <c r="F189" s="14"/>
      <c r="G189" s="14"/>
      <c r="H189" s="69" t="e">
        <f>#REF!</f>
        <v>#REF!</v>
      </c>
      <c r="I189" s="73"/>
      <c r="J189" s="69">
        <v>7724</v>
      </c>
    </row>
    <row r="190" spans="1:10" ht="14.25" x14ac:dyDescent="0.2">
      <c r="A190" s="36"/>
      <c r="B190" s="14"/>
      <c r="C190" s="14"/>
      <c r="D190" s="14" t="s">
        <v>303</v>
      </c>
      <c r="E190" s="14"/>
      <c r="F190" s="14"/>
      <c r="G190" s="14"/>
      <c r="H190" s="69"/>
      <c r="I190" s="73"/>
      <c r="J190" s="69"/>
    </row>
    <row r="191" spans="1:10" ht="14.25" x14ac:dyDescent="0.2">
      <c r="A191" s="36"/>
      <c r="B191" s="14"/>
      <c r="C191" s="14"/>
      <c r="D191" s="14" t="s">
        <v>513</v>
      </c>
      <c r="E191" s="14"/>
      <c r="F191" s="14"/>
      <c r="G191" s="14"/>
      <c r="H191" s="69"/>
      <c r="I191" s="73"/>
      <c r="J191" s="69"/>
    </row>
    <row r="192" spans="1:10" ht="14.25" x14ac:dyDescent="0.2">
      <c r="A192" s="36"/>
      <c r="B192" s="14"/>
      <c r="C192" s="14"/>
      <c r="D192" s="14" t="s">
        <v>195</v>
      </c>
      <c r="E192" s="14"/>
      <c r="F192" s="14"/>
      <c r="G192" s="14"/>
      <c r="H192" s="69"/>
      <c r="I192" s="73"/>
      <c r="J192" s="69"/>
    </row>
    <row r="193" spans="1:10" ht="14.25" x14ac:dyDescent="0.2">
      <c r="A193" s="92"/>
      <c r="B193" s="66"/>
      <c r="C193" s="102" t="s">
        <v>179</v>
      </c>
      <c r="D193" s="66"/>
      <c r="E193" s="66"/>
      <c r="F193" s="66"/>
      <c r="G193" s="66"/>
      <c r="H193" s="100"/>
      <c r="I193" s="97"/>
      <c r="J193" s="100"/>
    </row>
    <row r="194" spans="1:10" ht="14.25" x14ac:dyDescent="0.2">
      <c r="A194" s="71"/>
      <c r="B194" s="58"/>
      <c r="C194" s="58"/>
      <c r="D194" s="58" t="s">
        <v>514</v>
      </c>
      <c r="E194" s="58"/>
      <c r="F194" s="58"/>
      <c r="G194" s="58"/>
      <c r="H194" s="101"/>
      <c r="I194" s="99"/>
      <c r="J194" s="101"/>
    </row>
    <row r="195" spans="1:10" ht="14.25" x14ac:dyDescent="0.2">
      <c r="A195" s="36"/>
      <c r="B195" s="14"/>
      <c r="C195" s="14"/>
      <c r="D195" s="14" t="s">
        <v>515</v>
      </c>
      <c r="E195" s="14"/>
      <c r="F195" s="14"/>
      <c r="G195" s="14"/>
      <c r="H195" s="69"/>
      <c r="I195" s="73"/>
      <c r="J195" s="69"/>
    </row>
    <row r="196" spans="1:10" ht="14.25" x14ac:dyDescent="0.2">
      <c r="A196" s="36"/>
      <c r="B196" s="14"/>
      <c r="C196" s="14"/>
      <c r="D196" s="14" t="s">
        <v>304</v>
      </c>
      <c r="E196" s="14"/>
      <c r="F196" s="14"/>
      <c r="G196" s="14"/>
      <c r="H196" s="69"/>
      <c r="I196" s="73"/>
      <c r="J196" s="69"/>
    </row>
    <row r="197" spans="1:10" ht="14.25" x14ac:dyDescent="0.2">
      <c r="A197" s="36"/>
      <c r="B197" s="14"/>
      <c r="C197" s="6" t="s">
        <v>174</v>
      </c>
      <c r="D197" s="14"/>
      <c r="E197" s="14"/>
      <c r="F197" s="14"/>
      <c r="G197" s="14"/>
      <c r="H197" s="69"/>
      <c r="I197" s="73"/>
      <c r="J197" s="69"/>
    </row>
    <row r="198" spans="1:10" ht="14.25" x14ac:dyDescent="0.2">
      <c r="A198" s="36"/>
      <c r="B198" s="14"/>
      <c r="C198" s="14"/>
      <c r="D198" s="14" t="s">
        <v>516</v>
      </c>
      <c r="E198" s="14"/>
      <c r="F198" s="14"/>
      <c r="G198" s="14"/>
      <c r="H198" s="69" t="e">
        <f>#REF!</f>
        <v>#REF!</v>
      </c>
      <c r="I198" s="73"/>
      <c r="J198" s="69">
        <v>6700</v>
      </c>
    </row>
    <row r="199" spans="1:10" ht="14.25" x14ac:dyDescent="0.2">
      <c r="A199" s="36"/>
      <c r="B199" s="14"/>
      <c r="C199" s="14"/>
      <c r="D199" s="14" t="s">
        <v>517</v>
      </c>
      <c r="E199" s="14"/>
      <c r="F199" s="14"/>
      <c r="G199" s="14"/>
      <c r="H199" s="69" t="e">
        <f>#REF!</f>
        <v>#REF!</v>
      </c>
      <c r="I199" s="73"/>
      <c r="J199" s="69">
        <v>6571</v>
      </c>
    </row>
    <row r="200" spans="1:10" ht="14.25" x14ac:dyDescent="0.2">
      <c r="A200" s="36"/>
      <c r="B200" s="14"/>
      <c r="C200" s="14"/>
      <c r="D200" s="14" t="s">
        <v>518</v>
      </c>
      <c r="E200" s="14"/>
      <c r="F200" s="14"/>
      <c r="G200" s="14"/>
      <c r="H200" s="69" t="e">
        <f>#REF!</f>
        <v>#REF!</v>
      </c>
      <c r="I200" s="73"/>
      <c r="J200" s="69">
        <v>16172</v>
      </c>
    </row>
    <row r="201" spans="1:10" ht="14.25" x14ac:dyDescent="0.2">
      <c r="A201" s="36"/>
      <c r="B201" s="14"/>
      <c r="C201" s="6" t="s">
        <v>90</v>
      </c>
      <c r="D201" s="14"/>
      <c r="E201" s="14"/>
      <c r="F201" s="14"/>
      <c r="G201" s="14"/>
      <c r="H201" s="69"/>
      <c r="I201" s="73"/>
      <c r="J201" s="69"/>
    </row>
    <row r="202" spans="1:10" ht="14.25" x14ac:dyDescent="0.2">
      <c r="A202" s="36"/>
      <c r="B202" s="14"/>
      <c r="C202" s="14"/>
      <c r="D202" s="14" t="s">
        <v>519</v>
      </c>
      <c r="E202" s="14"/>
      <c r="F202" s="14"/>
      <c r="G202" s="14"/>
      <c r="H202" s="69" t="e">
        <f>#REF!</f>
        <v>#REF!</v>
      </c>
      <c r="I202" s="73"/>
      <c r="J202" s="69">
        <v>0</v>
      </c>
    </row>
    <row r="203" spans="1:10" ht="14.25" x14ac:dyDescent="0.2">
      <c r="A203" s="36"/>
      <c r="B203" s="14"/>
      <c r="C203" s="14"/>
      <c r="D203" s="14" t="s">
        <v>520</v>
      </c>
      <c r="E203" s="14"/>
      <c r="F203" s="14"/>
      <c r="G203" s="14"/>
      <c r="H203" s="69"/>
      <c r="I203" s="73"/>
      <c r="J203" s="69"/>
    </row>
    <row r="204" spans="1:10" ht="14.25" x14ac:dyDescent="0.2">
      <c r="A204" s="36"/>
      <c r="B204" s="14"/>
      <c r="C204" s="14"/>
      <c r="D204" s="14" t="s">
        <v>521</v>
      </c>
      <c r="E204" s="14"/>
      <c r="F204" s="14"/>
      <c r="G204" s="14"/>
      <c r="H204" s="69"/>
      <c r="I204" s="73"/>
      <c r="J204" s="69"/>
    </row>
    <row r="205" spans="1:10" ht="14.25" x14ac:dyDescent="0.2">
      <c r="A205" s="36"/>
      <c r="B205" s="14"/>
      <c r="C205" s="14"/>
      <c r="D205" s="14" t="s">
        <v>522</v>
      </c>
      <c r="E205" s="14"/>
      <c r="F205" s="14"/>
      <c r="G205" s="14"/>
      <c r="H205" s="69" t="e">
        <f>#REF!</f>
        <v>#REF!</v>
      </c>
      <c r="I205" s="73"/>
      <c r="J205" s="69">
        <v>161157.23000000001</v>
      </c>
    </row>
    <row r="206" spans="1:10" ht="14.25" x14ac:dyDescent="0.2">
      <c r="A206" s="36"/>
      <c r="B206" s="14"/>
      <c r="C206" s="14"/>
      <c r="D206" s="14" t="s">
        <v>523</v>
      </c>
      <c r="E206" s="14"/>
      <c r="F206" s="14"/>
      <c r="G206" s="14"/>
      <c r="H206" s="69"/>
      <c r="I206" s="73"/>
      <c r="J206" s="69"/>
    </row>
    <row r="207" spans="1:10" ht="14.25" x14ac:dyDescent="0.2">
      <c r="A207" s="36"/>
      <c r="B207" s="14"/>
      <c r="C207" s="14"/>
      <c r="D207" s="14" t="s">
        <v>524</v>
      </c>
      <c r="E207" s="14"/>
      <c r="F207" s="14"/>
      <c r="G207" s="14"/>
      <c r="H207" s="69"/>
      <c r="I207" s="73"/>
      <c r="J207" s="69"/>
    </row>
    <row r="208" spans="1:10" ht="14.25" x14ac:dyDescent="0.2">
      <c r="A208" s="36"/>
      <c r="B208" s="14"/>
      <c r="C208" s="14"/>
      <c r="D208" s="14" t="s">
        <v>525</v>
      </c>
      <c r="E208" s="14"/>
      <c r="F208" s="14"/>
      <c r="G208" s="14"/>
      <c r="H208" s="69"/>
      <c r="I208" s="73"/>
      <c r="J208" s="69"/>
    </row>
    <row r="209" spans="1:10" ht="14.25" x14ac:dyDescent="0.2">
      <c r="A209" s="36"/>
      <c r="B209" s="14"/>
      <c r="C209" s="14"/>
      <c r="D209" s="14" t="s">
        <v>526</v>
      </c>
      <c r="E209" s="14"/>
      <c r="F209" s="14"/>
      <c r="G209" s="14"/>
      <c r="H209" s="69"/>
      <c r="I209" s="73"/>
      <c r="J209" s="69"/>
    </row>
    <row r="210" spans="1:10" ht="14.25" x14ac:dyDescent="0.2">
      <c r="A210" s="36"/>
      <c r="B210" s="14"/>
      <c r="C210" s="14"/>
      <c r="D210" s="14" t="s">
        <v>527</v>
      </c>
      <c r="E210" s="14"/>
      <c r="F210" s="14"/>
      <c r="G210" s="14"/>
      <c r="H210" s="69"/>
      <c r="I210" s="73"/>
      <c r="J210" s="69"/>
    </row>
    <row r="211" spans="1:10" ht="14.25" x14ac:dyDescent="0.2">
      <c r="A211" s="36"/>
      <c r="B211" s="14"/>
      <c r="C211" s="14"/>
      <c r="D211" s="14" t="s">
        <v>528</v>
      </c>
      <c r="E211" s="14"/>
      <c r="F211" s="14"/>
      <c r="G211" s="14"/>
      <c r="H211" s="69"/>
      <c r="I211" s="73"/>
      <c r="J211" s="69"/>
    </row>
    <row r="212" spans="1:10" ht="14.25" x14ac:dyDescent="0.2">
      <c r="A212" s="36"/>
      <c r="B212" s="14"/>
      <c r="C212" s="14"/>
      <c r="D212" s="14" t="s">
        <v>529</v>
      </c>
      <c r="E212" s="14"/>
      <c r="F212" s="14"/>
      <c r="G212" s="14"/>
      <c r="H212" s="69" t="str">
        <f>'Schedule FP'!D130</f>
        <v>Sale of Assets</v>
      </c>
      <c r="I212" s="73"/>
      <c r="J212" s="69">
        <v>850</v>
      </c>
    </row>
    <row r="213" spans="1:10" ht="14.25" x14ac:dyDescent="0.2">
      <c r="A213" s="36"/>
      <c r="B213" s="14"/>
      <c r="C213" s="6" t="s">
        <v>175</v>
      </c>
      <c r="D213" s="14"/>
      <c r="E213" s="14"/>
      <c r="F213" s="14"/>
      <c r="G213" s="14"/>
      <c r="H213" s="69"/>
      <c r="I213" s="73"/>
      <c r="J213" s="69"/>
    </row>
    <row r="214" spans="1:10" ht="14.25" x14ac:dyDescent="0.2">
      <c r="A214" s="36"/>
      <c r="B214" s="14"/>
      <c r="C214" s="14"/>
      <c r="D214" s="14" t="s">
        <v>530</v>
      </c>
      <c r="E214" s="14"/>
      <c r="F214" s="14"/>
      <c r="G214" s="14"/>
      <c r="H214" s="69" t="e">
        <f>#REF!</f>
        <v>#REF!</v>
      </c>
      <c r="I214" s="73"/>
      <c r="J214" s="69">
        <v>118796</v>
      </c>
    </row>
    <row r="215" spans="1:10" ht="14.25" x14ac:dyDescent="0.2">
      <c r="A215" s="36"/>
      <c r="B215" s="14"/>
      <c r="C215" s="14"/>
      <c r="D215" s="14" t="s">
        <v>531</v>
      </c>
      <c r="E215" s="14"/>
      <c r="F215" s="14"/>
      <c r="G215" s="14"/>
      <c r="H215" s="69"/>
      <c r="I215" s="73"/>
      <c r="J215" s="69"/>
    </row>
    <row r="216" spans="1:10" ht="14.25" x14ac:dyDescent="0.2">
      <c r="A216" s="36"/>
      <c r="B216" s="14"/>
      <c r="C216" s="14"/>
      <c r="D216" s="14" t="s">
        <v>532</v>
      </c>
      <c r="E216" s="14"/>
      <c r="F216" s="14"/>
      <c r="G216" s="14"/>
      <c r="H216" s="69"/>
      <c r="I216" s="73"/>
      <c r="J216" s="69"/>
    </row>
    <row r="217" spans="1:10" ht="14.25" x14ac:dyDescent="0.2">
      <c r="A217" s="36"/>
      <c r="B217" s="14"/>
      <c r="C217" s="6" t="s">
        <v>70</v>
      </c>
      <c r="D217" s="14"/>
      <c r="E217" s="14"/>
      <c r="F217" s="14"/>
      <c r="G217" s="14"/>
      <c r="H217" s="69"/>
      <c r="I217" s="73"/>
      <c r="J217" s="69"/>
    </row>
    <row r="218" spans="1:10" ht="14.25" x14ac:dyDescent="0.2">
      <c r="A218" s="36"/>
      <c r="B218" s="14"/>
      <c r="C218" s="14"/>
      <c r="D218" s="14" t="s">
        <v>533</v>
      </c>
      <c r="E218" s="14"/>
      <c r="F218" s="14"/>
      <c r="G218" s="14"/>
      <c r="H218" s="69"/>
      <c r="I218" s="73"/>
      <c r="J218" s="69"/>
    </row>
    <row r="219" spans="1:10" ht="14.25" x14ac:dyDescent="0.2">
      <c r="A219" s="36"/>
      <c r="B219" s="14"/>
      <c r="C219" s="6" t="s">
        <v>176</v>
      </c>
      <c r="D219" s="14"/>
      <c r="E219" s="14"/>
      <c r="F219" s="14"/>
      <c r="G219" s="14"/>
      <c r="H219" s="69"/>
      <c r="I219" s="73"/>
      <c r="J219" s="69"/>
    </row>
    <row r="220" spans="1:10" ht="14.25" x14ac:dyDescent="0.2">
      <c r="A220" s="36"/>
      <c r="B220" s="14"/>
      <c r="C220" s="14"/>
      <c r="D220" s="14" t="s">
        <v>534</v>
      </c>
      <c r="E220" s="14"/>
      <c r="F220" s="14"/>
      <c r="G220" s="14"/>
      <c r="H220" s="69" t="e">
        <f>#REF!</f>
        <v>#REF!</v>
      </c>
      <c r="I220" s="73"/>
      <c r="J220" s="69">
        <v>237705</v>
      </c>
    </row>
    <row r="221" spans="1:10" ht="14.25" x14ac:dyDescent="0.2">
      <c r="A221" s="36"/>
      <c r="B221" s="14"/>
      <c r="C221" s="14"/>
      <c r="D221" s="14" t="s">
        <v>535</v>
      </c>
      <c r="E221" s="14"/>
      <c r="F221" s="14"/>
      <c r="G221" s="14"/>
      <c r="H221" s="69"/>
      <c r="I221" s="73"/>
      <c r="J221" s="69"/>
    </row>
    <row r="222" spans="1:10" ht="14.25" x14ac:dyDescent="0.2">
      <c r="A222" s="36"/>
      <c r="B222" s="14"/>
      <c r="C222" s="14"/>
      <c r="D222" s="14" t="s">
        <v>536</v>
      </c>
      <c r="E222" s="14"/>
      <c r="F222" s="14"/>
      <c r="G222" s="14"/>
      <c r="H222" s="69"/>
      <c r="I222" s="73"/>
      <c r="J222" s="69"/>
    </row>
    <row r="223" spans="1:10" ht="14.25" x14ac:dyDescent="0.2">
      <c r="A223" s="36"/>
      <c r="B223" s="14"/>
      <c r="C223" s="14"/>
      <c r="D223" s="14" t="s">
        <v>537</v>
      </c>
      <c r="E223" s="14"/>
      <c r="F223" s="14"/>
      <c r="G223" s="14"/>
      <c r="H223" s="69"/>
      <c r="I223" s="73"/>
      <c r="J223" s="69"/>
    </row>
    <row r="224" spans="1:10" ht="14.25" x14ac:dyDescent="0.2">
      <c r="A224" s="36"/>
      <c r="B224" s="14"/>
      <c r="C224" s="14"/>
      <c r="D224" s="9" t="s">
        <v>609</v>
      </c>
      <c r="E224" s="14"/>
      <c r="F224" s="14"/>
      <c r="G224" s="14"/>
      <c r="H224" s="69" t="e">
        <f>#REF!</f>
        <v>#REF!</v>
      </c>
      <c r="I224" s="73"/>
      <c r="J224" s="69">
        <v>0</v>
      </c>
    </row>
    <row r="225" spans="1:10" ht="14.25" x14ac:dyDescent="0.2">
      <c r="A225" s="36"/>
      <c r="B225" s="14"/>
      <c r="C225" s="14"/>
      <c r="D225" s="14" t="s">
        <v>538</v>
      </c>
      <c r="E225" s="14"/>
      <c r="F225" s="14"/>
      <c r="G225" s="14"/>
      <c r="H225" s="69" t="e">
        <f>#REF!</f>
        <v>#REF!</v>
      </c>
      <c r="I225" s="73"/>
      <c r="J225" s="69">
        <v>88650</v>
      </c>
    </row>
    <row r="226" spans="1:10" ht="14.25" x14ac:dyDescent="0.2">
      <c r="A226" s="36"/>
      <c r="B226" s="14"/>
      <c r="C226" s="14"/>
      <c r="D226" s="14" t="s">
        <v>539</v>
      </c>
      <c r="E226" s="14"/>
      <c r="F226" s="14"/>
      <c r="G226" s="14"/>
      <c r="H226" s="69" t="e">
        <f>#REF!</f>
        <v>#REF!</v>
      </c>
      <c r="I226" s="73"/>
      <c r="J226" s="69">
        <v>0</v>
      </c>
    </row>
    <row r="227" spans="1:10" ht="14.25" x14ac:dyDescent="0.2">
      <c r="A227" s="36"/>
      <c r="B227" s="14"/>
      <c r="C227" s="14"/>
      <c r="D227" s="14" t="s">
        <v>540</v>
      </c>
      <c r="E227" s="14"/>
      <c r="F227" s="14"/>
      <c r="G227" s="14"/>
      <c r="H227" s="69"/>
      <c r="I227" s="73"/>
      <c r="J227" s="69"/>
    </row>
    <row r="228" spans="1:10" ht="14.25" x14ac:dyDescent="0.2">
      <c r="A228" s="36"/>
      <c r="B228" s="14"/>
      <c r="C228" s="14"/>
      <c r="D228" s="9" t="s">
        <v>610</v>
      </c>
      <c r="E228" s="14"/>
      <c r="F228" s="14"/>
      <c r="G228" s="14"/>
      <c r="H228" s="69"/>
      <c r="I228" s="73"/>
      <c r="J228" s="69"/>
    </row>
    <row r="229" spans="1:10" ht="14.25" x14ac:dyDescent="0.2">
      <c r="A229" s="36"/>
      <c r="B229" s="14"/>
      <c r="C229" s="14"/>
      <c r="D229" s="14" t="s">
        <v>541</v>
      </c>
      <c r="E229" s="14"/>
      <c r="F229" s="14"/>
      <c r="G229" s="14"/>
      <c r="H229" s="69" t="e">
        <f>#REF!</f>
        <v>#REF!</v>
      </c>
      <c r="I229" s="73"/>
      <c r="J229" s="69"/>
    </row>
    <row r="230" spans="1:10" ht="14.25" x14ac:dyDescent="0.2">
      <c r="A230" s="36"/>
      <c r="B230" s="14"/>
      <c r="C230" s="6" t="s">
        <v>180</v>
      </c>
      <c r="D230" s="14"/>
      <c r="E230" s="14"/>
      <c r="F230" s="14"/>
      <c r="G230" s="14"/>
      <c r="H230" s="69"/>
      <c r="I230" s="73"/>
      <c r="J230" s="69"/>
    </row>
    <row r="231" spans="1:10" ht="14.25" x14ac:dyDescent="0.2">
      <c r="A231" s="36"/>
      <c r="B231" s="14"/>
      <c r="C231" s="14"/>
      <c r="D231" s="14" t="s">
        <v>542</v>
      </c>
      <c r="E231" s="14"/>
      <c r="F231" s="14"/>
      <c r="G231" s="14"/>
      <c r="H231" s="69"/>
      <c r="I231" s="73"/>
      <c r="J231" s="69"/>
    </row>
    <row r="232" spans="1:10" ht="14.25" x14ac:dyDescent="0.2">
      <c r="A232" s="36"/>
      <c r="B232" s="14"/>
      <c r="C232" s="14"/>
      <c r="D232" s="14" t="s">
        <v>543</v>
      </c>
      <c r="E232" s="14"/>
      <c r="F232" s="14"/>
      <c r="G232" s="14"/>
      <c r="H232" s="69"/>
      <c r="I232" s="73"/>
      <c r="J232" s="69"/>
    </row>
    <row r="233" spans="1:10" ht="14.25" x14ac:dyDescent="0.2">
      <c r="A233" s="36"/>
      <c r="B233" s="14"/>
      <c r="C233" s="6" t="s">
        <v>544</v>
      </c>
      <c r="D233" s="14"/>
      <c r="E233" s="14"/>
      <c r="F233" s="14"/>
      <c r="G233" s="14"/>
      <c r="H233" s="69"/>
      <c r="I233" s="73"/>
      <c r="J233" s="69"/>
    </row>
    <row r="234" spans="1:10" ht="14.25" x14ac:dyDescent="0.2">
      <c r="A234" s="36"/>
      <c r="B234" s="14"/>
      <c r="C234" s="14"/>
      <c r="D234" s="14" t="s">
        <v>308</v>
      </c>
      <c r="E234" s="14"/>
      <c r="F234" s="14"/>
      <c r="G234" s="14"/>
      <c r="H234" s="69"/>
      <c r="I234" s="73"/>
      <c r="J234" s="69"/>
    </row>
    <row r="235" spans="1:10" ht="14.25" x14ac:dyDescent="0.2">
      <c r="A235" s="36"/>
      <c r="B235" s="14"/>
      <c r="C235" s="14"/>
      <c r="D235" s="14" t="s">
        <v>309</v>
      </c>
      <c r="E235" s="14"/>
      <c r="F235" s="14"/>
      <c r="G235" s="14"/>
      <c r="H235" s="69"/>
      <c r="I235" s="73"/>
      <c r="J235" s="69"/>
    </row>
    <row r="236" spans="1:10" ht="14.25" x14ac:dyDescent="0.2">
      <c r="A236" s="36"/>
      <c r="B236" s="14"/>
      <c r="C236" s="14"/>
      <c r="D236" s="14" t="s">
        <v>310</v>
      </c>
      <c r="E236" s="14"/>
      <c r="F236" s="14"/>
      <c r="G236" s="14"/>
      <c r="H236" s="69"/>
      <c r="I236" s="73"/>
      <c r="J236" s="69"/>
    </row>
    <row r="237" spans="1:10" ht="14.25" x14ac:dyDescent="0.2">
      <c r="A237" s="36"/>
      <c r="B237" s="14"/>
      <c r="C237" s="14"/>
      <c r="D237" s="14" t="s">
        <v>54</v>
      </c>
      <c r="E237" s="14"/>
      <c r="F237" s="14"/>
      <c r="G237" s="14"/>
      <c r="H237" s="69" t="e">
        <f>#REF!</f>
        <v>#REF!</v>
      </c>
      <c r="I237" s="73"/>
      <c r="J237" s="69">
        <v>64237.37</v>
      </c>
    </row>
    <row r="238" spans="1:10" ht="14.25" x14ac:dyDescent="0.2">
      <c r="A238" s="36"/>
      <c r="B238" s="14"/>
      <c r="C238" s="6" t="s">
        <v>545</v>
      </c>
      <c r="D238" s="14"/>
      <c r="E238" s="14"/>
      <c r="F238" s="14"/>
      <c r="G238" s="14"/>
      <c r="H238" s="69"/>
      <c r="I238" s="73"/>
      <c r="J238" s="69"/>
    </row>
    <row r="239" spans="1:10" ht="14.25" x14ac:dyDescent="0.2">
      <c r="A239" s="36"/>
      <c r="B239" s="14"/>
      <c r="C239" s="14"/>
      <c r="D239" s="14" t="s">
        <v>144</v>
      </c>
      <c r="E239" s="14"/>
      <c r="F239" s="14"/>
      <c r="G239" s="14"/>
      <c r="H239" s="69"/>
      <c r="I239" s="73"/>
      <c r="J239" s="69"/>
    </row>
    <row r="240" spans="1:10" ht="14.25" x14ac:dyDescent="0.2">
      <c r="A240" s="36"/>
      <c r="B240" s="14"/>
      <c r="C240" s="14"/>
      <c r="D240" s="14" t="s">
        <v>145</v>
      </c>
      <c r="E240" s="14"/>
      <c r="F240" s="14"/>
      <c r="G240" s="14"/>
      <c r="H240" s="69" t="e">
        <f>#REF!</f>
        <v>#REF!</v>
      </c>
      <c r="I240" s="73"/>
      <c r="J240" s="69">
        <v>37053.75</v>
      </c>
    </row>
    <row r="241" spans="1:10" ht="14.25" x14ac:dyDescent="0.2">
      <c r="A241" s="36"/>
      <c r="B241" s="14"/>
      <c r="C241" s="14"/>
      <c r="D241" s="14" t="s">
        <v>31</v>
      </c>
      <c r="E241" s="14"/>
      <c r="F241" s="14"/>
      <c r="G241" s="14"/>
      <c r="H241" s="69" t="e">
        <f>#REF!</f>
        <v>#REF!</v>
      </c>
      <c r="I241" s="73"/>
      <c r="J241" s="69">
        <v>11252.16</v>
      </c>
    </row>
    <row r="242" spans="1:10" ht="14.25" x14ac:dyDescent="0.2">
      <c r="A242" s="41" t="s">
        <v>546</v>
      </c>
      <c r="B242" s="14"/>
      <c r="C242" s="14"/>
      <c r="D242" s="14"/>
      <c r="E242" s="14"/>
      <c r="F242" s="14"/>
      <c r="G242" s="14"/>
      <c r="H242" s="69"/>
      <c r="I242" s="73"/>
      <c r="J242" s="69"/>
    </row>
    <row r="243" spans="1:10" ht="14.25" x14ac:dyDescent="0.2">
      <c r="A243" s="36"/>
      <c r="B243" s="6" t="s">
        <v>547</v>
      </c>
      <c r="C243" s="14"/>
      <c r="D243" s="14"/>
      <c r="E243" s="14"/>
      <c r="F243" s="14"/>
      <c r="G243" s="14"/>
      <c r="H243" s="69"/>
      <c r="I243" s="73"/>
      <c r="J243" s="69"/>
    </row>
    <row r="244" spans="1:10" ht="14.25" x14ac:dyDescent="0.2">
      <c r="A244" s="36"/>
      <c r="B244" s="14"/>
      <c r="C244" s="6" t="s">
        <v>99</v>
      </c>
      <c r="D244" s="14"/>
      <c r="E244" s="14"/>
      <c r="F244" s="14"/>
      <c r="G244" s="14"/>
      <c r="H244" s="69"/>
      <c r="I244" s="73"/>
      <c r="J244" s="69"/>
    </row>
    <row r="245" spans="1:10" ht="14.25" x14ac:dyDescent="0.2">
      <c r="A245" s="36"/>
      <c r="B245" s="14"/>
      <c r="C245" s="14"/>
      <c r="D245" s="14" t="s">
        <v>312</v>
      </c>
      <c r="E245" s="14"/>
      <c r="F245" s="14"/>
      <c r="G245" s="14"/>
      <c r="H245" s="69"/>
      <c r="I245" s="73"/>
      <c r="J245" s="69"/>
    </row>
    <row r="246" spans="1:10" ht="14.25" x14ac:dyDescent="0.2">
      <c r="A246" s="36"/>
      <c r="B246" s="14"/>
      <c r="C246" s="14"/>
      <c r="D246" s="14" t="s">
        <v>548</v>
      </c>
      <c r="E246" s="14"/>
      <c r="F246" s="14"/>
      <c r="G246" s="14"/>
      <c r="H246" s="69"/>
      <c r="I246" s="73"/>
      <c r="J246" s="69"/>
    </row>
    <row r="247" spans="1:10" ht="14.25" x14ac:dyDescent="0.2">
      <c r="A247" s="36"/>
      <c r="B247" s="14"/>
      <c r="C247" s="14"/>
      <c r="D247" s="14" t="s">
        <v>549</v>
      </c>
      <c r="E247" s="14"/>
      <c r="F247" s="14"/>
      <c r="G247" s="14"/>
      <c r="H247" s="69"/>
      <c r="I247" s="73"/>
      <c r="J247" s="69"/>
    </row>
    <row r="248" spans="1:10" ht="14.25" x14ac:dyDescent="0.2">
      <c r="A248" s="36"/>
      <c r="B248" s="14"/>
      <c r="C248" s="14"/>
      <c r="D248" s="14" t="s">
        <v>550</v>
      </c>
      <c r="E248" s="14"/>
      <c r="F248" s="14"/>
      <c r="G248" s="14"/>
      <c r="H248" s="69"/>
      <c r="I248" s="73"/>
      <c r="J248" s="69"/>
    </row>
    <row r="249" spans="1:10" ht="14.25" x14ac:dyDescent="0.2">
      <c r="A249" s="36"/>
      <c r="B249" s="14"/>
      <c r="C249" s="14"/>
      <c r="D249" s="14" t="s">
        <v>551</v>
      </c>
      <c r="E249" s="14"/>
      <c r="F249" s="14"/>
      <c r="G249" s="14"/>
      <c r="H249" s="69"/>
      <c r="I249" s="73"/>
      <c r="J249" s="69"/>
    </row>
    <row r="250" spans="1:10" ht="14.25" x14ac:dyDescent="0.2">
      <c r="A250" s="36"/>
      <c r="B250" s="14"/>
      <c r="C250" s="14"/>
      <c r="D250" s="9" t="s">
        <v>311</v>
      </c>
      <c r="E250" s="14"/>
      <c r="F250" s="14"/>
      <c r="G250" s="14"/>
      <c r="H250" s="69" t="e">
        <f>#REF!</f>
        <v>#REF!</v>
      </c>
      <c r="I250" s="73"/>
      <c r="J250" s="69">
        <v>531.91</v>
      </c>
    </row>
    <row r="251" spans="1:10" ht="14.25" x14ac:dyDescent="0.2">
      <c r="A251" s="36"/>
      <c r="B251" s="14"/>
      <c r="C251" s="6" t="s">
        <v>179</v>
      </c>
      <c r="D251" s="14"/>
      <c r="E251" s="14"/>
      <c r="F251" s="14"/>
      <c r="G251" s="14"/>
      <c r="H251" s="69"/>
      <c r="I251" s="73"/>
      <c r="J251" s="69"/>
    </row>
    <row r="252" spans="1:10" ht="14.25" x14ac:dyDescent="0.2">
      <c r="A252" s="36"/>
      <c r="B252" s="14"/>
      <c r="C252" s="14"/>
      <c r="D252" s="14" t="s">
        <v>552</v>
      </c>
      <c r="E252" s="14"/>
      <c r="F252" s="14"/>
      <c r="G252" s="14"/>
      <c r="H252" s="69"/>
      <c r="I252" s="73"/>
      <c r="J252" s="69"/>
    </row>
    <row r="253" spans="1:10" ht="14.25" x14ac:dyDescent="0.2">
      <c r="A253" s="36"/>
      <c r="B253" s="14"/>
      <c r="C253" s="14"/>
      <c r="D253" s="14" t="s">
        <v>553</v>
      </c>
      <c r="E253" s="14"/>
      <c r="F253" s="14"/>
      <c r="G253" s="14"/>
      <c r="H253" s="69"/>
      <c r="I253" s="73"/>
      <c r="J253" s="69"/>
    </row>
    <row r="254" spans="1:10" ht="14.25" x14ac:dyDescent="0.2">
      <c r="A254" s="36"/>
      <c r="B254" s="14"/>
      <c r="C254" s="14"/>
      <c r="D254" s="14" t="s">
        <v>554</v>
      </c>
      <c r="E254" s="14"/>
      <c r="F254" s="14"/>
      <c r="G254" s="14"/>
      <c r="H254" s="69"/>
      <c r="I254" s="73"/>
      <c r="J254" s="69"/>
    </row>
    <row r="255" spans="1:10" ht="14.25" x14ac:dyDescent="0.2">
      <c r="A255" s="36"/>
      <c r="B255" s="14"/>
      <c r="C255" s="6" t="s">
        <v>174</v>
      </c>
      <c r="D255" s="9"/>
      <c r="E255" s="14"/>
      <c r="F255" s="14"/>
      <c r="G255" s="14"/>
      <c r="H255" s="69"/>
      <c r="I255" s="73"/>
      <c r="J255" s="69"/>
    </row>
    <row r="256" spans="1:10" ht="14.25" x14ac:dyDescent="0.2">
      <c r="A256" s="36"/>
      <c r="B256" s="14"/>
      <c r="C256" s="14"/>
      <c r="D256" s="14" t="s">
        <v>555</v>
      </c>
      <c r="E256" s="14"/>
      <c r="F256" s="14"/>
      <c r="G256" s="14"/>
      <c r="H256" s="69" t="e">
        <f>#REF!</f>
        <v>#REF!</v>
      </c>
      <c r="I256" s="73"/>
      <c r="J256" s="69">
        <v>38883.69</v>
      </c>
    </row>
    <row r="257" spans="1:10" ht="14.25" x14ac:dyDescent="0.2">
      <c r="A257" s="92"/>
      <c r="B257" s="66"/>
      <c r="C257" s="66"/>
      <c r="D257" s="66" t="s">
        <v>556</v>
      </c>
      <c r="E257" s="66"/>
      <c r="F257" s="66"/>
      <c r="G257" s="66"/>
      <c r="H257" s="100" t="e">
        <f>#REF!</f>
        <v>#REF!</v>
      </c>
      <c r="I257" s="97"/>
      <c r="J257" s="100">
        <v>37440.75</v>
      </c>
    </row>
    <row r="258" spans="1:10" ht="14.25" x14ac:dyDescent="0.2">
      <c r="A258" s="71"/>
      <c r="B258" s="58"/>
      <c r="C258" s="58"/>
      <c r="D258" s="58" t="s">
        <v>557</v>
      </c>
      <c r="E258" s="58"/>
      <c r="F258" s="58"/>
      <c r="G258" s="58"/>
      <c r="H258" s="101" t="e">
        <f>#REF!</f>
        <v>#REF!</v>
      </c>
      <c r="I258" s="99"/>
      <c r="J258" s="101">
        <v>220183.07</v>
      </c>
    </row>
    <row r="259" spans="1:10" ht="14.25" x14ac:dyDescent="0.2">
      <c r="A259" s="36"/>
      <c r="B259" s="14"/>
      <c r="C259" s="14"/>
      <c r="D259" s="14" t="s">
        <v>558</v>
      </c>
      <c r="E259" s="14"/>
      <c r="F259" s="14"/>
      <c r="G259" s="14"/>
      <c r="H259" s="69"/>
      <c r="I259" s="73"/>
      <c r="J259" s="69"/>
    </row>
    <row r="260" spans="1:10" ht="14.25" x14ac:dyDescent="0.2">
      <c r="A260" s="36"/>
      <c r="B260" s="14"/>
      <c r="C260" s="6" t="s">
        <v>90</v>
      </c>
      <c r="D260" s="14"/>
      <c r="E260" s="14"/>
      <c r="F260" s="14"/>
      <c r="G260" s="14"/>
      <c r="H260" s="69"/>
      <c r="I260" s="73"/>
      <c r="J260" s="69"/>
    </row>
    <row r="261" spans="1:10" ht="14.25" x14ac:dyDescent="0.2">
      <c r="A261" s="36"/>
      <c r="B261" s="14"/>
      <c r="C261" s="14"/>
      <c r="D261" s="14" t="s">
        <v>559</v>
      </c>
      <c r="E261" s="14"/>
      <c r="F261" s="14"/>
      <c r="G261" s="14"/>
      <c r="H261" s="69" t="e">
        <f>#REF!</f>
        <v>#REF!</v>
      </c>
      <c r="I261" s="73"/>
      <c r="J261" s="69">
        <v>15554.79</v>
      </c>
    </row>
    <row r="262" spans="1:10" ht="14.25" x14ac:dyDescent="0.2">
      <c r="A262" s="36"/>
      <c r="B262" s="14"/>
      <c r="C262" s="14"/>
      <c r="D262" s="14" t="s">
        <v>560</v>
      </c>
      <c r="E262" s="14"/>
      <c r="F262" s="14"/>
      <c r="G262" s="14"/>
      <c r="H262" s="69" t="e">
        <f>#REF!</f>
        <v>#REF!</v>
      </c>
      <c r="I262" s="73"/>
      <c r="J262" s="69">
        <v>46426.5</v>
      </c>
    </row>
    <row r="263" spans="1:10" ht="14.25" x14ac:dyDescent="0.2">
      <c r="A263" s="36"/>
      <c r="B263" s="14"/>
      <c r="C263" s="14"/>
      <c r="D263" s="14" t="s">
        <v>561</v>
      </c>
      <c r="E263" s="14"/>
      <c r="F263" s="14"/>
      <c r="G263" s="14"/>
      <c r="H263" s="69" t="e">
        <f>#REF!</f>
        <v>#REF!</v>
      </c>
      <c r="I263" s="73"/>
      <c r="J263" s="69">
        <v>335.58</v>
      </c>
    </row>
    <row r="264" spans="1:10" ht="14.25" x14ac:dyDescent="0.2">
      <c r="A264" s="36"/>
      <c r="B264" s="14"/>
      <c r="C264" s="14"/>
      <c r="D264" s="14" t="s">
        <v>562</v>
      </c>
      <c r="E264" s="14"/>
      <c r="F264" s="14"/>
      <c r="G264" s="14"/>
      <c r="H264" s="69" t="e">
        <f>#REF!</f>
        <v>#REF!</v>
      </c>
      <c r="I264" s="73"/>
      <c r="J264" s="69">
        <v>190590.12</v>
      </c>
    </row>
    <row r="265" spans="1:10" ht="14.25" x14ac:dyDescent="0.2">
      <c r="A265" s="36"/>
      <c r="B265" s="14"/>
      <c r="C265" s="14"/>
      <c r="D265" s="14" t="s">
        <v>563</v>
      </c>
      <c r="E265" s="14"/>
      <c r="F265" s="14"/>
      <c r="G265" s="14"/>
      <c r="H265" s="69"/>
      <c r="I265" s="73"/>
      <c r="J265" s="69"/>
    </row>
    <row r="266" spans="1:10" ht="14.25" x14ac:dyDescent="0.2">
      <c r="A266" s="36"/>
      <c r="B266" s="14"/>
      <c r="C266" s="14"/>
      <c r="D266" s="14" t="s">
        <v>564</v>
      </c>
      <c r="E266" s="14"/>
      <c r="F266" s="14"/>
      <c r="G266" s="14"/>
      <c r="H266" s="69"/>
      <c r="I266" s="73"/>
      <c r="J266" s="69"/>
    </row>
    <row r="267" spans="1:10" ht="14.25" x14ac:dyDescent="0.2">
      <c r="A267" s="36"/>
      <c r="B267" s="14"/>
      <c r="C267" s="14"/>
      <c r="D267" s="14" t="s">
        <v>565</v>
      </c>
      <c r="E267" s="14"/>
      <c r="F267" s="14"/>
      <c r="G267" s="14"/>
      <c r="H267" s="69"/>
      <c r="I267" s="73"/>
      <c r="J267" s="69"/>
    </row>
    <row r="268" spans="1:10" ht="14.25" x14ac:dyDescent="0.2">
      <c r="A268" s="36"/>
      <c r="B268" s="14"/>
      <c r="C268" s="14"/>
      <c r="D268" s="14" t="s">
        <v>566</v>
      </c>
      <c r="E268" s="14"/>
      <c r="F268" s="14"/>
      <c r="G268" s="14"/>
      <c r="H268" s="69"/>
      <c r="I268" s="73"/>
      <c r="J268" s="69"/>
    </row>
    <row r="269" spans="1:10" ht="14.25" x14ac:dyDescent="0.2">
      <c r="A269" s="36"/>
      <c r="B269" s="14"/>
      <c r="C269" s="14"/>
      <c r="D269" s="14" t="s">
        <v>567</v>
      </c>
      <c r="E269" s="14"/>
      <c r="F269" s="14"/>
      <c r="G269" s="14"/>
      <c r="H269" s="69"/>
      <c r="I269" s="73"/>
      <c r="J269" s="69"/>
    </row>
    <row r="270" spans="1:10" ht="14.25" x14ac:dyDescent="0.2">
      <c r="A270" s="36"/>
      <c r="B270" s="14"/>
      <c r="C270" s="14"/>
      <c r="D270" s="14" t="s">
        <v>568</v>
      </c>
      <c r="E270" s="14"/>
      <c r="F270" s="14"/>
      <c r="G270" s="14"/>
      <c r="H270" s="69"/>
      <c r="I270" s="73"/>
      <c r="J270" s="69"/>
    </row>
    <row r="271" spans="1:10" ht="14.25" x14ac:dyDescent="0.2">
      <c r="A271" s="36"/>
      <c r="B271" s="14"/>
      <c r="C271" s="14"/>
      <c r="D271" s="14" t="s">
        <v>569</v>
      </c>
      <c r="E271" s="14"/>
      <c r="F271" s="14"/>
      <c r="G271" s="14"/>
      <c r="H271" s="69" t="e">
        <f>#REF!</f>
        <v>#REF!</v>
      </c>
      <c r="I271" s="73"/>
      <c r="J271" s="69">
        <v>10842.3</v>
      </c>
    </row>
    <row r="272" spans="1:10" ht="14.25" x14ac:dyDescent="0.2">
      <c r="A272" s="36"/>
      <c r="B272" s="14"/>
      <c r="C272" s="6" t="s">
        <v>128</v>
      </c>
      <c r="D272" s="14"/>
      <c r="E272" s="14"/>
      <c r="F272" s="14"/>
      <c r="G272" s="14"/>
      <c r="H272" s="69"/>
      <c r="I272" s="73"/>
      <c r="J272" s="69"/>
    </row>
    <row r="273" spans="1:10" ht="14.25" x14ac:dyDescent="0.2">
      <c r="A273" s="36"/>
      <c r="B273" s="14"/>
      <c r="C273" s="14"/>
      <c r="D273" s="14" t="s">
        <v>570</v>
      </c>
      <c r="E273" s="14"/>
      <c r="F273" s="14"/>
      <c r="G273" s="14"/>
      <c r="H273" s="69" t="e">
        <f>#REF!</f>
        <v>#REF!</v>
      </c>
      <c r="I273" s="73"/>
      <c r="J273" s="69">
        <v>41433.83</v>
      </c>
    </row>
    <row r="274" spans="1:10" ht="14.25" x14ac:dyDescent="0.2">
      <c r="A274" s="36"/>
      <c r="B274" s="14"/>
      <c r="C274" s="14"/>
      <c r="D274" s="14" t="s">
        <v>571</v>
      </c>
      <c r="E274" s="14"/>
      <c r="F274" s="14"/>
      <c r="G274" s="14"/>
      <c r="H274" s="69"/>
      <c r="I274" s="73"/>
      <c r="J274" s="69"/>
    </row>
    <row r="275" spans="1:10" ht="14.25" x14ac:dyDescent="0.2">
      <c r="A275" s="36"/>
      <c r="B275" s="14"/>
      <c r="C275" s="14"/>
      <c r="D275" s="14" t="s">
        <v>572</v>
      </c>
      <c r="E275" s="14"/>
      <c r="F275" s="14"/>
      <c r="G275" s="14"/>
      <c r="H275" s="69"/>
      <c r="I275" s="73"/>
      <c r="J275" s="69"/>
    </row>
    <row r="276" spans="1:10" ht="14.25" x14ac:dyDescent="0.2">
      <c r="A276" s="36"/>
      <c r="B276" s="14"/>
      <c r="C276" s="6" t="s">
        <v>70</v>
      </c>
      <c r="D276" s="14"/>
      <c r="E276" s="14"/>
      <c r="F276" s="14"/>
      <c r="G276" s="14"/>
      <c r="H276" s="69"/>
      <c r="I276" s="73"/>
      <c r="J276" s="69"/>
    </row>
    <row r="277" spans="1:10" ht="14.25" x14ac:dyDescent="0.2">
      <c r="A277" s="36"/>
      <c r="B277" s="14"/>
      <c r="C277" s="14"/>
      <c r="D277" s="14" t="s">
        <v>573</v>
      </c>
      <c r="E277" s="14"/>
      <c r="F277" s="14"/>
      <c r="G277" s="14"/>
      <c r="H277" s="69" t="e">
        <f>#REF!</f>
        <v>#REF!</v>
      </c>
      <c r="I277" s="73"/>
      <c r="J277" s="69">
        <v>106909.38</v>
      </c>
    </row>
    <row r="278" spans="1:10" ht="14.25" x14ac:dyDescent="0.2">
      <c r="A278" s="36"/>
      <c r="B278" s="6" t="s">
        <v>316</v>
      </c>
      <c r="C278" s="14"/>
      <c r="D278" s="14"/>
      <c r="E278" s="14"/>
      <c r="F278" s="14"/>
      <c r="G278" s="14"/>
      <c r="H278" s="69"/>
      <c r="I278" s="73"/>
      <c r="J278" s="69"/>
    </row>
    <row r="279" spans="1:10" ht="14.25" x14ac:dyDescent="0.2">
      <c r="A279" s="36"/>
      <c r="B279" s="14"/>
      <c r="C279" s="14" t="s">
        <v>314</v>
      </c>
      <c r="D279" s="14"/>
      <c r="E279" s="14"/>
      <c r="F279" s="14"/>
      <c r="G279" s="14"/>
      <c r="H279" s="69"/>
      <c r="I279" s="73"/>
      <c r="J279" s="69"/>
    </row>
    <row r="280" spans="1:10" ht="14.25" x14ac:dyDescent="0.2">
      <c r="A280" s="36"/>
      <c r="B280" s="14"/>
      <c r="C280" s="14" t="s">
        <v>315</v>
      </c>
      <c r="D280" s="14"/>
      <c r="E280" s="14"/>
      <c r="F280" s="14"/>
      <c r="G280" s="14"/>
      <c r="H280" s="69"/>
      <c r="I280" s="73"/>
      <c r="J280" s="69"/>
    </row>
    <row r="281" spans="1:10" ht="14.25" x14ac:dyDescent="0.2">
      <c r="A281" s="36"/>
      <c r="B281" s="14"/>
      <c r="C281" s="14" t="s">
        <v>316</v>
      </c>
      <c r="D281" s="14"/>
      <c r="E281" s="14"/>
      <c r="F281" s="14"/>
      <c r="G281" s="14"/>
      <c r="H281" s="69"/>
      <c r="I281" s="73"/>
      <c r="J281" s="69"/>
    </row>
    <row r="282" spans="1:10" ht="14.25" x14ac:dyDescent="0.2">
      <c r="A282" s="36"/>
      <c r="B282" s="6" t="s">
        <v>601</v>
      </c>
      <c r="C282" s="14"/>
      <c r="D282" s="14"/>
      <c r="E282" s="14"/>
      <c r="F282" s="14"/>
      <c r="G282" s="14"/>
      <c r="H282" s="67" t="e">
        <f>SUM(H136:H281)</f>
        <v>#REF!</v>
      </c>
      <c r="I282" s="76"/>
      <c r="J282" s="67">
        <f>SUM(J136:J281)</f>
        <v>9330682.8100000005</v>
      </c>
    </row>
    <row r="283" spans="1:10" ht="14.25" x14ac:dyDescent="0.2">
      <c r="A283" s="36"/>
      <c r="B283" s="6" t="s">
        <v>595</v>
      </c>
      <c r="C283" s="14"/>
      <c r="D283" s="14"/>
      <c r="E283" s="14"/>
      <c r="F283" s="14"/>
      <c r="G283" s="14"/>
      <c r="H283" s="67" t="e">
        <f>H133+H282</f>
        <v>#REF!</v>
      </c>
      <c r="I283" s="76"/>
      <c r="J283" s="67">
        <f>J133+J282</f>
        <v>75271929.049999997</v>
      </c>
    </row>
    <row r="284" spans="1:10" ht="14.25" x14ac:dyDescent="0.2">
      <c r="A284" s="41" t="s">
        <v>574</v>
      </c>
      <c r="B284" s="14"/>
      <c r="C284" s="14"/>
      <c r="D284" s="14"/>
      <c r="E284" s="14"/>
      <c r="F284" s="14"/>
      <c r="G284" s="14"/>
      <c r="H284" s="67" t="e">
        <f>H96-H283</f>
        <v>#REF!</v>
      </c>
      <c r="I284" s="76"/>
      <c r="J284" s="67">
        <f>J96-J283</f>
        <v>12404369.590000004</v>
      </c>
    </row>
    <row r="285" spans="1:10" ht="14.25" x14ac:dyDescent="0.2">
      <c r="A285" s="36"/>
      <c r="B285" s="6" t="s">
        <v>575</v>
      </c>
      <c r="C285" s="14"/>
      <c r="D285" s="14"/>
      <c r="E285" s="14"/>
      <c r="F285" s="14"/>
      <c r="G285" s="14"/>
      <c r="H285" s="69"/>
      <c r="I285" s="73"/>
      <c r="J285" s="69"/>
    </row>
    <row r="286" spans="1:10" ht="14.25" x14ac:dyDescent="0.2">
      <c r="A286" s="36"/>
      <c r="B286" s="14"/>
      <c r="C286" s="14" t="s">
        <v>148</v>
      </c>
      <c r="D286" s="14"/>
      <c r="E286" s="14"/>
      <c r="F286" s="14"/>
      <c r="G286" s="14"/>
      <c r="H286" s="69"/>
      <c r="I286" s="73"/>
      <c r="J286" s="69"/>
    </row>
    <row r="287" spans="1:10" ht="14.25" x14ac:dyDescent="0.2">
      <c r="A287" s="36"/>
      <c r="B287" s="14"/>
      <c r="C287" s="14" t="s">
        <v>317</v>
      </c>
      <c r="D287" s="14"/>
      <c r="E287" s="14"/>
      <c r="F287" s="14"/>
      <c r="G287" s="14"/>
      <c r="H287" s="69"/>
      <c r="I287" s="73"/>
      <c r="J287" s="69"/>
    </row>
    <row r="288" spans="1:10" ht="14.25" x14ac:dyDescent="0.2">
      <c r="A288" s="36"/>
      <c r="B288" s="14"/>
      <c r="C288" s="14" t="s">
        <v>318</v>
      </c>
      <c r="D288" s="14"/>
      <c r="E288" s="14"/>
      <c r="F288" s="14"/>
      <c r="G288" s="14"/>
      <c r="H288" s="69"/>
      <c r="I288" s="73"/>
      <c r="J288" s="69"/>
    </row>
    <row r="289" spans="1:10" ht="14.25" x14ac:dyDescent="0.2">
      <c r="A289" s="36"/>
      <c r="B289" s="14"/>
      <c r="C289" s="14" t="s">
        <v>137</v>
      </c>
      <c r="D289" s="14"/>
      <c r="E289" s="14"/>
      <c r="F289" s="14"/>
      <c r="G289" s="14"/>
      <c r="H289" s="69"/>
      <c r="I289" s="73"/>
      <c r="J289" s="69"/>
    </row>
    <row r="290" spans="1:10" ht="14.25" x14ac:dyDescent="0.2">
      <c r="A290" s="36"/>
      <c r="B290" s="14"/>
      <c r="C290" s="14" t="s">
        <v>64</v>
      </c>
      <c r="D290" s="14"/>
      <c r="E290" s="14"/>
      <c r="F290" s="14"/>
      <c r="G290" s="14"/>
      <c r="H290" s="69" t="e">
        <f>#REF!</f>
        <v>#REF!</v>
      </c>
      <c r="I290" s="73"/>
      <c r="J290" s="69">
        <v>11670.49</v>
      </c>
    </row>
    <row r="291" spans="1:10" ht="14.25" x14ac:dyDescent="0.2">
      <c r="A291" s="41" t="s">
        <v>576</v>
      </c>
      <c r="B291" s="14"/>
      <c r="C291" s="14"/>
      <c r="D291" s="14"/>
      <c r="E291" s="14"/>
      <c r="F291" s="14"/>
      <c r="G291" s="14"/>
      <c r="H291" s="67" t="e">
        <f>H284-H286-H290</f>
        <v>#REF!</v>
      </c>
      <c r="I291" s="76"/>
      <c r="J291" s="67">
        <f>J284-J286-J290</f>
        <v>12392699.100000003</v>
      </c>
    </row>
    <row r="292" spans="1:10" ht="14.25" x14ac:dyDescent="0.2">
      <c r="A292" s="36" t="s">
        <v>577</v>
      </c>
      <c r="B292" s="14"/>
      <c r="C292" s="9" t="s">
        <v>602</v>
      </c>
      <c r="D292" s="14"/>
      <c r="E292" s="14"/>
      <c r="F292" s="14"/>
      <c r="G292" s="14"/>
      <c r="H292" s="69"/>
      <c r="I292" s="73"/>
      <c r="J292" s="69"/>
    </row>
    <row r="293" spans="1:10" ht="14.25" x14ac:dyDescent="0.2">
      <c r="B293" s="14"/>
      <c r="C293" s="14" t="s">
        <v>578</v>
      </c>
      <c r="D293" s="14"/>
      <c r="E293" s="14"/>
      <c r="F293" s="14"/>
      <c r="G293" s="14"/>
      <c r="H293" s="69" t="str">
        <f>'Schedule FP'!D52</f>
        <v>070</v>
      </c>
      <c r="I293" s="73"/>
      <c r="J293" s="69">
        <v>1000000</v>
      </c>
    </row>
    <row r="294" spans="1:10" ht="14.25" x14ac:dyDescent="0.2">
      <c r="A294" s="36"/>
      <c r="B294" s="14"/>
      <c r="C294" s="14" t="s">
        <v>279</v>
      </c>
      <c r="D294" s="14"/>
      <c r="E294" s="14"/>
      <c r="F294" s="14"/>
      <c r="G294" s="14"/>
      <c r="H294" s="69" t="e">
        <f>#REF!</f>
        <v>#REF!</v>
      </c>
      <c r="I294" s="73"/>
      <c r="J294" s="69">
        <v>300000</v>
      </c>
    </row>
    <row r="295" spans="1:10" ht="14.25" x14ac:dyDescent="0.2">
      <c r="A295" s="36"/>
      <c r="B295" s="14"/>
      <c r="C295" s="14" t="s">
        <v>280</v>
      </c>
      <c r="D295" s="14"/>
      <c r="E295" s="14"/>
      <c r="F295" s="14"/>
      <c r="G295" s="14"/>
      <c r="H295" s="69"/>
      <c r="I295" s="73"/>
      <c r="J295" s="69"/>
    </row>
    <row r="296" spans="1:10" ht="14.25" x14ac:dyDescent="0.2">
      <c r="A296" s="36"/>
      <c r="B296" s="14"/>
      <c r="C296" s="14"/>
      <c r="D296" s="6" t="s">
        <v>135</v>
      </c>
      <c r="E296" s="14"/>
      <c r="F296" s="14"/>
      <c r="G296" s="14"/>
      <c r="H296" s="67" t="e">
        <f>SUM(H292:H295)</f>
        <v>#REF!</v>
      </c>
      <c r="I296" s="76"/>
      <c r="J296" s="67">
        <f>SUM(J292:J295)</f>
        <v>1300000</v>
      </c>
    </row>
    <row r="297" spans="1:10" ht="14.25" x14ac:dyDescent="0.2">
      <c r="A297" s="36" t="s">
        <v>579</v>
      </c>
      <c r="B297" s="14"/>
      <c r="C297" s="14" t="s">
        <v>305</v>
      </c>
      <c r="D297" s="14"/>
      <c r="E297" s="14"/>
      <c r="F297" s="14"/>
      <c r="G297" s="14"/>
      <c r="H297" s="69"/>
      <c r="I297" s="73"/>
      <c r="J297" s="69"/>
    </row>
    <row r="298" spans="1:10" ht="14.25" x14ac:dyDescent="0.2">
      <c r="A298" s="36"/>
      <c r="B298" s="14"/>
      <c r="C298" s="14" t="s">
        <v>160</v>
      </c>
      <c r="D298" s="14"/>
      <c r="E298" s="14"/>
      <c r="F298" s="14"/>
      <c r="G298" s="14"/>
      <c r="H298" s="69" t="e">
        <f>#REF!</f>
        <v>#REF!</v>
      </c>
      <c r="I298" s="73"/>
      <c r="J298" s="69">
        <v>3080000</v>
      </c>
    </row>
    <row r="299" spans="1:10" ht="14.25" x14ac:dyDescent="0.2">
      <c r="A299" s="36"/>
      <c r="B299" s="14"/>
      <c r="C299" s="14" t="s">
        <v>580</v>
      </c>
      <c r="D299" s="14"/>
      <c r="E299" s="14"/>
      <c r="F299" s="14"/>
      <c r="G299" s="14"/>
      <c r="H299" s="69"/>
      <c r="I299" s="73"/>
      <c r="J299" s="69"/>
    </row>
    <row r="300" spans="1:10" ht="14.25" x14ac:dyDescent="0.2">
      <c r="A300" s="36"/>
      <c r="B300" s="14"/>
      <c r="C300" s="14" t="s">
        <v>306</v>
      </c>
      <c r="D300" s="14"/>
      <c r="E300" s="14"/>
      <c r="F300" s="14"/>
      <c r="G300" s="14"/>
      <c r="H300" s="69"/>
      <c r="I300" s="73"/>
      <c r="J300" s="69"/>
    </row>
    <row r="301" spans="1:10" ht="14.25" x14ac:dyDescent="0.2">
      <c r="A301" s="36"/>
      <c r="B301" s="14"/>
      <c r="C301" s="14" t="s">
        <v>307</v>
      </c>
      <c r="D301" s="14"/>
      <c r="E301" s="14"/>
      <c r="F301" s="14"/>
      <c r="G301" s="14"/>
      <c r="H301" s="69"/>
      <c r="I301" s="73"/>
      <c r="J301" s="69"/>
    </row>
    <row r="302" spans="1:10" ht="14.25" x14ac:dyDescent="0.2">
      <c r="A302" s="36"/>
      <c r="B302" s="14"/>
      <c r="C302" s="14" t="s">
        <v>77</v>
      </c>
      <c r="D302" s="14"/>
      <c r="E302" s="14"/>
      <c r="F302" s="14"/>
      <c r="G302" s="14"/>
      <c r="H302" s="69" t="e">
        <f>#REF!</f>
        <v>#REF!</v>
      </c>
      <c r="I302" s="73"/>
      <c r="J302" s="69">
        <v>343220</v>
      </c>
    </row>
    <row r="303" spans="1:10" ht="14.25" x14ac:dyDescent="0.2">
      <c r="A303" s="36"/>
      <c r="B303" s="14"/>
      <c r="C303" s="14"/>
      <c r="D303" s="6" t="s">
        <v>135</v>
      </c>
      <c r="E303" s="14"/>
      <c r="F303" s="14"/>
      <c r="G303" s="14"/>
      <c r="H303" s="67" t="e">
        <f>SUM(H297:H302)</f>
        <v>#REF!</v>
      </c>
      <c r="I303" s="76"/>
      <c r="J303" s="67">
        <f>SUM(J297:J302)</f>
        <v>3423220</v>
      </c>
    </row>
    <row r="304" spans="1:10" ht="14.25" x14ac:dyDescent="0.2">
      <c r="A304" s="41" t="s">
        <v>581</v>
      </c>
      <c r="B304" s="14"/>
      <c r="C304" s="14"/>
      <c r="D304" s="14"/>
      <c r="E304" s="14"/>
      <c r="F304" s="14"/>
      <c r="G304" s="14"/>
      <c r="H304" s="67" t="e">
        <f>H291+H296-H303</f>
        <v>#REF!</v>
      </c>
      <c r="I304" s="76"/>
      <c r="J304" s="67">
        <f>J291+J296-J303</f>
        <v>10269479.100000003</v>
      </c>
    </row>
    <row r="305" spans="1:10" ht="14.25" x14ac:dyDescent="0.2">
      <c r="A305" s="36" t="s">
        <v>582</v>
      </c>
      <c r="B305" s="14"/>
      <c r="C305" s="14"/>
      <c r="D305" s="14"/>
      <c r="E305" s="14"/>
      <c r="F305" s="14"/>
      <c r="G305" s="14"/>
      <c r="H305" s="69"/>
      <c r="I305" s="73"/>
      <c r="J305" s="69"/>
    </row>
    <row r="306" spans="1:10" ht="14.25" x14ac:dyDescent="0.2">
      <c r="A306" s="36"/>
      <c r="B306" s="14"/>
      <c r="C306" s="14" t="s">
        <v>583</v>
      </c>
      <c r="D306" s="14"/>
      <c r="E306" s="14"/>
      <c r="F306" s="14"/>
      <c r="G306" s="14"/>
      <c r="H306" s="69"/>
      <c r="I306" s="73"/>
      <c r="J306" s="69"/>
    </row>
    <row r="307" spans="1:10" ht="14.25" x14ac:dyDescent="0.2">
      <c r="A307" s="36"/>
      <c r="B307" s="14"/>
      <c r="C307" s="14" t="s">
        <v>186</v>
      </c>
      <c r="D307" s="14"/>
      <c r="E307" s="14"/>
      <c r="F307" s="14"/>
      <c r="G307" s="14"/>
      <c r="H307" s="49"/>
      <c r="I307" s="73"/>
      <c r="J307" s="49"/>
    </row>
    <row r="308" spans="1:10" ht="14.25" x14ac:dyDescent="0.2">
      <c r="A308" s="36"/>
      <c r="B308" s="14"/>
      <c r="C308" s="14" t="s">
        <v>288</v>
      </c>
      <c r="D308" s="14"/>
      <c r="E308" s="14"/>
      <c r="F308" s="14"/>
      <c r="G308" s="14"/>
      <c r="H308" s="69"/>
      <c r="I308" s="73"/>
      <c r="J308" s="69"/>
    </row>
    <row r="309" spans="1:10" ht="15" thickBot="1" x14ac:dyDescent="0.25">
      <c r="A309" s="65" t="s">
        <v>51</v>
      </c>
      <c r="B309" s="66"/>
      <c r="C309" s="66"/>
      <c r="D309" s="66"/>
      <c r="E309" s="66"/>
      <c r="F309" s="66"/>
      <c r="G309" s="66"/>
      <c r="H309" s="70" t="e">
        <f>H304+H307</f>
        <v>#REF!</v>
      </c>
      <c r="I309" s="76"/>
      <c r="J309" s="70">
        <f>J304+J307</f>
        <v>10269479.100000003</v>
      </c>
    </row>
    <row r="310" spans="1:10" ht="13.5" thickTop="1" x14ac:dyDescent="0.2"/>
    <row r="311" spans="1:10" x14ac:dyDescent="0.2">
      <c r="C311" s="6"/>
      <c r="H311" s="7"/>
      <c r="J311" s="7"/>
    </row>
    <row r="312" spans="1:10" x14ac:dyDescent="0.2">
      <c r="D312" s="6" t="s">
        <v>163</v>
      </c>
      <c r="H312" s="7"/>
    </row>
    <row r="313" spans="1:10" x14ac:dyDescent="0.2">
      <c r="D313" s="27"/>
      <c r="H313" s="7"/>
    </row>
    <row r="314" spans="1:10" x14ac:dyDescent="0.2">
      <c r="D314" s="27"/>
      <c r="H314" s="7"/>
      <c r="J314" s="7"/>
    </row>
    <row r="315" spans="1:10" x14ac:dyDescent="0.2">
      <c r="D315" s="27"/>
      <c r="H315" s="7"/>
    </row>
    <row r="316" spans="1:10" x14ac:dyDescent="0.2">
      <c r="D316" s="27"/>
    </row>
    <row r="317" spans="1:10" x14ac:dyDescent="0.2">
      <c r="C317" s="6"/>
      <c r="F317" s="6" t="s">
        <v>162</v>
      </c>
      <c r="H317" s="8"/>
    </row>
    <row r="318" spans="1:10" x14ac:dyDescent="0.2">
      <c r="C318" s="6"/>
      <c r="F318" t="s">
        <v>161</v>
      </c>
    </row>
    <row r="319" spans="1:10" x14ac:dyDescent="0.2">
      <c r="H319" s="7"/>
    </row>
    <row r="462" spans="3:10" x14ac:dyDescent="0.2">
      <c r="C462" s="6"/>
      <c r="D462" s="14"/>
      <c r="J462" s="7"/>
    </row>
    <row r="463" spans="3:10" x14ac:dyDescent="0.2">
      <c r="C463" s="6"/>
      <c r="D463" s="14"/>
      <c r="J463" s="7"/>
    </row>
    <row r="464" spans="3:10" x14ac:dyDescent="0.2">
      <c r="C464" s="6"/>
      <c r="D464" s="14"/>
      <c r="J464" s="7"/>
    </row>
    <row r="465" spans="3:10" x14ac:dyDescent="0.2">
      <c r="C465" s="6"/>
      <c r="D465" s="14"/>
      <c r="J465" s="7"/>
    </row>
    <row r="466" spans="3:10" x14ac:dyDescent="0.2">
      <c r="C466" s="6"/>
      <c r="D466" s="14"/>
      <c r="J466" s="7"/>
    </row>
    <row r="467" spans="3:10" x14ac:dyDescent="0.2">
      <c r="C467" s="6"/>
      <c r="D467" s="14"/>
      <c r="J467" s="7"/>
    </row>
    <row r="468" spans="3:10" x14ac:dyDescent="0.2">
      <c r="C468" s="6"/>
      <c r="D468" s="14"/>
      <c r="J468" s="7"/>
    </row>
    <row r="469" spans="3:10" x14ac:dyDescent="0.2">
      <c r="C469" s="6"/>
      <c r="D469" s="14"/>
      <c r="J469" s="7"/>
    </row>
    <row r="470" spans="3:10" x14ac:dyDescent="0.2">
      <c r="C470" s="6"/>
      <c r="D470" s="14"/>
      <c r="J470" s="7"/>
    </row>
    <row r="471" spans="3:10" x14ac:dyDescent="0.2">
      <c r="C471" s="6"/>
      <c r="D471" s="14"/>
      <c r="J471" s="7"/>
    </row>
    <row r="472" spans="3:10" x14ac:dyDescent="0.2">
      <c r="C472" s="6"/>
      <c r="D472" s="14"/>
      <c r="J472" s="7"/>
    </row>
    <row r="473" spans="3:10" x14ac:dyDescent="0.2">
      <c r="C473" s="6"/>
      <c r="D473" s="14"/>
      <c r="J473" s="7"/>
    </row>
    <row r="474" spans="3:10" x14ac:dyDescent="0.2">
      <c r="C474" s="6"/>
      <c r="D474" s="14"/>
      <c r="J474" s="7"/>
    </row>
    <row r="475" spans="3:10" x14ac:dyDescent="0.2">
      <c r="C475" s="6"/>
      <c r="D475" s="6"/>
      <c r="J475" s="7"/>
    </row>
    <row r="476" spans="3:10" x14ac:dyDescent="0.2">
      <c r="D476" s="6"/>
      <c r="H476" s="7"/>
    </row>
    <row r="477" spans="3:10" x14ac:dyDescent="0.2">
      <c r="D477" s="27"/>
    </row>
    <row r="478" spans="3:10" x14ac:dyDescent="0.2">
      <c r="D478" s="27"/>
    </row>
    <row r="479" spans="3:10" x14ac:dyDescent="0.2">
      <c r="D479" s="27"/>
    </row>
    <row r="480" spans="3:10" x14ac:dyDescent="0.2">
      <c r="D480" s="27"/>
    </row>
    <row r="481" spans="3:8" x14ac:dyDescent="0.2">
      <c r="C481" s="6"/>
      <c r="G481" s="6"/>
      <c r="H481" s="8"/>
    </row>
    <row r="482" spans="3:8" x14ac:dyDescent="0.2">
      <c r="C482" s="6"/>
    </row>
    <row r="483" spans="3:8" x14ac:dyDescent="0.2">
      <c r="H483" s="7"/>
    </row>
  </sheetData>
  <mergeCells count="6">
    <mergeCell ref="A3:J3"/>
    <mergeCell ref="A5:J5"/>
    <mergeCell ref="A8:J8"/>
    <mergeCell ref="A7:J7"/>
    <mergeCell ref="A1:J1"/>
    <mergeCell ref="A2:J2"/>
  </mergeCells>
  <phoneticPr fontId="3" type="noConversion"/>
  <pageMargins left="0.6" right="0.75" top="1.03" bottom="1.75" header="0.5" footer="0.5"/>
  <pageSetup paperSize="5" scale="90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5"/>
  <sheetViews>
    <sheetView workbookViewId="0">
      <selection sqref="A1:E1"/>
    </sheetView>
  </sheetViews>
  <sheetFormatPr defaultRowHeight="12.75" x14ac:dyDescent="0.2"/>
  <cols>
    <col min="1" max="1" width="46.7109375" customWidth="1"/>
    <col min="2" max="2" width="8.42578125" customWidth="1"/>
    <col min="3" max="3" width="11.28515625" bestFit="1" customWidth="1"/>
    <col min="4" max="4" width="11.42578125" customWidth="1"/>
    <col min="5" max="5" width="16.140625" customWidth="1"/>
    <col min="6" max="6" width="14.42578125" customWidth="1"/>
    <col min="7" max="7" width="17.7109375" style="8" customWidth="1"/>
    <col min="8" max="8" width="14.7109375" customWidth="1"/>
    <col min="9" max="9" width="11.28515625" bestFit="1" customWidth="1"/>
    <col min="10" max="10" width="15.140625" style="8" customWidth="1"/>
    <col min="11" max="11" width="17.85546875" customWidth="1"/>
  </cols>
  <sheetData>
    <row r="1" spans="1:8" x14ac:dyDescent="0.2">
      <c r="A1" s="433" t="s">
        <v>198</v>
      </c>
      <c r="B1" s="433"/>
      <c r="C1" s="433"/>
      <c r="D1" s="433"/>
      <c r="E1" s="433"/>
    </row>
    <row r="2" spans="1:8" x14ac:dyDescent="0.2">
      <c r="A2" s="433" t="s">
        <v>608</v>
      </c>
      <c r="B2" s="433"/>
      <c r="C2" s="433"/>
      <c r="D2" s="433"/>
      <c r="E2" s="433"/>
    </row>
    <row r="3" spans="1:8" x14ac:dyDescent="0.2">
      <c r="A3" s="395" t="s">
        <v>86</v>
      </c>
      <c r="B3" s="395"/>
      <c r="C3" s="395"/>
      <c r="D3" s="395"/>
      <c r="E3" s="395"/>
      <c r="F3" s="14"/>
      <c r="G3" s="83"/>
    </row>
    <row r="5" spans="1:8" x14ac:dyDescent="0.2">
      <c r="A5" s="395" t="s">
        <v>94</v>
      </c>
      <c r="B5" s="395"/>
      <c r="C5" s="395"/>
      <c r="D5" s="395"/>
      <c r="E5" s="395"/>
      <c r="F5" s="6"/>
      <c r="G5" s="79"/>
    </row>
    <row r="6" spans="1:8" x14ac:dyDescent="0.2">
      <c r="A6" s="396" t="s">
        <v>642</v>
      </c>
      <c r="B6" s="432"/>
      <c r="C6" s="432"/>
      <c r="D6" s="432"/>
      <c r="E6" s="432"/>
      <c r="F6" s="14"/>
      <c r="G6" s="83"/>
    </row>
    <row r="7" spans="1:8" x14ac:dyDescent="0.2">
      <c r="A7" s="395" t="s">
        <v>159</v>
      </c>
      <c r="B7" s="395"/>
      <c r="C7" s="395"/>
      <c r="D7" s="395"/>
      <c r="E7" s="395"/>
      <c r="F7" s="13"/>
      <c r="G7" s="84"/>
    </row>
    <row r="8" spans="1:8" x14ac:dyDescent="0.2">
      <c r="A8" s="13"/>
      <c r="B8" s="13"/>
      <c r="C8" s="13"/>
      <c r="D8" s="13"/>
      <c r="E8" s="5"/>
      <c r="F8" s="13"/>
      <c r="G8" s="84"/>
    </row>
    <row r="9" spans="1:8" x14ac:dyDescent="0.2">
      <c r="A9" s="14"/>
      <c r="B9" s="14"/>
      <c r="C9" s="14"/>
      <c r="D9" s="19"/>
      <c r="E9" s="19"/>
      <c r="F9" s="14"/>
      <c r="G9" s="17"/>
    </row>
    <row r="10" spans="1:8" x14ac:dyDescent="0.2">
      <c r="A10" s="14"/>
      <c r="B10" s="5" t="s">
        <v>0</v>
      </c>
      <c r="C10" s="6"/>
      <c r="D10" s="395" t="s">
        <v>95</v>
      </c>
      <c r="E10" s="395"/>
      <c r="F10" s="14"/>
      <c r="G10" s="17"/>
    </row>
    <row r="11" spans="1:8" x14ac:dyDescent="0.2">
      <c r="A11" s="14"/>
      <c r="B11" s="5" t="s">
        <v>1</v>
      </c>
      <c r="C11" s="6"/>
      <c r="D11" s="5"/>
      <c r="E11" s="6"/>
      <c r="F11" s="14"/>
      <c r="G11" s="17"/>
    </row>
    <row r="12" spans="1:8" x14ac:dyDescent="0.2">
      <c r="A12" s="6" t="s">
        <v>119</v>
      </c>
      <c r="B12" s="14"/>
      <c r="C12" s="14"/>
      <c r="D12" s="14"/>
      <c r="E12" s="14"/>
      <c r="F12" s="14"/>
      <c r="G12" s="17"/>
    </row>
    <row r="13" spans="1:8" ht="13.5" thickBot="1" x14ac:dyDescent="0.25">
      <c r="A13" s="14" t="s">
        <v>2</v>
      </c>
      <c r="B13" s="13">
        <v>101</v>
      </c>
      <c r="C13" s="14"/>
      <c r="D13" s="14"/>
      <c r="E13" s="20">
        <v>3359712.47</v>
      </c>
      <c r="F13" s="14"/>
      <c r="G13" s="17"/>
    </row>
    <row r="14" spans="1:8" ht="13.5" thickTop="1" x14ac:dyDescent="0.2">
      <c r="A14" s="14"/>
      <c r="B14" s="13"/>
      <c r="C14" s="14"/>
      <c r="D14" s="14"/>
      <c r="E14" s="15"/>
      <c r="F14" s="14"/>
      <c r="G14" s="17"/>
    </row>
    <row r="15" spans="1:8" x14ac:dyDescent="0.2">
      <c r="A15" s="9" t="s">
        <v>631</v>
      </c>
      <c r="B15" s="10" t="s">
        <v>628</v>
      </c>
      <c r="C15" s="14"/>
      <c r="D15" s="14"/>
      <c r="E15" s="86">
        <v>23642.37</v>
      </c>
      <c r="F15" s="14"/>
      <c r="G15" s="17"/>
      <c r="H15" s="7"/>
    </row>
    <row r="16" spans="1:8" x14ac:dyDescent="0.2">
      <c r="A16" s="9" t="s">
        <v>630</v>
      </c>
      <c r="B16" s="10" t="s">
        <v>629</v>
      </c>
      <c r="C16" s="14"/>
      <c r="D16" s="14"/>
      <c r="E16" s="89">
        <v>20000</v>
      </c>
      <c r="F16" s="14"/>
      <c r="G16" s="17"/>
      <c r="H16" s="7"/>
    </row>
    <row r="17" spans="1:10" ht="13.5" thickBot="1" x14ac:dyDescent="0.25">
      <c r="A17" s="14"/>
      <c r="B17" s="10"/>
      <c r="C17" s="14"/>
      <c r="D17" s="14"/>
      <c r="E17" s="18">
        <f>E15+E16</f>
        <v>43642.369999999995</v>
      </c>
      <c r="F17" s="23"/>
      <c r="G17" s="17"/>
      <c r="H17" s="7"/>
    </row>
    <row r="18" spans="1:10" ht="13.5" thickTop="1" x14ac:dyDescent="0.2">
      <c r="A18" s="14"/>
      <c r="B18" s="13"/>
      <c r="C18" s="14"/>
      <c r="D18" s="14"/>
      <c r="E18" s="21"/>
      <c r="F18" s="14"/>
      <c r="G18" s="17"/>
    </row>
    <row r="19" spans="1:10" ht="13.5" thickBot="1" x14ac:dyDescent="0.25">
      <c r="A19" s="14" t="s">
        <v>183</v>
      </c>
      <c r="B19" s="13">
        <v>106</v>
      </c>
      <c r="C19" s="14"/>
      <c r="D19" s="14"/>
      <c r="E19" s="20" t="e">
        <f>#REF!</f>
        <v>#REF!</v>
      </c>
      <c r="F19" s="14"/>
      <c r="G19" s="81"/>
    </row>
    <row r="20" spans="1:10" ht="13.5" thickTop="1" x14ac:dyDescent="0.2">
      <c r="A20" s="14"/>
      <c r="B20" s="13"/>
      <c r="C20" s="14"/>
      <c r="D20" s="14"/>
      <c r="E20" s="21"/>
      <c r="F20" s="14"/>
      <c r="G20" s="80"/>
      <c r="J20" s="4"/>
    </row>
    <row r="21" spans="1:10" x14ac:dyDescent="0.2">
      <c r="A21" s="14" t="s">
        <v>172</v>
      </c>
      <c r="B21" s="10" t="s">
        <v>618</v>
      </c>
      <c r="C21" s="14"/>
      <c r="D21" s="14"/>
      <c r="E21" s="15">
        <v>11642128.01</v>
      </c>
      <c r="F21" s="23"/>
      <c r="G21" s="80"/>
      <c r="J21" s="4"/>
    </row>
    <row r="22" spans="1:10" x14ac:dyDescent="0.2">
      <c r="A22" s="9" t="s">
        <v>614</v>
      </c>
      <c r="B22" s="10" t="s">
        <v>616</v>
      </c>
      <c r="C22" s="14"/>
      <c r="D22" s="14"/>
      <c r="E22" s="15">
        <v>14328.66</v>
      </c>
      <c r="F22" s="14"/>
      <c r="G22" s="80"/>
      <c r="J22" s="4"/>
    </row>
    <row r="23" spans="1:10" x14ac:dyDescent="0.2">
      <c r="A23" s="9" t="s">
        <v>615</v>
      </c>
      <c r="B23" s="10" t="s">
        <v>617</v>
      </c>
      <c r="C23" s="14"/>
      <c r="D23" s="14"/>
      <c r="E23" s="15">
        <v>33326.04</v>
      </c>
      <c r="F23" s="14"/>
      <c r="G23" s="80"/>
      <c r="J23" s="4"/>
    </row>
    <row r="24" spans="1:10" x14ac:dyDescent="0.2">
      <c r="A24" s="9" t="s">
        <v>619</v>
      </c>
      <c r="B24" s="13" t="s">
        <v>147</v>
      </c>
      <c r="C24" s="14"/>
      <c r="D24" s="14"/>
      <c r="E24" s="15">
        <v>-15.49</v>
      </c>
      <c r="F24" s="14"/>
      <c r="G24" s="80"/>
      <c r="H24" s="7"/>
      <c r="J24" s="21"/>
    </row>
    <row r="25" spans="1:10" x14ac:dyDescent="0.2">
      <c r="A25" s="9" t="s">
        <v>620</v>
      </c>
      <c r="B25" s="13" t="s">
        <v>149</v>
      </c>
      <c r="C25" s="14"/>
      <c r="D25" s="14"/>
      <c r="E25" s="15">
        <v>9081382.9900000002</v>
      </c>
      <c r="F25" s="23"/>
      <c r="G25" s="15"/>
      <c r="J25" s="4"/>
    </row>
    <row r="26" spans="1:10" x14ac:dyDescent="0.2">
      <c r="A26" s="9" t="s">
        <v>625</v>
      </c>
      <c r="B26" s="10" t="s">
        <v>611</v>
      </c>
      <c r="C26" s="14"/>
      <c r="D26" s="14"/>
      <c r="E26" s="15">
        <v>3799238.41</v>
      </c>
      <c r="F26" s="23"/>
      <c r="G26" s="15"/>
      <c r="J26" s="4"/>
    </row>
    <row r="27" spans="1:10" x14ac:dyDescent="0.2">
      <c r="A27" s="9" t="s">
        <v>633</v>
      </c>
      <c r="B27" s="10" t="s">
        <v>621</v>
      </c>
      <c r="C27" s="14"/>
      <c r="D27" s="14"/>
      <c r="E27" s="15">
        <v>12452466.619999999</v>
      </c>
      <c r="F27" s="23"/>
      <c r="G27" s="15"/>
      <c r="J27" s="4"/>
    </row>
    <row r="28" spans="1:10" x14ac:dyDescent="0.2">
      <c r="A28" s="9" t="s">
        <v>624</v>
      </c>
      <c r="B28" s="10" t="s">
        <v>622</v>
      </c>
      <c r="C28" s="14"/>
      <c r="D28" s="14"/>
      <c r="E28" s="15">
        <v>8679983.6500000004</v>
      </c>
      <c r="F28" s="23"/>
      <c r="G28" s="15"/>
      <c r="J28" s="4"/>
    </row>
    <row r="29" spans="1:10" x14ac:dyDescent="0.2">
      <c r="A29" s="9" t="s">
        <v>626</v>
      </c>
      <c r="B29" s="10" t="s">
        <v>623</v>
      </c>
      <c r="C29" s="14"/>
      <c r="D29" s="14"/>
      <c r="E29" s="15">
        <v>1025000</v>
      </c>
      <c r="F29" s="23"/>
      <c r="G29" s="15"/>
      <c r="H29" s="7"/>
      <c r="J29" s="4"/>
    </row>
    <row r="30" spans="1:10" x14ac:dyDescent="0.2">
      <c r="A30" s="9" t="s">
        <v>627</v>
      </c>
      <c r="B30" s="10" t="s">
        <v>634</v>
      </c>
      <c r="C30" s="14"/>
      <c r="D30" s="14"/>
      <c r="E30" s="15">
        <v>1272462.74</v>
      </c>
      <c r="F30" s="23"/>
      <c r="G30" s="15"/>
      <c r="J30" s="4"/>
    </row>
    <row r="31" spans="1:10" x14ac:dyDescent="0.2">
      <c r="A31" s="9" t="s">
        <v>635</v>
      </c>
      <c r="B31" s="10" t="s">
        <v>636</v>
      </c>
      <c r="E31" s="90">
        <v>3010000</v>
      </c>
    </row>
    <row r="32" spans="1:10" x14ac:dyDescent="0.2">
      <c r="A32" s="9" t="s">
        <v>644</v>
      </c>
      <c r="B32" s="10" t="s">
        <v>643</v>
      </c>
      <c r="E32" s="90">
        <v>20153516.550000001</v>
      </c>
    </row>
    <row r="33" spans="1:10" ht="13.5" thickBot="1" x14ac:dyDescent="0.25">
      <c r="A33" s="6" t="s">
        <v>135</v>
      </c>
      <c r="B33" s="13"/>
      <c r="C33" s="14"/>
      <c r="D33" s="14"/>
      <c r="E33" s="18">
        <f>SUM(E21:E32)</f>
        <v>71163818.180000007</v>
      </c>
      <c r="F33" s="23"/>
      <c r="G33" s="15"/>
      <c r="J33" s="4"/>
    </row>
    <row r="34" spans="1:10" ht="13.5" thickTop="1" x14ac:dyDescent="0.2">
      <c r="A34" s="6"/>
      <c r="B34" s="13"/>
      <c r="C34" s="14"/>
      <c r="D34" s="14"/>
      <c r="E34" s="21"/>
      <c r="F34" s="23"/>
      <c r="G34" s="15"/>
      <c r="J34" s="4"/>
    </row>
    <row r="35" spans="1:10" ht="13.5" thickBot="1" x14ac:dyDescent="0.25">
      <c r="A35" s="6" t="s">
        <v>118</v>
      </c>
      <c r="B35" s="13"/>
      <c r="C35" s="14"/>
      <c r="D35" s="14"/>
      <c r="E35" s="20" t="e">
        <f>E13+E17+E33+E19</f>
        <v>#REF!</v>
      </c>
      <c r="F35" s="23"/>
      <c r="G35" s="15"/>
      <c r="J35" s="4"/>
    </row>
    <row r="36" spans="1:10" ht="13.5" thickTop="1" x14ac:dyDescent="0.2">
      <c r="A36" s="14"/>
      <c r="B36" s="13"/>
      <c r="C36" s="14"/>
      <c r="D36" s="14"/>
      <c r="E36" s="15"/>
      <c r="F36" s="23"/>
      <c r="G36" s="17"/>
    </row>
    <row r="37" spans="1:10" x14ac:dyDescent="0.2">
      <c r="A37" s="6" t="s">
        <v>96</v>
      </c>
      <c r="B37" s="13"/>
      <c r="C37" s="14"/>
      <c r="D37" s="14"/>
      <c r="E37" s="14"/>
      <c r="F37" s="23"/>
      <c r="G37" s="17"/>
    </row>
    <row r="38" spans="1:10" x14ac:dyDescent="0.2">
      <c r="A38" s="14" t="s">
        <v>97</v>
      </c>
      <c r="B38" s="13">
        <v>127</v>
      </c>
      <c r="C38" s="14"/>
      <c r="D38" s="14"/>
      <c r="E38" s="15">
        <v>24158078.289999999</v>
      </c>
      <c r="F38" s="14"/>
      <c r="G38" s="17"/>
    </row>
    <row r="39" spans="1:10" x14ac:dyDescent="0.2">
      <c r="A39" s="9" t="s">
        <v>4</v>
      </c>
      <c r="B39" s="13">
        <v>136</v>
      </c>
      <c r="C39" s="14"/>
      <c r="D39" s="14"/>
      <c r="E39" s="15" t="e">
        <f>#REF!</f>
        <v>#REF!</v>
      </c>
      <c r="F39" s="14"/>
      <c r="G39" s="17"/>
    </row>
    <row r="40" spans="1:10" x14ac:dyDescent="0.2">
      <c r="A40" s="9" t="s">
        <v>67</v>
      </c>
      <c r="B40" s="13">
        <v>137</v>
      </c>
      <c r="C40" s="14"/>
      <c r="D40" s="14"/>
      <c r="E40" s="15" t="e">
        <f>#REF!</f>
        <v>#REF!</v>
      </c>
      <c r="F40" s="14"/>
      <c r="G40" s="17"/>
    </row>
    <row r="41" spans="1:10" x14ac:dyDescent="0.2">
      <c r="A41" s="9" t="s">
        <v>5</v>
      </c>
      <c r="B41" s="13">
        <v>138</v>
      </c>
      <c r="C41" s="14"/>
      <c r="D41" s="14"/>
      <c r="E41" s="15" t="e">
        <f>#REF!</f>
        <v>#REF!</v>
      </c>
      <c r="F41" s="14"/>
      <c r="G41" s="17"/>
    </row>
    <row r="42" spans="1:10" x14ac:dyDescent="0.2">
      <c r="A42" s="33" t="s">
        <v>165</v>
      </c>
      <c r="B42" s="13">
        <v>144</v>
      </c>
      <c r="C42" s="14"/>
      <c r="D42" s="14"/>
      <c r="E42" s="15">
        <v>626192.34</v>
      </c>
      <c r="F42" s="14"/>
      <c r="G42" s="17"/>
    </row>
    <row r="43" spans="1:10" x14ac:dyDescent="0.2">
      <c r="A43" s="14" t="s">
        <v>6</v>
      </c>
      <c r="B43" s="13">
        <v>146</v>
      </c>
      <c r="C43" s="14"/>
      <c r="D43" s="14"/>
      <c r="E43" s="15">
        <v>23333.02</v>
      </c>
      <c r="F43" s="14"/>
      <c r="G43" s="17"/>
    </row>
    <row r="44" spans="1:10" x14ac:dyDescent="0.2">
      <c r="A44" s="14" t="s">
        <v>66</v>
      </c>
      <c r="B44" s="13">
        <v>148</v>
      </c>
      <c r="C44" s="14"/>
      <c r="D44" s="14"/>
      <c r="E44" s="15">
        <v>4540207.8899999997</v>
      </c>
      <c r="F44" s="14"/>
      <c r="G44" s="17"/>
    </row>
    <row r="45" spans="1:10" x14ac:dyDescent="0.2">
      <c r="A45" s="14" t="s">
        <v>56</v>
      </c>
      <c r="B45" s="13">
        <v>149</v>
      </c>
      <c r="C45" s="14"/>
      <c r="D45" s="14"/>
      <c r="E45" s="16" t="e">
        <f>#REF!</f>
        <v>#REF!</v>
      </c>
      <c r="F45" s="14"/>
      <c r="G45" s="17"/>
    </row>
    <row r="46" spans="1:10" ht="13.5" thickBot="1" x14ac:dyDescent="0.25">
      <c r="A46" s="6" t="s">
        <v>120</v>
      </c>
      <c r="B46" s="13"/>
      <c r="C46" s="14"/>
      <c r="D46" s="14"/>
      <c r="E46" s="20" t="e">
        <f>SUM(E38:E45)</f>
        <v>#REF!</v>
      </c>
      <c r="F46" s="14"/>
      <c r="G46" s="17"/>
    </row>
    <row r="47" spans="1:10" ht="13.5" thickTop="1" x14ac:dyDescent="0.2">
      <c r="A47" s="14"/>
      <c r="B47" s="13"/>
      <c r="C47" s="14"/>
      <c r="D47" s="14"/>
      <c r="E47" s="14"/>
      <c r="F47" s="14"/>
      <c r="G47" s="17"/>
    </row>
    <row r="48" spans="1:10" x14ac:dyDescent="0.2">
      <c r="A48" s="6" t="s">
        <v>129</v>
      </c>
      <c r="B48" s="13"/>
      <c r="C48" s="14"/>
      <c r="D48" s="14"/>
      <c r="E48" s="14"/>
      <c r="F48" s="14"/>
      <c r="G48" s="17"/>
    </row>
    <row r="49" spans="1:7" x14ac:dyDescent="0.2">
      <c r="A49" s="9" t="s">
        <v>338</v>
      </c>
      <c r="B49" s="13">
        <v>155</v>
      </c>
      <c r="C49" s="14"/>
      <c r="D49" s="14"/>
      <c r="E49" s="17">
        <v>17842.5</v>
      </c>
      <c r="F49" s="14"/>
      <c r="G49" s="17"/>
    </row>
    <row r="50" spans="1:7" x14ac:dyDescent="0.2">
      <c r="A50" s="9" t="s">
        <v>138</v>
      </c>
      <c r="B50" s="13">
        <v>165</v>
      </c>
      <c r="C50" s="14"/>
      <c r="D50" s="14"/>
      <c r="E50" s="17">
        <v>145607.6</v>
      </c>
      <c r="F50" s="14"/>
      <c r="G50" s="17"/>
    </row>
    <row r="51" spans="1:7" x14ac:dyDescent="0.2">
      <c r="A51" s="9" t="s">
        <v>223</v>
      </c>
      <c r="B51" s="13">
        <v>168</v>
      </c>
      <c r="C51" s="14"/>
      <c r="D51" s="14"/>
      <c r="E51" s="17">
        <v>180</v>
      </c>
      <c r="F51" s="14"/>
      <c r="G51" s="17"/>
    </row>
    <row r="52" spans="1:7" ht="15" x14ac:dyDescent="0.35">
      <c r="A52" s="14" t="s">
        <v>7</v>
      </c>
      <c r="B52" s="13">
        <v>169</v>
      </c>
      <c r="C52" s="14"/>
      <c r="D52" s="14"/>
      <c r="E52" s="105" t="e">
        <f>#REF!</f>
        <v>#REF!</v>
      </c>
      <c r="F52" s="14"/>
      <c r="G52" s="17"/>
    </row>
    <row r="53" spans="1:7" ht="15" x14ac:dyDescent="0.35">
      <c r="A53" s="6" t="s">
        <v>135</v>
      </c>
      <c r="B53" s="13"/>
      <c r="C53" s="14"/>
      <c r="D53" s="14"/>
      <c r="E53" s="104" t="e">
        <f>SUM(E49:E52)</f>
        <v>#REF!</v>
      </c>
      <c r="F53" s="14"/>
      <c r="G53" s="17"/>
    </row>
    <row r="54" spans="1:7" x14ac:dyDescent="0.2">
      <c r="A54" s="14"/>
      <c r="B54" s="13"/>
      <c r="C54" s="14"/>
      <c r="D54" s="14"/>
      <c r="E54" s="21"/>
      <c r="F54" s="14"/>
      <c r="G54" s="17"/>
    </row>
    <row r="55" spans="1:7" x14ac:dyDescent="0.2">
      <c r="A55" s="41" t="s">
        <v>632</v>
      </c>
      <c r="B55" s="13"/>
      <c r="C55" s="14"/>
      <c r="D55" s="14"/>
      <c r="E55" s="21"/>
      <c r="F55" s="14"/>
      <c r="G55" s="17"/>
    </row>
    <row r="56" spans="1:7" x14ac:dyDescent="0.2">
      <c r="A56" s="9" t="s">
        <v>227</v>
      </c>
      <c r="B56" s="30">
        <v>178</v>
      </c>
      <c r="C56" s="14"/>
      <c r="D56" s="14"/>
      <c r="E56" s="86">
        <v>12893.88</v>
      </c>
      <c r="F56" s="14"/>
      <c r="G56" s="17"/>
    </row>
    <row r="57" spans="1:7" ht="15" x14ac:dyDescent="0.35">
      <c r="A57" s="9" t="s">
        <v>229</v>
      </c>
      <c r="B57" s="30">
        <v>181</v>
      </c>
      <c r="C57" s="14"/>
      <c r="D57" s="14"/>
      <c r="E57" s="105">
        <v>323539.58</v>
      </c>
      <c r="F57" s="14"/>
      <c r="G57" s="17"/>
    </row>
    <row r="58" spans="1:7" ht="15" x14ac:dyDescent="0.35">
      <c r="A58" s="6" t="s">
        <v>135</v>
      </c>
      <c r="B58" s="30"/>
      <c r="C58" s="14"/>
      <c r="D58" s="14"/>
      <c r="E58" s="104">
        <f>E56+E57</f>
        <v>336433.46</v>
      </c>
      <c r="F58" s="14"/>
      <c r="G58" s="17"/>
    </row>
    <row r="59" spans="1:7" x14ac:dyDescent="0.2">
      <c r="A59" s="6"/>
      <c r="B59" s="13"/>
      <c r="C59" s="14"/>
      <c r="D59" s="14"/>
      <c r="E59" s="21"/>
      <c r="F59" s="14"/>
      <c r="G59" s="17"/>
    </row>
    <row r="60" spans="1:7" x14ac:dyDescent="0.2">
      <c r="A60" s="6" t="s">
        <v>88</v>
      </c>
      <c r="B60" s="13"/>
      <c r="C60" s="14"/>
      <c r="D60" s="14"/>
      <c r="E60" s="14"/>
      <c r="F60" s="14"/>
      <c r="G60" s="17"/>
    </row>
    <row r="61" spans="1:7" x14ac:dyDescent="0.2">
      <c r="A61" s="14" t="s">
        <v>98</v>
      </c>
      <c r="B61" s="13">
        <v>201</v>
      </c>
      <c r="C61" s="14"/>
      <c r="D61" s="14"/>
      <c r="E61" s="15">
        <v>6961640</v>
      </c>
      <c r="F61" s="14"/>
      <c r="G61" s="17"/>
    </row>
    <row r="62" spans="1:7" x14ac:dyDescent="0.2">
      <c r="A62" s="14" t="s">
        <v>99</v>
      </c>
      <c r="B62" s="13">
        <v>202</v>
      </c>
      <c r="C62" s="14"/>
      <c r="D62" s="14"/>
      <c r="E62" s="15" t="e">
        <f>#REF!</f>
        <v>#REF!</v>
      </c>
      <c r="F62" s="14"/>
      <c r="G62" s="17"/>
    </row>
    <row r="63" spans="1:7" x14ac:dyDescent="0.2">
      <c r="A63" s="9" t="s">
        <v>233</v>
      </c>
      <c r="B63" s="13">
        <v>205</v>
      </c>
      <c r="C63" s="14"/>
      <c r="D63" s="15" t="e">
        <f>#REF!</f>
        <v>#REF!</v>
      </c>
      <c r="F63" s="14"/>
      <c r="G63" s="17"/>
    </row>
    <row r="64" spans="1:7" x14ac:dyDescent="0.2">
      <c r="A64" s="9" t="s">
        <v>606</v>
      </c>
      <c r="C64" s="14"/>
      <c r="F64" s="14"/>
      <c r="G64" s="17"/>
    </row>
    <row r="65" spans="1:7" x14ac:dyDescent="0.2">
      <c r="A65" s="9" t="s">
        <v>603</v>
      </c>
      <c r="B65" s="13">
        <v>305</v>
      </c>
      <c r="C65" s="14"/>
      <c r="D65" s="16">
        <v>2526.5700000000002</v>
      </c>
      <c r="E65" s="26" t="e">
        <f>D63-D65</f>
        <v>#REF!</v>
      </c>
      <c r="F65" s="14"/>
      <c r="G65" s="17"/>
    </row>
    <row r="66" spans="1:7" ht="13.5" thickBot="1" x14ac:dyDescent="0.25">
      <c r="A66" s="6" t="s">
        <v>121</v>
      </c>
      <c r="B66" s="13"/>
      <c r="C66" s="14"/>
      <c r="D66" s="14"/>
      <c r="E66" s="20" t="e">
        <f>SUM(E61:E65)</f>
        <v>#REF!</v>
      </c>
      <c r="F66" s="14"/>
      <c r="G66" s="17"/>
    </row>
    <row r="67" spans="1:7" ht="13.5" thickTop="1" x14ac:dyDescent="0.2">
      <c r="A67" s="14"/>
      <c r="B67" s="13"/>
      <c r="C67" s="14"/>
      <c r="D67" s="14"/>
      <c r="E67" s="14"/>
      <c r="F67" s="14"/>
      <c r="G67" s="17"/>
    </row>
    <row r="68" spans="1:7" x14ac:dyDescent="0.2">
      <c r="A68" s="6" t="s">
        <v>89</v>
      </c>
      <c r="B68" s="13"/>
      <c r="C68" s="14"/>
      <c r="D68" s="14"/>
      <c r="E68" s="14"/>
      <c r="F68" s="14"/>
      <c r="G68" s="17"/>
    </row>
    <row r="69" spans="1:7" x14ac:dyDescent="0.2">
      <c r="A69" s="14" t="s">
        <v>68</v>
      </c>
      <c r="B69" s="13">
        <v>211</v>
      </c>
      <c r="C69" s="14"/>
      <c r="D69" s="14"/>
      <c r="E69" s="15" t="e">
        <f>#REF!</f>
        <v>#REF!</v>
      </c>
      <c r="F69" s="14"/>
      <c r="G69" s="17"/>
    </row>
    <row r="70" spans="1:7" x14ac:dyDescent="0.2">
      <c r="A70" s="14" t="s">
        <v>69</v>
      </c>
      <c r="B70" s="13">
        <v>212</v>
      </c>
      <c r="C70" s="14"/>
      <c r="D70" s="14"/>
      <c r="E70" s="15">
        <v>3129562.15</v>
      </c>
      <c r="F70" s="14"/>
      <c r="G70" s="17"/>
    </row>
    <row r="71" spans="1:7" x14ac:dyDescent="0.2">
      <c r="A71" s="9" t="s">
        <v>645</v>
      </c>
      <c r="B71" s="13">
        <v>214</v>
      </c>
      <c r="C71" s="14"/>
      <c r="D71" s="14"/>
      <c r="E71" s="16" t="e">
        <f>#REF!</f>
        <v>#REF!</v>
      </c>
      <c r="F71" s="14"/>
      <c r="G71" s="17"/>
    </row>
    <row r="72" spans="1:7" ht="13.5" thickBot="1" x14ac:dyDescent="0.25">
      <c r="A72" s="6" t="s">
        <v>122</v>
      </c>
      <c r="B72" s="13"/>
      <c r="C72" s="14"/>
      <c r="D72" s="14"/>
      <c r="E72" s="18" t="e">
        <f>SUM(E69:E71)</f>
        <v>#REF!</v>
      </c>
      <c r="F72" s="14"/>
      <c r="G72" s="17"/>
    </row>
    <row r="73" spans="1:7" ht="13.5" thickTop="1" x14ac:dyDescent="0.2">
      <c r="A73" s="6"/>
      <c r="B73" s="13"/>
      <c r="C73" s="14"/>
      <c r="D73" s="14"/>
      <c r="E73" s="21"/>
      <c r="F73" s="14"/>
      <c r="G73" s="17"/>
    </row>
    <row r="74" spans="1:7" x14ac:dyDescent="0.2">
      <c r="A74" s="6" t="s">
        <v>100</v>
      </c>
      <c r="B74" s="13"/>
      <c r="C74" s="14"/>
      <c r="D74" s="14"/>
      <c r="E74" s="14"/>
      <c r="F74" s="14"/>
      <c r="G74" s="17"/>
    </row>
    <row r="75" spans="1:7" x14ac:dyDescent="0.2">
      <c r="A75" s="14" t="s">
        <v>9</v>
      </c>
      <c r="B75" s="13">
        <v>221</v>
      </c>
      <c r="C75" s="14"/>
      <c r="D75" s="14"/>
      <c r="E75" s="15">
        <v>412938</v>
      </c>
      <c r="F75" s="14"/>
      <c r="G75" s="17"/>
    </row>
    <row r="76" spans="1:7" x14ac:dyDescent="0.2">
      <c r="A76" s="14" t="s">
        <v>32</v>
      </c>
      <c r="B76" s="13">
        <v>321</v>
      </c>
      <c r="C76" s="14"/>
      <c r="D76" s="14"/>
      <c r="E76" s="16">
        <v>214397.84</v>
      </c>
      <c r="F76" s="14"/>
      <c r="G76" s="17"/>
    </row>
    <row r="77" spans="1:7" ht="13.5" thickBot="1" x14ac:dyDescent="0.25">
      <c r="A77" s="6" t="s">
        <v>158</v>
      </c>
      <c r="B77" s="13"/>
      <c r="C77" s="14"/>
      <c r="D77" s="14"/>
      <c r="E77" s="18">
        <f>E75-E76</f>
        <v>198540.16</v>
      </c>
      <c r="F77" s="14"/>
      <c r="G77" s="17"/>
    </row>
    <row r="78" spans="1:7" ht="13.5" thickTop="1" x14ac:dyDescent="0.2">
      <c r="A78" s="14"/>
      <c r="B78" s="13"/>
      <c r="C78" s="14"/>
      <c r="D78" s="14"/>
      <c r="E78" s="15"/>
      <c r="F78" s="14"/>
      <c r="G78" s="17"/>
    </row>
    <row r="79" spans="1:7" x14ac:dyDescent="0.2">
      <c r="A79" s="14" t="s">
        <v>57</v>
      </c>
      <c r="B79" s="13">
        <v>222</v>
      </c>
      <c r="C79" s="14"/>
      <c r="D79" s="14"/>
      <c r="E79" s="15">
        <v>1072313.08</v>
      </c>
      <c r="F79" s="14"/>
      <c r="G79" s="17"/>
    </row>
    <row r="80" spans="1:7" x14ac:dyDescent="0.2">
      <c r="A80" s="14" t="s">
        <v>152</v>
      </c>
      <c r="B80" s="13">
        <v>322</v>
      </c>
      <c r="C80" s="14"/>
      <c r="D80" s="14"/>
      <c r="E80" s="16">
        <v>549768.13</v>
      </c>
      <c r="F80" s="14"/>
      <c r="G80" s="17"/>
    </row>
    <row r="81" spans="1:11" ht="13.5" thickBot="1" x14ac:dyDescent="0.25">
      <c r="A81" s="6" t="s">
        <v>158</v>
      </c>
      <c r="B81" s="13"/>
      <c r="C81" s="14"/>
      <c r="D81" s="14"/>
      <c r="E81" s="18">
        <f>E79-E80</f>
        <v>522544.95000000007</v>
      </c>
      <c r="F81" s="14"/>
      <c r="G81" s="17"/>
    </row>
    <row r="82" spans="1:11" ht="13.5" thickTop="1" x14ac:dyDescent="0.2">
      <c r="A82" s="14"/>
      <c r="B82" s="13"/>
      <c r="C82" s="14"/>
      <c r="D82" s="14"/>
      <c r="E82" s="15"/>
      <c r="F82" s="14"/>
      <c r="G82" s="17"/>
    </row>
    <row r="83" spans="1:11" x14ac:dyDescent="0.2">
      <c r="A83" s="12" t="s">
        <v>10</v>
      </c>
      <c r="B83" s="11">
        <v>223</v>
      </c>
      <c r="C83" s="12"/>
      <c r="E83" s="15" t="e">
        <f>#REF!</f>
        <v>#REF!</v>
      </c>
      <c r="F83" s="14"/>
      <c r="G83" s="17"/>
    </row>
    <row r="84" spans="1:11" x14ac:dyDescent="0.2">
      <c r="A84" s="14" t="s">
        <v>154</v>
      </c>
      <c r="B84" s="13">
        <v>323</v>
      </c>
      <c r="C84" s="12"/>
      <c r="E84" s="16" t="e">
        <f>#REF!</f>
        <v>#REF!</v>
      </c>
      <c r="F84" s="14"/>
      <c r="G84" s="17"/>
    </row>
    <row r="85" spans="1:11" ht="13.5" thickBot="1" x14ac:dyDescent="0.25">
      <c r="A85" s="6" t="s">
        <v>158</v>
      </c>
      <c r="B85" s="11"/>
      <c r="C85" s="12"/>
      <c r="E85" s="18" t="e">
        <f>E83-E84</f>
        <v>#REF!</v>
      </c>
      <c r="F85" s="14"/>
      <c r="G85" s="17"/>
    </row>
    <row r="86" spans="1:11" ht="13.5" thickTop="1" x14ac:dyDescent="0.2">
      <c r="A86" s="12"/>
      <c r="B86" s="11"/>
      <c r="C86" s="12"/>
      <c r="E86" s="15"/>
      <c r="F86" s="14"/>
      <c r="G86" s="17"/>
    </row>
    <row r="87" spans="1:11" ht="13.5" thickBot="1" x14ac:dyDescent="0.25">
      <c r="A87" s="12" t="s">
        <v>11</v>
      </c>
      <c r="B87" s="11">
        <v>224</v>
      </c>
      <c r="C87" s="12"/>
      <c r="E87" s="20" t="e">
        <f>#REF!</f>
        <v>#REF!</v>
      </c>
      <c r="F87" s="14"/>
      <c r="G87" s="17"/>
    </row>
    <row r="88" spans="1:11" ht="13.5" thickTop="1" x14ac:dyDescent="0.2">
      <c r="A88" s="12"/>
      <c r="B88" s="11"/>
      <c r="C88" s="12"/>
      <c r="E88" s="15"/>
      <c r="F88" s="14"/>
      <c r="G88" s="17"/>
    </row>
    <row r="89" spans="1:11" ht="13.5" thickBot="1" x14ac:dyDescent="0.25">
      <c r="A89" s="6" t="s">
        <v>123</v>
      </c>
      <c r="B89" s="13"/>
      <c r="C89" s="14"/>
      <c r="D89" s="14"/>
      <c r="E89" s="22" t="e">
        <f>E77+E81+E85+E87</f>
        <v>#REF!</v>
      </c>
      <c r="F89" s="14"/>
      <c r="G89" s="85"/>
      <c r="H89" s="29"/>
      <c r="I89" s="29"/>
      <c r="J89" s="31"/>
      <c r="K89" s="31"/>
    </row>
    <row r="90" spans="1:11" ht="13.5" thickTop="1" x14ac:dyDescent="0.2">
      <c r="A90" s="14"/>
      <c r="B90" s="13"/>
      <c r="C90" s="14"/>
      <c r="D90" s="14"/>
      <c r="E90" s="14"/>
      <c r="F90" s="14"/>
      <c r="G90" s="85"/>
      <c r="H90" s="29"/>
      <c r="I90" s="29"/>
      <c r="J90" s="31"/>
      <c r="K90" s="31"/>
    </row>
    <row r="91" spans="1:11" x14ac:dyDescent="0.2">
      <c r="A91" s="6" t="s">
        <v>90</v>
      </c>
      <c r="B91" s="13"/>
      <c r="C91" s="14"/>
      <c r="D91" s="14"/>
      <c r="E91" s="14"/>
      <c r="F91" s="14"/>
      <c r="G91" s="85"/>
      <c r="H91" s="29"/>
      <c r="I91" s="29"/>
      <c r="J91" s="31"/>
      <c r="K91" s="31"/>
    </row>
    <row r="92" spans="1:11" x14ac:dyDescent="0.2">
      <c r="A92" s="14" t="s">
        <v>153</v>
      </c>
      <c r="B92" s="13">
        <v>226</v>
      </c>
      <c r="C92" s="14"/>
      <c r="D92" s="14"/>
      <c r="E92" s="23" t="e">
        <f>#REF!</f>
        <v>#REF!</v>
      </c>
      <c r="F92" s="14"/>
      <c r="G92" s="85"/>
      <c r="H92" s="29"/>
      <c r="I92" s="29"/>
      <c r="J92" s="31"/>
      <c r="K92" s="31"/>
    </row>
    <row r="93" spans="1:11" x14ac:dyDescent="0.2">
      <c r="A93" s="14" t="s">
        <v>101</v>
      </c>
      <c r="B93" s="13">
        <v>227</v>
      </c>
      <c r="C93" s="6"/>
      <c r="D93" s="6"/>
      <c r="E93" s="15" t="e">
        <f>#REF!</f>
        <v>#REF!</v>
      </c>
      <c r="F93" s="14"/>
      <c r="G93" s="85"/>
      <c r="H93" s="29"/>
      <c r="I93" s="29"/>
      <c r="J93" s="31"/>
      <c r="K93" s="31"/>
    </row>
    <row r="94" spans="1:11" x14ac:dyDescent="0.2">
      <c r="A94" s="14" t="s">
        <v>12</v>
      </c>
      <c r="B94" s="13">
        <v>229</v>
      </c>
      <c r="C94" s="6"/>
      <c r="D94" s="6"/>
      <c r="E94" s="15" t="e">
        <f>#REF!</f>
        <v>#REF!</v>
      </c>
      <c r="F94" s="14"/>
      <c r="G94" s="85"/>
      <c r="H94" s="29"/>
      <c r="I94" s="29"/>
      <c r="J94" s="31"/>
      <c r="K94" s="31"/>
    </row>
    <row r="95" spans="1:11" x14ac:dyDescent="0.2">
      <c r="A95" s="14" t="s">
        <v>13</v>
      </c>
      <c r="B95" s="13">
        <v>235</v>
      </c>
      <c r="C95" s="6"/>
      <c r="D95" s="6"/>
      <c r="E95" s="15" t="e">
        <f>#REF!</f>
        <v>#REF!</v>
      </c>
      <c r="F95" s="14"/>
      <c r="G95" s="85"/>
      <c r="H95" s="29"/>
      <c r="I95" s="29"/>
      <c r="J95" s="31"/>
      <c r="K95" s="31"/>
    </row>
    <row r="96" spans="1:11" x14ac:dyDescent="0.2">
      <c r="A96" s="14" t="s">
        <v>14</v>
      </c>
      <c r="B96" s="13">
        <v>236</v>
      </c>
      <c r="C96" s="6"/>
      <c r="D96" s="6"/>
      <c r="E96" s="15" t="e">
        <f>#REF!</f>
        <v>#REF!</v>
      </c>
      <c r="F96" s="14"/>
      <c r="G96" s="85"/>
      <c r="H96" s="29"/>
      <c r="I96" s="29"/>
      <c r="J96" s="31"/>
      <c r="K96" s="31"/>
    </row>
    <row r="97" spans="1:11" x14ac:dyDescent="0.2">
      <c r="A97" s="14" t="s">
        <v>102</v>
      </c>
      <c r="B97" s="13">
        <v>240</v>
      </c>
      <c r="C97" s="6"/>
      <c r="D97" s="6"/>
      <c r="E97" s="16" t="e">
        <f>#REF!</f>
        <v>#REF!</v>
      </c>
      <c r="F97" s="14"/>
      <c r="G97" s="85"/>
      <c r="H97" s="29"/>
      <c r="I97" s="29"/>
      <c r="J97" s="31"/>
      <c r="K97" s="31"/>
    </row>
    <row r="98" spans="1:11" x14ac:dyDescent="0.2">
      <c r="A98" s="6" t="s">
        <v>135</v>
      </c>
      <c r="B98" s="13"/>
      <c r="C98" s="14"/>
      <c r="D98" s="14"/>
      <c r="E98" s="23" t="e">
        <f>SUM(E92:E97)</f>
        <v>#REF!</v>
      </c>
      <c r="F98" s="14"/>
      <c r="G98" s="85"/>
      <c r="H98" s="29"/>
      <c r="I98" s="29"/>
      <c r="J98" s="31"/>
      <c r="K98" s="31"/>
    </row>
    <row r="99" spans="1:11" x14ac:dyDescent="0.2">
      <c r="A99" s="14" t="s">
        <v>182</v>
      </c>
      <c r="B99" s="13">
        <v>326</v>
      </c>
      <c r="C99" s="23" t="e">
        <f>#REF!</f>
        <v>#REF!</v>
      </c>
      <c r="D99" s="14"/>
      <c r="E99" s="23"/>
      <c r="F99" s="14"/>
      <c r="G99" s="85"/>
      <c r="H99" s="29"/>
      <c r="I99" s="29"/>
      <c r="J99" s="31"/>
      <c r="K99" s="31"/>
    </row>
    <row r="100" spans="1:11" x14ac:dyDescent="0.2">
      <c r="A100" s="14" t="s">
        <v>197</v>
      </c>
      <c r="B100" s="13">
        <v>327</v>
      </c>
      <c r="C100" s="23" t="e">
        <f>#REF!</f>
        <v>#REF!</v>
      </c>
      <c r="D100" s="14"/>
      <c r="E100" s="23"/>
      <c r="F100" s="14"/>
      <c r="G100" s="85"/>
      <c r="H100" s="29"/>
      <c r="I100" s="29"/>
      <c r="J100" s="31"/>
      <c r="K100" s="31"/>
    </row>
    <row r="101" spans="1:11" x14ac:dyDescent="0.2">
      <c r="A101" s="9" t="s">
        <v>612</v>
      </c>
      <c r="B101" s="13">
        <v>329</v>
      </c>
      <c r="C101" s="23" t="e">
        <f>#REF!</f>
        <v>#REF!</v>
      </c>
      <c r="D101" s="14"/>
      <c r="E101" s="23"/>
      <c r="F101" s="14"/>
      <c r="G101" s="85"/>
      <c r="H101" s="29"/>
      <c r="I101" s="29"/>
      <c r="J101" s="31"/>
      <c r="K101" s="31"/>
    </row>
    <row r="102" spans="1:11" x14ac:dyDescent="0.2">
      <c r="A102" s="14" t="s">
        <v>196</v>
      </c>
      <c r="B102" s="13">
        <v>340</v>
      </c>
      <c r="C102" s="24" t="e">
        <f>#REF!</f>
        <v>#REF!</v>
      </c>
      <c r="D102" s="14"/>
      <c r="E102" s="24" t="e">
        <f>C99+C102+C100+C101</f>
        <v>#REF!</v>
      </c>
      <c r="F102" s="14"/>
      <c r="G102" s="85"/>
      <c r="H102" s="29"/>
      <c r="I102" s="29"/>
      <c r="J102" s="31"/>
      <c r="K102" s="31"/>
    </row>
    <row r="103" spans="1:11" x14ac:dyDescent="0.2">
      <c r="A103" s="6" t="s">
        <v>158</v>
      </c>
      <c r="B103" s="13"/>
      <c r="C103" s="14"/>
      <c r="D103" s="14"/>
      <c r="E103" s="82" t="e">
        <f>E98-E102</f>
        <v>#REF!</v>
      </c>
      <c r="F103" s="14"/>
      <c r="G103" s="85"/>
      <c r="H103" s="29"/>
      <c r="I103" s="29"/>
      <c r="J103" s="31"/>
      <c r="K103" s="31"/>
    </row>
    <row r="104" spans="1:11" x14ac:dyDescent="0.2">
      <c r="A104" s="14"/>
      <c r="B104" s="13"/>
      <c r="C104" s="14"/>
      <c r="D104" s="14"/>
      <c r="E104" s="23"/>
      <c r="F104" s="14"/>
      <c r="G104" s="85"/>
      <c r="H104" s="29"/>
      <c r="I104" s="29"/>
      <c r="J104" s="31"/>
      <c r="K104" s="31"/>
    </row>
    <row r="105" spans="1:11" x14ac:dyDescent="0.2">
      <c r="A105" s="14" t="s">
        <v>150</v>
      </c>
      <c r="B105" s="13">
        <v>230</v>
      </c>
      <c r="C105" s="6"/>
      <c r="D105" s="6"/>
      <c r="E105" s="15" t="e">
        <f>#REF!</f>
        <v>#REF!</v>
      </c>
      <c r="F105" s="6"/>
      <c r="G105" s="17"/>
    </row>
    <row r="106" spans="1:11" x14ac:dyDescent="0.2">
      <c r="A106" s="12" t="s">
        <v>155</v>
      </c>
      <c r="B106" s="13">
        <v>330</v>
      </c>
      <c r="C106" s="6"/>
      <c r="D106" s="6"/>
      <c r="E106" s="16" t="e">
        <f>#REF!</f>
        <v>#REF!</v>
      </c>
      <c r="F106" s="6"/>
      <c r="G106" s="17"/>
    </row>
    <row r="107" spans="1:11" x14ac:dyDescent="0.2">
      <c r="A107" s="6" t="s">
        <v>158</v>
      </c>
      <c r="B107" s="13"/>
      <c r="C107" s="6"/>
      <c r="D107" s="6"/>
      <c r="E107" s="21" t="e">
        <f>E105-E106</f>
        <v>#REF!</v>
      </c>
      <c r="F107" s="6"/>
      <c r="G107" s="17"/>
    </row>
    <row r="108" spans="1:11" x14ac:dyDescent="0.2">
      <c r="A108" s="14"/>
      <c r="B108" s="13"/>
      <c r="C108" s="6"/>
      <c r="D108" s="6"/>
      <c r="E108" s="15"/>
      <c r="F108" s="6"/>
      <c r="G108" s="17"/>
    </row>
    <row r="109" spans="1:11" ht="13.5" thickBot="1" x14ac:dyDescent="0.25">
      <c r="A109" s="6" t="s">
        <v>124</v>
      </c>
      <c r="B109" s="13"/>
      <c r="C109" s="6"/>
      <c r="D109" s="6"/>
      <c r="E109" s="18" t="e">
        <f>E103+E107</f>
        <v>#REF!</v>
      </c>
      <c r="F109" s="6"/>
      <c r="G109" s="17"/>
    </row>
    <row r="110" spans="1:11" ht="13.5" thickTop="1" x14ac:dyDescent="0.2">
      <c r="A110" s="14"/>
      <c r="B110" s="13"/>
      <c r="C110" s="6"/>
      <c r="D110" s="6"/>
      <c r="E110" s="15"/>
      <c r="F110" s="6"/>
      <c r="G110" s="17"/>
    </row>
    <row r="111" spans="1:11" x14ac:dyDescent="0.2">
      <c r="A111" s="6" t="s">
        <v>128</v>
      </c>
      <c r="B111" s="13"/>
      <c r="C111" s="14"/>
      <c r="D111" s="14"/>
      <c r="E111" s="17"/>
      <c r="F111" s="14"/>
      <c r="G111" s="17"/>
    </row>
    <row r="112" spans="1:11" x14ac:dyDescent="0.2">
      <c r="A112" s="14" t="s">
        <v>15</v>
      </c>
      <c r="B112" s="13">
        <v>241</v>
      </c>
      <c r="C112" s="14"/>
      <c r="D112" s="14"/>
      <c r="E112" s="15" t="e">
        <f>#REF!</f>
        <v>#REF!</v>
      </c>
      <c r="F112" s="14"/>
      <c r="G112" s="17"/>
    </row>
    <row r="113" spans="1:7" x14ac:dyDescent="0.2">
      <c r="A113" s="14" t="s">
        <v>156</v>
      </c>
      <c r="B113" s="1">
        <v>341</v>
      </c>
      <c r="C113" s="14"/>
      <c r="D113" s="14"/>
      <c r="E113" s="26" t="e">
        <f>#REF!</f>
        <v>#REF!</v>
      </c>
      <c r="F113" s="14"/>
      <c r="G113" s="17"/>
    </row>
    <row r="114" spans="1:7" ht="13.5" thickBot="1" x14ac:dyDescent="0.25">
      <c r="A114" s="6" t="s">
        <v>158</v>
      </c>
      <c r="B114" s="13"/>
      <c r="C114" s="14"/>
      <c r="D114" s="14"/>
      <c r="E114" s="20" t="e">
        <f>E112-E113</f>
        <v>#REF!</v>
      </c>
      <c r="F114" s="14"/>
      <c r="G114" s="17"/>
    </row>
    <row r="115" spans="1:7" ht="13.5" thickTop="1" x14ac:dyDescent="0.2">
      <c r="A115" s="6"/>
      <c r="B115" s="13"/>
      <c r="C115" s="14"/>
      <c r="D115" s="14"/>
      <c r="E115" s="21"/>
      <c r="F115" s="14"/>
      <c r="G115" s="17"/>
    </row>
    <row r="116" spans="1:7" x14ac:dyDescent="0.2">
      <c r="A116" s="6" t="s">
        <v>70</v>
      </c>
      <c r="B116" s="13">
        <v>250</v>
      </c>
      <c r="C116" s="6"/>
      <c r="D116" s="6"/>
      <c r="E116" s="15" t="e">
        <f>#REF!</f>
        <v>#REF!</v>
      </c>
      <c r="F116" s="14"/>
      <c r="G116" s="17"/>
    </row>
    <row r="117" spans="1:7" x14ac:dyDescent="0.2">
      <c r="A117" s="14" t="s">
        <v>157</v>
      </c>
      <c r="B117" s="13">
        <v>350</v>
      </c>
      <c r="C117" s="6"/>
      <c r="D117" s="6"/>
      <c r="E117" s="16" t="e">
        <f>#REF!</f>
        <v>#REF!</v>
      </c>
      <c r="F117" s="14"/>
      <c r="G117" s="17"/>
    </row>
    <row r="118" spans="1:7" ht="13.5" thickBot="1" x14ac:dyDescent="0.25">
      <c r="A118" s="6" t="s">
        <v>158</v>
      </c>
      <c r="B118" s="13"/>
      <c r="C118" s="6"/>
      <c r="D118" s="6"/>
      <c r="E118" s="18" t="e">
        <f>E116-E117</f>
        <v>#REF!</v>
      </c>
      <c r="F118" s="14"/>
      <c r="G118" s="17"/>
    </row>
    <row r="119" spans="1:7" ht="13.5" thickTop="1" x14ac:dyDescent="0.2">
      <c r="A119" s="6"/>
      <c r="B119" s="13"/>
      <c r="C119" s="6"/>
      <c r="D119" s="6"/>
      <c r="E119" s="21"/>
      <c r="F119" s="14"/>
      <c r="G119" s="17"/>
    </row>
    <row r="120" spans="1:7" x14ac:dyDescent="0.2">
      <c r="A120" s="6" t="s">
        <v>604</v>
      </c>
      <c r="B120" s="13"/>
      <c r="C120" s="14"/>
      <c r="D120" s="14"/>
      <c r="E120" s="17"/>
      <c r="F120" s="14"/>
      <c r="G120" s="17"/>
    </row>
    <row r="121" spans="1:7" x14ac:dyDescent="0.2">
      <c r="A121" s="14" t="s">
        <v>151</v>
      </c>
      <c r="B121" s="13">
        <v>264</v>
      </c>
      <c r="C121" s="6"/>
      <c r="D121" s="6"/>
      <c r="E121" s="28" t="e">
        <f>#REF!</f>
        <v>#REF!</v>
      </c>
      <c r="F121" s="14"/>
      <c r="G121" s="17"/>
    </row>
    <row r="122" spans="1:7" x14ac:dyDescent="0.2">
      <c r="A122" s="9" t="s">
        <v>646</v>
      </c>
      <c r="B122" s="13"/>
      <c r="C122" s="6"/>
      <c r="D122" s="6"/>
      <c r="E122" s="28"/>
      <c r="F122" s="14"/>
      <c r="G122" s="17"/>
    </row>
    <row r="123" spans="1:7" x14ac:dyDescent="0.2">
      <c r="A123" s="9" t="s">
        <v>647</v>
      </c>
      <c r="B123" s="13">
        <v>269</v>
      </c>
      <c r="C123" s="6"/>
      <c r="D123" s="6"/>
      <c r="E123" s="28">
        <v>8977469.2200000007</v>
      </c>
      <c r="F123" s="14"/>
      <c r="G123" s="17"/>
    </row>
    <row r="124" spans="1:7" x14ac:dyDescent="0.2">
      <c r="A124" s="9" t="s">
        <v>249</v>
      </c>
      <c r="B124" s="13">
        <v>271</v>
      </c>
      <c r="C124" s="6"/>
      <c r="D124" s="6"/>
      <c r="E124" s="28" t="e">
        <f>#REF!</f>
        <v>#REF!</v>
      </c>
      <c r="F124" s="14"/>
      <c r="G124" s="17"/>
    </row>
    <row r="125" spans="1:7" ht="13.5" thickBot="1" x14ac:dyDescent="0.25">
      <c r="A125" s="14"/>
      <c r="B125" s="13"/>
      <c r="C125" s="14"/>
      <c r="D125" s="14"/>
      <c r="E125" s="18" t="e">
        <f>SUM(E121:E124)</f>
        <v>#REF!</v>
      </c>
      <c r="F125" s="14"/>
      <c r="G125" s="17"/>
    </row>
    <row r="126" spans="1:7" ht="13.5" thickTop="1" x14ac:dyDescent="0.2">
      <c r="A126" s="6" t="s">
        <v>16</v>
      </c>
      <c r="B126" s="13"/>
      <c r="C126" s="14"/>
      <c r="D126" s="14"/>
      <c r="E126" s="17"/>
      <c r="F126" s="14"/>
      <c r="G126" s="17"/>
    </row>
    <row r="127" spans="1:7" x14ac:dyDescent="0.2">
      <c r="A127" s="14" t="s">
        <v>103</v>
      </c>
      <c r="B127" s="13">
        <v>285</v>
      </c>
      <c r="C127" s="14"/>
      <c r="D127" s="14"/>
      <c r="E127" s="15" t="e">
        <f>#REF!</f>
        <v>#REF!</v>
      </c>
      <c r="F127" s="14"/>
      <c r="G127" s="17"/>
    </row>
    <row r="128" spans="1:7" x14ac:dyDescent="0.2">
      <c r="A128" s="14" t="s">
        <v>16</v>
      </c>
      <c r="B128" s="13">
        <v>290</v>
      </c>
      <c r="C128" s="14"/>
      <c r="D128" s="14"/>
      <c r="E128" s="16" t="e">
        <f>#REF!</f>
        <v>#REF!</v>
      </c>
      <c r="F128" s="14"/>
      <c r="G128" s="17"/>
    </row>
    <row r="129" spans="1:9" ht="13.5" thickBot="1" x14ac:dyDescent="0.25">
      <c r="A129" s="6" t="s">
        <v>125</v>
      </c>
      <c r="B129" s="13"/>
      <c r="C129" s="14"/>
      <c r="D129" s="14"/>
      <c r="E129" s="20" t="e">
        <f>SUM(E127:E128)</f>
        <v>#REF!</v>
      </c>
      <c r="F129" s="14"/>
      <c r="G129" s="17"/>
      <c r="I129" s="7"/>
    </row>
    <row r="130" spans="1:9" ht="13.5" thickTop="1" x14ac:dyDescent="0.2">
      <c r="A130" s="6"/>
      <c r="B130" s="13"/>
      <c r="C130" s="14"/>
      <c r="D130" s="14"/>
      <c r="E130" s="21"/>
      <c r="F130" s="14"/>
      <c r="G130" s="17"/>
    </row>
    <row r="131" spans="1:9" x14ac:dyDescent="0.2">
      <c r="A131" s="6" t="s">
        <v>126</v>
      </c>
      <c r="B131" s="13"/>
      <c r="C131" s="14"/>
      <c r="D131" s="14"/>
      <c r="E131" s="17"/>
      <c r="F131" s="14"/>
      <c r="G131" s="17"/>
    </row>
    <row r="132" spans="1:9" x14ac:dyDescent="0.2">
      <c r="A132" s="14" t="s">
        <v>33</v>
      </c>
      <c r="B132" s="13">
        <v>401</v>
      </c>
      <c r="C132" s="14"/>
      <c r="D132" s="14"/>
      <c r="E132" s="15" t="e">
        <f>#REF!</f>
        <v>#REF!</v>
      </c>
      <c r="F132" s="14"/>
      <c r="G132" s="17"/>
    </row>
    <row r="133" spans="1:9" x14ac:dyDescent="0.2">
      <c r="A133" s="14" t="s">
        <v>78</v>
      </c>
      <c r="B133" s="13">
        <v>403</v>
      </c>
      <c r="C133" s="14"/>
      <c r="D133" s="14"/>
      <c r="E133" s="15" t="e">
        <f>#REF!</f>
        <v>#REF!</v>
      </c>
      <c r="F133" s="14"/>
      <c r="G133" s="17"/>
    </row>
    <row r="134" spans="1:9" x14ac:dyDescent="0.2">
      <c r="A134" s="14" t="s">
        <v>17</v>
      </c>
      <c r="B134" s="13">
        <v>412</v>
      </c>
      <c r="C134" s="14"/>
      <c r="D134" s="14"/>
      <c r="E134" s="15" t="e">
        <f>#REF!</f>
        <v>#REF!</v>
      </c>
      <c r="F134" s="14"/>
      <c r="G134" s="17"/>
    </row>
    <row r="135" spans="1:9" x14ac:dyDescent="0.2">
      <c r="A135" s="14" t="s">
        <v>18</v>
      </c>
      <c r="B135" s="13">
        <v>413</v>
      </c>
      <c r="C135" s="14"/>
      <c r="D135" s="14"/>
      <c r="E135" s="15" t="e">
        <f>#REF!</f>
        <v>#REF!</v>
      </c>
      <c r="F135" s="14"/>
      <c r="G135" s="17"/>
    </row>
    <row r="136" spans="1:9" x14ac:dyDescent="0.2">
      <c r="A136" s="14" t="s">
        <v>104</v>
      </c>
      <c r="B136" s="13">
        <v>414</v>
      </c>
      <c r="C136" s="14"/>
      <c r="D136" s="14"/>
      <c r="E136" s="15" t="e">
        <f>#REF!</f>
        <v>#REF!</v>
      </c>
      <c r="F136" s="14"/>
      <c r="G136" s="17"/>
    </row>
    <row r="137" spans="1:9" x14ac:dyDescent="0.2">
      <c r="A137" s="14" t="s">
        <v>173</v>
      </c>
      <c r="B137" s="13">
        <v>415</v>
      </c>
      <c r="C137" s="14"/>
      <c r="D137" s="14"/>
      <c r="E137" s="15" t="e">
        <f>#REF!</f>
        <v>#REF!</v>
      </c>
      <c r="F137" s="14"/>
      <c r="G137" s="17"/>
    </row>
    <row r="138" spans="1:9" x14ac:dyDescent="0.2">
      <c r="A138" s="14" t="s">
        <v>105</v>
      </c>
      <c r="B138" s="13">
        <v>416</v>
      </c>
      <c r="C138" s="14"/>
      <c r="D138" s="14"/>
      <c r="E138" s="15" t="e">
        <f>#REF!</f>
        <v>#REF!</v>
      </c>
      <c r="F138" s="14"/>
      <c r="G138" s="17"/>
    </row>
    <row r="139" spans="1:9" x14ac:dyDescent="0.2">
      <c r="A139" s="14" t="s">
        <v>106</v>
      </c>
      <c r="B139" s="13">
        <v>417</v>
      </c>
      <c r="C139" s="14"/>
      <c r="D139" s="14"/>
      <c r="E139" s="15" t="e">
        <f>#REF!</f>
        <v>#REF!</v>
      </c>
      <c r="F139" s="14"/>
      <c r="G139" s="17"/>
    </row>
    <row r="140" spans="1:9" x14ac:dyDescent="0.2">
      <c r="A140" s="14" t="s">
        <v>107</v>
      </c>
      <c r="B140" s="13">
        <v>418</v>
      </c>
      <c r="C140" s="14"/>
      <c r="D140" s="14"/>
      <c r="E140" s="15" t="e">
        <f>#REF!</f>
        <v>#REF!</v>
      </c>
      <c r="F140" s="14"/>
      <c r="G140" s="17"/>
    </row>
    <row r="141" spans="1:9" x14ac:dyDescent="0.2">
      <c r="A141" s="14" t="s">
        <v>79</v>
      </c>
      <c r="B141" s="13">
        <v>424</v>
      </c>
      <c r="C141" s="14"/>
      <c r="D141" s="14"/>
      <c r="E141" s="15" t="e">
        <f>#REF!</f>
        <v>#REF!</v>
      </c>
      <c r="F141" s="14"/>
      <c r="G141" s="17"/>
    </row>
    <row r="142" spans="1:9" x14ac:dyDescent="0.2">
      <c r="A142" s="9" t="s">
        <v>253</v>
      </c>
      <c r="B142" s="13">
        <v>426</v>
      </c>
      <c r="C142" s="14"/>
      <c r="D142" s="14"/>
      <c r="E142" s="15" t="e">
        <f>#REF!</f>
        <v>#REF!</v>
      </c>
      <c r="F142" s="14"/>
      <c r="G142" s="17"/>
    </row>
    <row r="143" spans="1:9" x14ac:dyDescent="0.2">
      <c r="A143" s="14" t="s">
        <v>55</v>
      </c>
      <c r="B143" s="13">
        <v>439</v>
      </c>
      <c r="C143" s="14"/>
      <c r="D143" s="14"/>
      <c r="E143" s="16" t="e">
        <f>#REF!</f>
        <v>#REF!</v>
      </c>
      <c r="F143" s="14"/>
      <c r="G143" s="17"/>
    </row>
    <row r="144" spans="1:9" ht="13.5" thickBot="1" x14ac:dyDescent="0.25">
      <c r="A144" s="6" t="s">
        <v>127</v>
      </c>
      <c r="B144" s="13"/>
      <c r="C144" s="14"/>
      <c r="D144" s="14"/>
      <c r="E144" s="20" t="e">
        <f>SUM(E132:E143)</f>
        <v>#REF!</v>
      </c>
      <c r="F144" s="14"/>
      <c r="G144" s="17"/>
    </row>
    <row r="145" spans="1:7" ht="13.5" thickTop="1" x14ac:dyDescent="0.2">
      <c r="A145" s="6"/>
      <c r="B145" s="13"/>
      <c r="C145" s="14"/>
      <c r="D145" s="14"/>
      <c r="E145" s="21"/>
      <c r="F145" s="14"/>
      <c r="G145" s="17"/>
    </row>
    <row r="146" spans="1:7" x14ac:dyDescent="0.2">
      <c r="A146" s="6" t="s">
        <v>108</v>
      </c>
      <c r="B146" s="13"/>
      <c r="C146" s="14"/>
      <c r="D146" s="14"/>
      <c r="E146" s="21"/>
      <c r="F146" s="14"/>
      <c r="G146" s="17"/>
    </row>
    <row r="147" spans="1:7" ht="13.5" thickBot="1" x14ac:dyDescent="0.25">
      <c r="A147" s="14" t="s">
        <v>109</v>
      </c>
      <c r="B147" s="13">
        <v>444</v>
      </c>
      <c r="C147" s="14"/>
      <c r="D147" s="14"/>
      <c r="E147" s="20" t="e">
        <f>#REF!</f>
        <v>#REF!</v>
      </c>
      <c r="F147" s="14"/>
      <c r="G147" s="17"/>
    </row>
    <row r="148" spans="1:7" ht="13.5" thickTop="1" x14ac:dyDescent="0.2">
      <c r="A148" s="14"/>
      <c r="B148" s="13"/>
      <c r="C148" s="14"/>
      <c r="D148" s="14"/>
      <c r="E148" s="21"/>
      <c r="F148" s="14"/>
      <c r="G148" s="17"/>
    </row>
    <row r="149" spans="1:7" x14ac:dyDescent="0.2">
      <c r="A149" s="6" t="s">
        <v>110</v>
      </c>
      <c r="B149" s="13"/>
      <c r="C149" s="14"/>
      <c r="D149" s="14"/>
      <c r="E149" s="21"/>
      <c r="F149" s="14"/>
      <c r="G149" s="17"/>
    </row>
    <row r="150" spans="1:7" ht="13.5" thickBot="1" x14ac:dyDescent="0.25">
      <c r="A150" s="14" t="s">
        <v>36</v>
      </c>
      <c r="B150" s="13">
        <v>451</v>
      </c>
      <c r="C150" s="14"/>
      <c r="D150" s="14"/>
      <c r="E150" s="20" t="e">
        <f>#REF!</f>
        <v>#REF!</v>
      </c>
      <c r="F150" s="14"/>
      <c r="G150" s="17"/>
    </row>
    <row r="151" spans="1:7" ht="13.5" thickTop="1" x14ac:dyDescent="0.2">
      <c r="A151" s="6"/>
      <c r="B151" s="13"/>
      <c r="C151" s="14"/>
      <c r="D151" s="14"/>
      <c r="E151" s="21"/>
      <c r="F151" s="14"/>
      <c r="G151" s="17"/>
    </row>
    <row r="152" spans="1:7" x14ac:dyDescent="0.2">
      <c r="A152" s="6" t="s">
        <v>80</v>
      </c>
      <c r="B152" s="13"/>
      <c r="C152" s="14"/>
      <c r="D152" s="14"/>
      <c r="E152" s="21"/>
      <c r="F152" s="14"/>
      <c r="G152" s="17"/>
    </row>
    <row r="153" spans="1:7" x14ac:dyDescent="0.2">
      <c r="A153" s="14" t="s">
        <v>111</v>
      </c>
      <c r="B153" s="13">
        <v>501</v>
      </c>
      <c r="C153" s="14"/>
      <c r="D153" s="14"/>
      <c r="E153" s="15" t="e">
        <f>#REF!</f>
        <v>#REF!</v>
      </c>
      <c r="F153" s="14"/>
      <c r="G153" s="17"/>
    </row>
    <row r="154" spans="1:7" x14ac:dyDescent="0.2">
      <c r="A154" s="14" t="s">
        <v>113</v>
      </c>
      <c r="B154" s="13"/>
      <c r="C154" s="14"/>
      <c r="D154" s="14"/>
      <c r="E154" s="15"/>
      <c r="F154" s="14"/>
      <c r="G154" s="17"/>
    </row>
    <row r="155" spans="1:7" x14ac:dyDescent="0.2">
      <c r="A155" s="12" t="s">
        <v>114</v>
      </c>
      <c r="B155" s="13">
        <v>513</v>
      </c>
      <c r="C155" s="14"/>
      <c r="D155" s="14"/>
      <c r="E155" s="15" t="e">
        <f>#REF!</f>
        <v>#REF!</v>
      </c>
      <c r="F155" s="14"/>
      <c r="G155" s="17"/>
    </row>
    <row r="156" spans="1:7" x14ac:dyDescent="0.2">
      <c r="A156" s="12" t="s">
        <v>116</v>
      </c>
      <c r="B156" s="13"/>
      <c r="C156" s="14"/>
      <c r="D156" s="14"/>
      <c r="E156" s="15"/>
      <c r="F156" s="14"/>
      <c r="G156" s="17"/>
    </row>
    <row r="157" spans="1:7" x14ac:dyDescent="0.2">
      <c r="A157" s="14" t="s">
        <v>115</v>
      </c>
      <c r="B157" s="13">
        <v>684</v>
      </c>
      <c r="C157" s="14"/>
      <c r="D157" s="14"/>
      <c r="E157" s="15" t="e">
        <f>-#REF!</f>
        <v>#REF!</v>
      </c>
      <c r="F157" s="23"/>
      <c r="G157" s="17"/>
    </row>
    <row r="158" spans="1:7" x14ac:dyDescent="0.2">
      <c r="A158" s="14" t="s">
        <v>117</v>
      </c>
      <c r="B158" s="13"/>
      <c r="C158" s="14"/>
      <c r="D158" s="14"/>
      <c r="E158" s="15"/>
      <c r="F158" s="14"/>
      <c r="G158" s="17"/>
    </row>
    <row r="159" spans="1:7" ht="13.5" thickBot="1" x14ac:dyDescent="0.25">
      <c r="A159" s="6" t="s">
        <v>112</v>
      </c>
      <c r="B159" s="13"/>
      <c r="C159" s="14"/>
      <c r="D159" s="14"/>
      <c r="E159" s="18" t="e">
        <f>SUM(E153:E158)</f>
        <v>#REF!</v>
      </c>
      <c r="F159" s="14"/>
      <c r="G159" s="17"/>
    </row>
    <row r="160" spans="1:7" ht="13.5" thickTop="1" x14ac:dyDescent="0.2">
      <c r="A160" s="14"/>
      <c r="B160" s="13"/>
      <c r="C160" s="14"/>
      <c r="D160" s="14"/>
      <c r="E160" s="21"/>
      <c r="F160" s="14"/>
      <c r="G160" s="17"/>
    </row>
    <row r="161" spans="2:5" x14ac:dyDescent="0.2">
      <c r="E161" s="7"/>
    </row>
    <row r="162" spans="2:5" x14ac:dyDescent="0.2">
      <c r="B162" s="6"/>
      <c r="E162" s="7"/>
    </row>
    <row r="163" spans="2:5" x14ac:dyDescent="0.2">
      <c r="E163" s="7"/>
    </row>
    <row r="164" spans="2:5" x14ac:dyDescent="0.2">
      <c r="D164" s="6"/>
    </row>
    <row r="165" spans="2:5" x14ac:dyDescent="0.2">
      <c r="D165" s="6"/>
    </row>
  </sheetData>
  <mergeCells count="7">
    <mergeCell ref="A1:E1"/>
    <mergeCell ref="A2:E2"/>
    <mergeCell ref="D10:E10"/>
    <mergeCell ref="A3:E3"/>
    <mergeCell ref="A5:E5"/>
    <mergeCell ref="A6:E6"/>
    <mergeCell ref="A7:E7"/>
  </mergeCells>
  <phoneticPr fontId="3" type="noConversion"/>
  <pageMargins left="0.96" right="0.6" top="0.99" bottom="0.52" header="0.5" footer="0.5"/>
  <pageSetup paperSize="5" scale="90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I432"/>
  <sheetViews>
    <sheetView tabSelected="1" zoomScale="80" zoomScaleNormal="80" workbookViewId="0">
      <pane ySplit="10" topLeftCell="A404" activePane="bottomLeft" state="frozen"/>
      <selection activeCell="E47" sqref="E47"/>
      <selection pane="bottomLeft" activeCell="J408" sqref="J408"/>
    </sheetView>
  </sheetViews>
  <sheetFormatPr defaultRowHeight="12.75" x14ac:dyDescent="0.2"/>
  <cols>
    <col min="1" max="3" width="4.28515625" style="154" customWidth="1"/>
    <col min="4" max="4" width="7.140625" style="110" customWidth="1"/>
    <col min="5" max="5" width="50" style="165" customWidth="1"/>
    <col min="6" max="6" width="24.42578125" style="109" customWidth="1"/>
    <col min="9" max="9" width="15" bestFit="1" customWidth="1"/>
  </cols>
  <sheetData>
    <row r="1" spans="1:9" ht="15" x14ac:dyDescent="0.2">
      <c r="A1" s="440" t="s">
        <v>198</v>
      </c>
      <c r="B1" s="440"/>
      <c r="C1" s="440"/>
      <c r="D1" s="440"/>
      <c r="E1" s="440"/>
      <c r="F1" s="440"/>
    </row>
    <row r="2" spans="1:9" ht="15" x14ac:dyDescent="0.2">
      <c r="A2" s="440" t="s">
        <v>608</v>
      </c>
      <c r="B2" s="440"/>
      <c r="C2" s="440"/>
      <c r="D2" s="440"/>
      <c r="E2" s="440"/>
      <c r="F2" s="440"/>
    </row>
    <row r="3" spans="1:9" ht="15.75" x14ac:dyDescent="0.2">
      <c r="A3" s="418" t="s">
        <v>86</v>
      </c>
      <c r="B3" s="418"/>
      <c r="C3" s="418"/>
      <c r="D3" s="418"/>
      <c r="E3" s="418"/>
      <c r="F3" s="418"/>
    </row>
    <row r="5" spans="1:9" ht="15.75" x14ac:dyDescent="0.2">
      <c r="A5" s="418" t="s">
        <v>1314</v>
      </c>
      <c r="B5" s="418"/>
      <c r="C5" s="418"/>
      <c r="D5" s="418"/>
      <c r="E5" s="418"/>
      <c r="F5" s="418"/>
    </row>
    <row r="6" spans="1:9" ht="15.75" x14ac:dyDescent="0.2">
      <c r="A6" s="418" t="s">
        <v>1996</v>
      </c>
      <c r="B6" s="418"/>
      <c r="C6" s="418"/>
      <c r="D6" s="418"/>
      <c r="E6" s="418"/>
      <c r="F6" s="418"/>
    </row>
    <row r="7" spans="1:9" ht="15.75" x14ac:dyDescent="0.2">
      <c r="A7" s="419" t="s">
        <v>171</v>
      </c>
      <c r="B7" s="419"/>
      <c r="C7" s="419"/>
      <c r="D7" s="419"/>
      <c r="E7" s="419"/>
      <c r="F7" s="419"/>
    </row>
    <row r="8" spans="1:9" x14ac:dyDescent="0.2">
      <c r="A8" s="108"/>
      <c r="B8" s="108"/>
      <c r="C8" s="108"/>
      <c r="D8" s="108"/>
      <c r="E8" s="160"/>
    </row>
    <row r="9" spans="1:9" ht="12.75" customHeight="1" x14ac:dyDescent="0.2">
      <c r="A9" s="410" t="s">
        <v>637</v>
      </c>
      <c r="B9" s="410"/>
      <c r="C9" s="410"/>
      <c r="D9" s="410"/>
      <c r="E9" s="438" t="s">
        <v>177</v>
      </c>
      <c r="F9" s="410" t="s">
        <v>1263</v>
      </c>
    </row>
    <row r="10" spans="1:9" x14ac:dyDescent="0.2">
      <c r="A10" s="411"/>
      <c r="B10" s="411"/>
      <c r="C10" s="411"/>
      <c r="D10" s="411"/>
      <c r="E10" s="439"/>
      <c r="F10" s="414"/>
    </row>
    <row r="11" spans="1:9" x14ac:dyDescent="0.2">
      <c r="A11" s="153">
        <v>1</v>
      </c>
      <c r="B11" s="153" t="s">
        <v>649</v>
      </c>
      <c r="C11" s="407" t="s">
        <v>1268</v>
      </c>
      <c r="D11" s="408"/>
      <c r="E11" s="409"/>
      <c r="F11" s="125"/>
    </row>
    <row r="12" spans="1:9" x14ac:dyDescent="0.2">
      <c r="A12" s="130">
        <v>1</v>
      </c>
      <c r="B12" s="130" t="s">
        <v>649</v>
      </c>
      <c r="C12" s="130" t="s">
        <v>649</v>
      </c>
      <c r="D12" s="123" t="s">
        <v>650</v>
      </c>
      <c r="E12" s="161"/>
      <c r="F12" s="124"/>
    </row>
    <row r="13" spans="1:9" x14ac:dyDescent="0.2">
      <c r="A13" s="127">
        <v>1</v>
      </c>
      <c r="B13" s="127" t="s">
        <v>649</v>
      </c>
      <c r="C13" s="127" t="s">
        <v>649</v>
      </c>
      <c r="D13" s="113" t="s">
        <v>651</v>
      </c>
      <c r="E13" s="144" t="s">
        <v>652</v>
      </c>
      <c r="F13" s="114"/>
    </row>
    <row r="14" spans="1:9" x14ac:dyDescent="0.2">
      <c r="A14" s="127">
        <v>1</v>
      </c>
      <c r="B14" s="127" t="s">
        <v>649</v>
      </c>
      <c r="C14" s="127" t="s">
        <v>649</v>
      </c>
      <c r="D14" s="113" t="s">
        <v>653</v>
      </c>
      <c r="E14" s="144" t="s">
        <v>654</v>
      </c>
      <c r="F14" s="114"/>
    </row>
    <row r="15" spans="1:9" x14ac:dyDescent="0.2">
      <c r="A15" s="130">
        <v>1</v>
      </c>
      <c r="B15" s="130" t="s">
        <v>649</v>
      </c>
      <c r="C15" s="130" t="s">
        <v>655</v>
      </c>
      <c r="D15" s="123" t="s">
        <v>656</v>
      </c>
      <c r="E15" s="161"/>
      <c r="F15" s="124"/>
    </row>
    <row r="16" spans="1:9" x14ac:dyDescent="0.2">
      <c r="A16" s="127">
        <v>1</v>
      </c>
      <c r="B16" s="127" t="s">
        <v>649</v>
      </c>
      <c r="C16" s="127" t="s">
        <v>655</v>
      </c>
      <c r="D16" s="115" t="s">
        <v>651</v>
      </c>
      <c r="E16" s="144" t="s">
        <v>657</v>
      </c>
      <c r="F16" s="114"/>
      <c r="I16" s="231">
        <f>F13+F14+F16</f>
        <v>0</v>
      </c>
    </row>
    <row r="17" spans="1:6" x14ac:dyDescent="0.2">
      <c r="A17" s="129">
        <v>1</v>
      </c>
      <c r="B17" s="127" t="s">
        <v>649</v>
      </c>
      <c r="C17" s="127" t="s">
        <v>655</v>
      </c>
      <c r="D17" s="115" t="s">
        <v>653</v>
      </c>
      <c r="E17" s="144" t="s">
        <v>658</v>
      </c>
      <c r="F17" s="114"/>
    </row>
    <row r="18" spans="1:6" x14ac:dyDescent="0.2">
      <c r="A18" s="130">
        <v>1</v>
      </c>
      <c r="B18" s="130" t="s">
        <v>649</v>
      </c>
      <c r="C18" s="130" t="s">
        <v>659</v>
      </c>
      <c r="D18" s="123" t="s">
        <v>660</v>
      </c>
      <c r="E18" s="161"/>
      <c r="F18" s="124"/>
    </row>
    <row r="19" spans="1:6" x14ac:dyDescent="0.2">
      <c r="A19" s="127">
        <v>1</v>
      </c>
      <c r="B19" s="127" t="s">
        <v>649</v>
      </c>
      <c r="C19" s="127" t="s">
        <v>659</v>
      </c>
      <c r="D19" s="115" t="s">
        <v>651</v>
      </c>
      <c r="E19" s="144" t="s">
        <v>661</v>
      </c>
      <c r="F19" s="114"/>
    </row>
    <row r="20" spans="1:6" x14ac:dyDescent="0.2">
      <c r="A20" s="127">
        <v>1</v>
      </c>
      <c r="B20" s="127" t="s">
        <v>649</v>
      </c>
      <c r="C20" s="127" t="s">
        <v>659</v>
      </c>
      <c r="D20" s="115" t="s">
        <v>653</v>
      </c>
      <c r="E20" s="144" t="s">
        <v>662</v>
      </c>
      <c r="F20" s="114"/>
    </row>
    <row r="21" spans="1:6" x14ac:dyDescent="0.2">
      <c r="A21" s="399" t="s">
        <v>50</v>
      </c>
      <c r="B21" s="400"/>
      <c r="C21" s="400"/>
      <c r="D21" s="400"/>
      <c r="E21" s="401"/>
      <c r="F21" s="136"/>
    </row>
    <row r="22" spans="1:6" x14ac:dyDescent="0.2">
      <c r="A22" s="128">
        <v>1</v>
      </c>
      <c r="B22" s="128" t="s">
        <v>655</v>
      </c>
      <c r="C22" s="407" t="s">
        <v>357</v>
      </c>
      <c r="D22" s="408"/>
      <c r="E22" s="409"/>
      <c r="F22" s="126"/>
    </row>
    <row r="23" spans="1:6" x14ac:dyDescent="0.2">
      <c r="A23" s="130">
        <v>1</v>
      </c>
      <c r="B23" s="130" t="s">
        <v>655</v>
      </c>
      <c r="C23" s="132" t="s">
        <v>649</v>
      </c>
      <c r="D23" s="123" t="s">
        <v>664</v>
      </c>
      <c r="E23" s="161"/>
      <c r="F23" s="124"/>
    </row>
    <row r="24" spans="1:6" x14ac:dyDescent="0.2">
      <c r="A24" s="127">
        <v>1</v>
      </c>
      <c r="B24" s="127" t="s">
        <v>655</v>
      </c>
      <c r="C24" s="127" t="s">
        <v>649</v>
      </c>
      <c r="D24" s="115" t="s">
        <v>651</v>
      </c>
      <c r="E24" s="144" t="s">
        <v>665</v>
      </c>
      <c r="F24" s="114"/>
    </row>
    <row r="25" spans="1:6" x14ac:dyDescent="0.2">
      <c r="A25" s="127">
        <v>1</v>
      </c>
      <c r="B25" s="127" t="s">
        <v>655</v>
      </c>
      <c r="C25" s="127" t="s">
        <v>649</v>
      </c>
      <c r="D25" s="115" t="s">
        <v>653</v>
      </c>
      <c r="E25" s="144" t="s">
        <v>666</v>
      </c>
      <c r="F25" s="114"/>
    </row>
    <row r="26" spans="1:6" x14ac:dyDescent="0.2">
      <c r="A26" s="127">
        <v>1</v>
      </c>
      <c r="B26" s="127" t="s">
        <v>655</v>
      </c>
      <c r="C26" s="127" t="s">
        <v>649</v>
      </c>
      <c r="D26" s="115" t="s">
        <v>667</v>
      </c>
      <c r="E26" s="144" t="s">
        <v>668</v>
      </c>
      <c r="F26" s="114"/>
    </row>
    <row r="27" spans="1:6" x14ac:dyDescent="0.2">
      <c r="A27" s="130">
        <v>1</v>
      </c>
      <c r="B27" s="130" t="s">
        <v>655</v>
      </c>
      <c r="C27" s="132" t="s">
        <v>655</v>
      </c>
      <c r="D27" s="123" t="s">
        <v>669</v>
      </c>
      <c r="E27" s="161"/>
      <c r="F27" s="124"/>
    </row>
    <row r="28" spans="1:6" x14ac:dyDescent="0.2">
      <c r="A28" s="127">
        <v>1</v>
      </c>
      <c r="B28" s="127" t="s">
        <v>655</v>
      </c>
      <c r="C28" s="127" t="s">
        <v>655</v>
      </c>
      <c r="D28" s="113" t="s">
        <v>651</v>
      </c>
      <c r="E28" s="144" t="s">
        <v>670</v>
      </c>
      <c r="F28" s="114"/>
    </row>
    <row r="29" spans="1:6" ht="25.5" x14ac:dyDescent="0.2">
      <c r="A29" s="127">
        <v>1</v>
      </c>
      <c r="B29" s="127" t="s">
        <v>655</v>
      </c>
      <c r="C29" s="127" t="s">
        <v>655</v>
      </c>
      <c r="D29" s="113" t="s">
        <v>653</v>
      </c>
      <c r="E29" s="144" t="s">
        <v>671</v>
      </c>
      <c r="F29" s="114"/>
    </row>
    <row r="30" spans="1:6" x14ac:dyDescent="0.2">
      <c r="A30" s="130">
        <v>1</v>
      </c>
      <c r="B30" s="130" t="s">
        <v>655</v>
      </c>
      <c r="C30" s="132" t="s">
        <v>659</v>
      </c>
      <c r="D30" s="123" t="s">
        <v>672</v>
      </c>
      <c r="E30" s="161"/>
      <c r="F30" s="124"/>
    </row>
    <row r="31" spans="1:6" x14ac:dyDescent="0.2">
      <c r="A31" s="127">
        <v>1</v>
      </c>
      <c r="B31" s="127" t="s">
        <v>655</v>
      </c>
      <c r="C31" s="127" t="s">
        <v>659</v>
      </c>
      <c r="D31" s="113" t="s">
        <v>651</v>
      </c>
      <c r="E31" s="144" t="s">
        <v>673</v>
      </c>
      <c r="F31" s="114"/>
    </row>
    <row r="32" spans="1:6" ht="30" x14ac:dyDescent="0.2">
      <c r="A32" s="127">
        <v>1</v>
      </c>
      <c r="B32" s="127" t="s">
        <v>655</v>
      </c>
      <c r="C32" s="127" t="s">
        <v>659</v>
      </c>
      <c r="D32" s="113" t="s">
        <v>674</v>
      </c>
      <c r="E32" s="159" t="s">
        <v>675</v>
      </c>
      <c r="F32" s="114"/>
    </row>
    <row r="33" spans="1:6" x14ac:dyDescent="0.2">
      <c r="A33" s="127">
        <v>1</v>
      </c>
      <c r="B33" s="127" t="s">
        <v>655</v>
      </c>
      <c r="C33" s="127" t="s">
        <v>659</v>
      </c>
      <c r="D33" s="115" t="s">
        <v>653</v>
      </c>
      <c r="E33" s="144" t="s">
        <v>676</v>
      </c>
      <c r="F33" s="114"/>
    </row>
    <row r="34" spans="1:6" ht="30" x14ac:dyDescent="0.2">
      <c r="A34" s="127">
        <v>1</v>
      </c>
      <c r="B34" s="127" t="s">
        <v>655</v>
      </c>
      <c r="C34" s="127" t="s">
        <v>659</v>
      </c>
      <c r="D34" s="115" t="s">
        <v>677</v>
      </c>
      <c r="E34" s="159" t="s">
        <v>678</v>
      </c>
      <c r="F34" s="114"/>
    </row>
    <row r="35" spans="1:6" x14ac:dyDescent="0.2">
      <c r="A35" s="130">
        <v>1</v>
      </c>
      <c r="B35" s="130" t="s">
        <v>655</v>
      </c>
      <c r="C35" s="132" t="s">
        <v>679</v>
      </c>
      <c r="D35" s="123" t="s">
        <v>680</v>
      </c>
      <c r="E35" s="161"/>
      <c r="F35" s="124"/>
    </row>
    <row r="36" spans="1:6" x14ac:dyDescent="0.2">
      <c r="A36" s="127">
        <v>1</v>
      </c>
      <c r="B36" s="127" t="s">
        <v>655</v>
      </c>
      <c r="C36" s="127" t="s">
        <v>679</v>
      </c>
      <c r="D36" s="113" t="s">
        <v>651</v>
      </c>
      <c r="E36" s="144" t="s">
        <v>231</v>
      </c>
      <c r="F36" s="114"/>
    </row>
    <row r="37" spans="1:6" x14ac:dyDescent="0.2">
      <c r="A37" s="127">
        <v>1</v>
      </c>
      <c r="B37" s="127" t="s">
        <v>655</v>
      </c>
      <c r="C37" s="127" t="s">
        <v>679</v>
      </c>
      <c r="D37" s="113" t="s">
        <v>653</v>
      </c>
      <c r="E37" s="144" t="s">
        <v>232</v>
      </c>
      <c r="F37" s="114"/>
    </row>
    <row r="38" spans="1:6" ht="15" x14ac:dyDescent="0.2">
      <c r="A38" s="130">
        <v>1</v>
      </c>
      <c r="B38" s="130" t="s">
        <v>655</v>
      </c>
      <c r="C38" s="132" t="s">
        <v>681</v>
      </c>
      <c r="D38" s="123" t="s">
        <v>682</v>
      </c>
      <c r="E38" s="162"/>
      <c r="F38" s="124"/>
    </row>
    <row r="39" spans="1:6" x14ac:dyDescent="0.2">
      <c r="A39" s="127">
        <v>1</v>
      </c>
      <c r="B39" s="127" t="s">
        <v>655</v>
      </c>
      <c r="C39" s="127" t="s">
        <v>681</v>
      </c>
      <c r="D39" s="115" t="s">
        <v>651</v>
      </c>
      <c r="E39" s="144" t="s">
        <v>683</v>
      </c>
      <c r="F39" s="114"/>
    </row>
    <row r="40" spans="1:6" ht="30" x14ac:dyDescent="0.2">
      <c r="A40" s="127">
        <v>1</v>
      </c>
      <c r="B40" s="127" t="s">
        <v>655</v>
      </c>
      <c r="C40" s="127" t="s">
        <v>681</v>
      </c>
      <c r="D40" s="115" t="s">
        <v>674</v>
      </c>
      <c r="E40" s="159" t="s">
        <v>684</v>
      </c>
      <c r="F40" s="114"/>
    </row>
    <row r="41" spans="1:6" x14ac:dyDescent="0.2">
      <c r="A41" s="127">
        <v>1</v>
      </c>
      <c r="B41" s="127" t="s">
        <v>655</v>
      </c>
      <c r="C41" s="127" t="s">
        <v>681</v>
      </c>
      <c r="D41" s="115" t="s">
        <v>653</v>
      </c>
      <c r="E41" s="144" t="s">
        <v>230</v>
      </c>
      <c r="F41" s="114"/>
    </row>
    <row r="42" spans="1:6" ht="15" x14ac:dyDescent="0.2">
      <c r="A42" s="127">
        <v>1</v>
      </c>
      <c r="B42" s="127" t="s">
        <v>655</v>
      </c>
      <c r="C42" s="127" t="s">
        <v>681</v>
      </c>
      <c r="D42" s="115" t="s">
        <v>677</v>
      </c>
      <c r="E42" s="159" t="s">
        <v>685</v>
      </c>
      <c r="F42" s="114"/>
    </row>
    <row r="43" spans="1:6" x14ac:dyDescent="0.2">
      <c r="A43" s="127">
        <v>1</v>
      </c>
      <c r="B43" s="127" t="s">
        <v>655</v>
      </c>
      <c r="C43" s="127" t="s">
        <v>681</v>
      </c>
      <c r="D43" s="113" t="s">
        <v>686</v>
      </c>
      <c r="E43" s="144" t="s">
        <v>687</v>
      </c>
      <c r="F43" s="114"/>
    </row>
    <row r="44" spans="1:6" ht="15" x14ac:dyDescent="0.2">
      <c r="A44" s="127">
        <v>1</v>
      </c>
      <c r="B44" s="127" t="s">
        <v>655</v>
      </c>
      <c r="C44" s="127" t="s">
        <v>681</v>
      </c>
      <c r="D44" s="113" t="s">
        <v>688</v>
      </c>
      <c r="E44" s="159" t="s">
        <v>689</v>
      </c>
      <c r="F44" s="114"/>
    </row>
    <row r="45" spans="1:6" x14ac:dyDescent="0.2">
      <c r="A45" s="130">
        <v>1</v>
      </c>
      <c r="B45" s="130" t="s">
        <v>655</v>
      </c>
      <c r="C45" s="132" t="s">
        <v>690</v>
      </c>
      <c r="D45" s="123" t="s">
        <v>691</v>
      </c>
      <c r="E45" s="161"/>
      <c r="F45" s="124"/>
    </row>
    <row r="46" spans="1:6" x14ac:dyDescent="0.2">
      <c r="A46" s="127">
        <v>1</v>
      </c>
      <c r="B46" s="127" t="s">
        <v>655</v>
      </c>
      <c r="C46" s="127" t="s">
        <v>690</v>
      </c>
      <c r="D46" s="113" t="s">
        <v>651</v>
      </c>
      <c r="E46" s="144" t="s">
        <v>691</v>
      </c>
      <c r="F46" s="114"/>
    </row>
    <row r="47" spans="1:6" ht="30" x14ac:dyDescent="0.2">
      <c r="A47" s="127">
        <v>1</v>
      </c>
      <c r="B47" s="127" t="s">
        <v>655</v>
      </c>
      <c r="C47" s="127" t="s">
        <v>690</v>
      </c>
      <c r="D47" s="113" t="s">
        <v>674</v>
      </c>
      <c r="E47" s="159" t="s">
        <v>692</v>
      </c>
      <c r="F47" s="114"/>
    </row>
    <row r="48" spans="1:6" x14ac:dyDescent="0.2">
      <c r="A48" s="130">
        <v>1</v>
      </c>
      <c r="B48" s="130" t="s">
        <v>655</v>
      </c>
      <c r="C48" s="132" t="s">
        <v>693</v>
      </c>
      <c r="D48" s="123" t="s">
        <v>178</v>
      </c>
      <c r="E48" s="161"/>
      <c r="F48" s="124"/>
    </row>
    <row r="49" spans="1:6" x14ac:dyDescent="0.2">
      <c r="A49" s="127">
        <v>1</v>
      </c>
      <c r="B49" s="127" t="s">
        <v>655</v>
      </c>
      <c r="C49" s="131" t="s">
        <v>693</v>
      </c>
      <c r="D49" s="113" t="s">
        <v>651</v>
      </c>
      <c r="E49" s="144" t="s">
        <v>178</v>
      </c>
      <c r="F49" s="114"/>
    </row>
    <row r="50" spans="1:6" x14ac:dyDescent="0.2">
      <c r="A50" s="399" t="s">
        <v>50</v>
      </c>
      <c r="B50" s="400"/>
      <c r="C50" s="400"/>
      <c r="D50" s="400"/>
      <c r="E50" s="401"/>
      <c r="F50" s="136"/>
    </row>
    <row r="51" spans="1:6" x14ac:dyDescent="0.2">
      <c r="A51" s="153">
        <v>1</v>
      </c>
      <c r="B51" s="153" t="s">
        <v>659</v>
      </c>
      <c r="C51" s="407" t="s">
        <v>1269</v>
      </c>
      <c r="D51" s="408"/>
      <c r="E51" s="409"/>
      <c r="F51" s="122"/>
    </row>
    <row r="52" spans="1:6" x14ac:dyDescent="0.2">
      <c r="A52" s="130">
        <v>1</v>
      </c>
      <c r="B52" s="130" t="s">
        <v>659</v>
      </c>
      <c r="C52" s="130" t="s">
        <v>649</v>
      </c>
      <c r="D52" s="123" t="s">
        <v>694</v>
      </c>
      <c r="E52" s="161"/>
      <c r="F52" s="124"/>
    </row>
    <row r="53" spans="1:6" x14ac:dyDescent="0.2">
      <c r="A53" s="127">
        <v>1</v>
      </c>
      <c r="B53" s="127" t="s">
        <v>659</v>
      </c>
      <c r="C53" s="127" t="s">
        <v>649</v>
      </c>
      <c r="D53" s="113" t="s">
        <v>651</v>
      </c>
      <c r="E53" s="144" t="s">
        <v>205</v>
      </c>
      <c r="F53" s="114"/>
    </row>
    <row r="54" spans="1:6" ht="15" x14ac:dyDescent="0.2">
      <c r="A54" s="127">
        <v>1</v>
      </c>
      <c r="B54" s="127" t="s">
        <v>659</v>
      </c>
      <c r="C54" s="127" t="s">
        <v>649</v>
      </c>
      <c r="D54" s="113" t="s">
        <v>674</v>
      </c>
      <c r="E54" s="159" t="s">
        <v>695</v>
      </c>
      <c r="F54" s="114"/>
    </row>
    <row r="55" spans="1:6" x14ac:dyDescent="0.2">
      <c r="A55" s="127">
        <v>1</v>
      </c>
      <c r="B55" s="127" t="s">
        <v>659</v>
      </c>
      <c r="C55" s="127" t="s">
        <v>649</v>
      </c>
      <c r="D55" s="113" t="s">
        <v>653</v>
      </c>
      <c r="E55" s="144" t="s">
        <v>3</v>
      </c>
      <c r="F55" s="122"/>
    </row>
    <row r="56" spans="1:6" ht="15" x14ac:dyDescent="0.2">
      <c r="A56" s="127">
        <v>1</v>
      </c>
      <c r="B56" s="127" t="s">
        <v>659</v>
      </c>
      <c r="C56" s="127" t="s">
        <v>649</v>
      </c>
      <c r="D56" s="113" t="s">
        <v>677</v>
      </c>
      <c r="E56" s="159" t="s">
        <v>696</v>
      </c>
      <c r="F56" s="114"/>
    </row>
    <row r="57" spans="1:6" x14ac:dyDescent="0.2">
      <c r="A57" s="127">
        <v>1</v>
      </c>
      <c r="B57" s="127" t="s">
        <v>659</v>
      </c>
      <c r="C57" s="127" t="s">
        <v>649</v>
      </c>
      <c r="D57" s="113" t="s">
        <v>667</v>
      </c>
      <c r="E57" s="144" t="s">
        <v>208</v>
      </c>
      <c r="F57" s="114"/>
    </row>
    <row r="58" spans="1:6" ht="15" x14ac:dyDescent="0.2">
      <c r="A58" s="127">
        <v>1</v>
      </c>
      <c r="B58" s="127" t="s">
        <v>659</v>
      </c>
      <c r="C58" s="127" t="s">
        <v>649</v>
      </c>
      <c r="D58" s="113" t="s">
        <v>697</v>
      </c>
      <c r="E58" s="159" t="s">
        <v>698</v>
      </c>
      <c r="F58" s="114"/>
    </row>
    <row r="59" spans="1:6" x14ac:dyDescent="0.2">
      <c r="A59" s="127">
        <v>1</v>
      </c>
      <c r="B59" s="127" t="s">
        <v>659</v>
      </c>
      <c r="C59" s="127" t="s">
        <v>649</v>
      </c>
      <c r="D59" s="113" t="s">
        <v>699</v>
      </c>
      <c r="E59" s="144" t="s">
        <v>700</v>
      </c>
      <c r="F59" s="114"/>
    </row>
    <row r="60" spans="1:6" ht="15" x14ac:dyDescent="0.2">
      <c r="A60" s="127">
        <v>1</v>
      </c>
      <c r="B60" s="127" t="s">
        <v>659</v>
      </c>
      <c r="C60" s="127" t="s">
        <v>649</v>
      </c>
      <c r="D60" s="113" t="s">
        <v>701</v>
      </c>
      <c r="E60" s="159" t="s">
        <v>702</v>
      </c>
      <c r="F60" s="114"/>
    </row>
    <row r="61" spans="1:6" ht="25.5" x14ac:dyDescent="0.2">
      <c r="A61" s="127">
        <v>1</v>
      </c>
      <c r="B61" s="127" t="s">
        <v>659</v>
      </c>
      <c r="C61" s="127" t="s">
        <v>649</v>
      </c>
      <c r="D61" s="113" t="s">
        <v>703</v>
      </c>
      <c r="E61" s="144" t="s">
        <v>704</v>
      </c>
      <c r="F61" s="114"/>
    </row>
    <row r="62" spans="1:6" ht="30" x14ac:dyDescent="0.2">
      <c r="A62" s="127">
        <v>1</v>
      </c>
      <c r="B62" s="127" t="s">
        <v>659</v>
      </c>
      <c r="C62" s="127" t="s">
        <v>649</v>
      </c>
      <c r="D62" s="113" t="s">
        <v>705</v>
      </c>
      <c r="E62" s="158" t="s">
        <v>706</v>
      </c>
      <c r="F62" s="114"/>
    </row>
    <row r="63" spans="1:6" x14ac:dyDescent="0.2">
      <c r="A63" s="127">
        <v>1</v>
      </c>
      <c r="B63" s="127" t="s">
        <v>659</v>
      </c>
      <c r="C63" s="127" t="s">
        <v>649</v>
      </c>
      <c r="D63" s="113" t="s">
        <v>707</v>
      </c>
      <c r="E63" s="144" t="s">
        <v>708</v>
      </c>
      <c r="F63" s="114"/>
    </row>
    <row r="64" spans="1:6" ht="30" x14ac:dyDescent="0.2">
      <c r="A64" s="127">
        <v>1</v>
      </c>
      <c r="B64" s="127" t="s">
        <v>659</v>
      </c>
      <c r="C64" s="127" t="s">
        <v>649</v>
      </c>
      <c r="D64" s="113" t="s">
        <v>709</v>
      </c>
      <c r="E64" s="159" t="s">
        <v>710</v>
      </c>
      <c r="F64" s="114"/>
    </row>
    <row r="65" spans="1:9" x14ac:dyDescent="0.2">
      <c r="A65" s="127">
        <v>1</v>
      </c>
      <c r="B65" s="127" t="s">
        <v>659</v>
      </c>
      <c r="C65" s="127" t="s">
        <v>649</v>
      </c>
      <c r="D65" s="113" t="s">
        <v>711</v>
      </c>
      <c r="E65" s="144" t="s">
        <v>209</v>
      </c>
      <c r="F65" s="114"/>
    </row>
    <row r="66" spans="1:9" ht="15" x14ac:dyDescent="0.2">
      <c r="A66" s="127">
        <v>1</v>
      </c>
      <c r="B66" s="127" t="s">
        <v>659</v>
      </c>
      <c r="C66" s="127" t="s">
        <v>649</v>
      </c>
      <c r="D66" s="113" t="s">
        <v>712</v>
      </c>
      <c r="E66" s="159" t="s">
        <v>713</v>
      </c>
      <c r="F66" s="114"/>
    </row>
    <row r="67" spans="1:9" x14ac:dyDescent="0.2">
      <c r="A67" s="127">
        <v>1</v>
      </c>
      <c r="B67" s="127" t="s">
        <v>659</v>
      </c>
      <c r="C67" s="127" t="s">
        <v>649</v>
      </c>
      <c r="D67" s="113" t="s">
        <v>714</v>
      </c>
      <c r="E67" s="144" t="s">
        <v>715</v>
      </c>
      <c r="F67" s="114"/>
    </row>
    <row r="68" spans="1:9" ht="15" x14ac:dyDescent="0.2">
      <c r="A68" s="127">
        <v>1</v>
      </c>
      <c r="B68" s="127" t="s">
        <v>659</v>
      </c>
      <c r="C68" s="127" t="s">
        <v>649</v>
      </c>
      <c r="D68" s="115" t="s">
        <v>716</v>
      </c>
      <c r="E68" s="159" t="s">
        <v>717</v>
      </c>
      <c r="F68" s="114"/>
    </row>
    <row r="69" spans="1:9" x14ac:dyDescent="0.2">
      <c r="A69" s="127">
        <v>1</v>
      </c>
      <c r="B69" s="127" t="s">
        <v>659</v>
      </c>
      <c r="C69" s="127" t="s">
        <v>649</v>
      </c>
      <c r="D69" s="113" t="s">
        <v>686</v>
      </c>
      <c r="E69" s="144" t="s">
        <v>718</v>
      </c>
      <c r="F69" s="114"/>
    </row>
    <row r="70" spans="1:9" x14ac:dyDescent="0.2">
      <c r="A70" s="127">
        <v>1</v>
      </c>
      <c r="B70" s="127" t="s">
        <v>659</v>
      </c>
      <c r="C70" s="127" t="s">
        <v>649</v>
      </c>
      <c r="D70" s="113" t="s">
        <v>688</v>
      </c>
      <c r="E70" s="144" t="s">
        <v>719</v>
      </c>
      <c r="F70" s="114"/>
    </row>
    <row r="71" spans="1:9" x14ac:dyDescent="0.2">
      <c r="A71" s="130">
        <v>1</v>
      </c>
      <c r="B71" s="130" t="s">
        <v>659</v>
      </c>
      <c r="C71" s="130" t="s">
        <v>655</v>
      </c>
      <c r="D71" s="123" t="s">
        <v>720</v>
      </c>
      <c r="E71" s="161"/>
      <c r="F71" s="124"/>
    </row>
    <row r="72" spans="1:9" x14ac:dyDescent="0.2">
      <c r="A72" s="127">
        <v>1</v>
      </c>
      <c r="B72" s="127" t="s">
        <v>659</v>
      </c>
      <c r="C72" s="127" t="s">
        <v>655</v>
      </c>
      <c r="D72" s="113" t="s">
        <v>651</v>
      </c>
      <c r="E72" s="144" t="s">
        <v>721</v>
      </c>
      <c r="F72" s="114"/>
    </row>
    <row r="73" spans="1:9" ht="30" x14ac:dyDescent="0.2">
      <c r="A73" s="127">
        <v>1</v>
      </c>
      <c r="B73" s="127" t="s">
        <v>659</v>
      </c>
      <c r="C73" s="127" t="s">
        <v>655</v>
      </c>
      <c r="D73" s="113" t="s">
        <v>674</v>
      </c>
      <c r="E73" s="159" t="s">
        <v>722</v>
      </c>
      <c r="F73" s="114"/>
    </row>
    <row r="74" spans="1:9" x14ac:dyDescent="0.2">
      <c r="A74" s="127">
        <v>1</v>
      </c>
      <c r="B74" s="127" t="s">
        <v>659</v>
      </c>
      <c r="C74" s="127" t="s">
        <v>655</v>
      </c>
      <c r="D74" s="113" t="s">
        <v>653</v>
      </c>
      <c r="E74" s="144" t="s">
        <v>723</v>
      </c>
      <c r="F74" s="114"/>
    </row>
    <row r="75" spans="1:9" ht="15" x14ac:dyDescent="0.2">
      <c r="A75" s="127">
        <v>1</v>
      </c>
      <c r="B75" s="127" t="s">
        <v>659</v>
      </c>
      <c r="C75" s="127" t="s">
        <v>655</v>
      </c>
      <c r="D75" s="113" t="s">
        <v>677</v>
      </c>
      <c r="E75" s="159" t="s">
        <v>724</v>
      </c>
      <c r="F75" s="114"/>
    </row>
    <row r="76" spans="1:9" x14ac:dyDescent="0.2">
      <c r="A76" s="130">
        <v>1</v>
      </c>
      <c r="B76" s="130" t="s">
        <v>659</v>
      </c>
      <c r="C76" s="130" t="s">
        <v>659</v>
      </c>
      <c r="D76" s="123" t="s">
        <v>725</v>
      </c>
      <c r="E76" s="161"/>
      <c r="F76" s="124"/>
    </row>
    <row r="77" spans="1:9" x14ac:dyDescent="0.2">
      <c r="A77" s="127">
        <v>1</v>
      </c>
      <c r="B77" s="127" t="s">
        <v>659</v>
      </c>
      <c r="C77" s="127" t="s">
        <v>659</v>
      </c>
      <c r="D77" s="113" t="s">
        <v>651</v>
      </c>
      <c r="E77" s="144" t="s">
        <v>726</v>
      </c>
      <c r="F77" s="114"/>
    </row>
    <row r="78" spans="1:9" ht="30" x14ac:dyDescent="0.2">
      <c r="A78" s="127">
        <v>1</v>
      </c>
      <c r="B78" s="127" t="s">
        <v>659</v>
      </c>
      <c r="C78" s="127" t="s">
        <v>659</v>
      </c>
      <c r="D78" s="115" t="s">
        <v>674</v>
      </c>
      <c r="E78" s="159" t="s">
        <v>727</v>
      </c>
      <c r="F78" s="114"/>
    </row>
    <row r="79" spans="1:9" ht="25.5" x14ac:dyDescent="0.2">
      <c r="A79" s="127">
        <v>1</v>
      </c>
      <c r="B79" s="127" t="s">
        <v>659</v>
      </c>
      <c r="C79" s="127" t="s">
        <v>659</v>
      </c>
      <c r="D79" s="113" t="s">
        <v>653</v>
      </c>
      <c r="E79" s="144" t="s">
        <v>728</v>
      </c>
      <c r="F79" s="114"/>
    </row>
    <row r="80" spans="1:9" ht="15" x14ac:dyDescent="0.2">
      <c r="A80" s="127">
        <v>1</v>
      </c>
      <c r="B80" s="127" t="s">
        <v>659</v>
      </c>
      <c r="C80" s="127" t="s">
        <v>659</v>
      </c>
      <c r="D80" s="115" t="s">
        <v>677</v>
      </c>
      <c r="E80" s="159" t="s">
        <v>729</v>
      </c>
      <c r="F80" s="114"/>
      <c r="I80" s="7"/>
    </row>
    <row r="81" spans="1:6" x14ac:dyDescent="0.2">
      <c r="A81" s="127">
        <v>1</v>
      </c>
      <c r="B81" s="127" t="s">
        <v>659</v>
      </c>
      <c r="C81" s="127" t="s">
        <v>659</v>
      </c>
      <c r="D81" s="113" t="s">
        <v>667</v>
      </c>
      <c r="E81" s="144" t="s">
        <v>730</v>
      </c>
      <c r="F81" s="114"/>
    </row>
    <row r="82" spans="1:6" ht="15" x14ac:dyDescent="0.2">
      <c r="A82" s="127">
        <v>1</v>
      </c>
      <c r="B82" s="127" t="s">
        <v>659</v>
      </c>
      <c r="C82" s="127" t="s">
        <v>659</v>
      </c>
      <c r="D82" s="115" t="s">
        <v>697</v>
      </c>
      <c r="E82" s="159" t="s">
        <v>731</v>
      </c>
      <c r="F82" s="114"/>
    </row>
    <row r="83" spans="1:6" x14ac:dyDescent="0.2">
      <c r="A83" s="127">
        <v>1</v>
      </c>
      <c r="B83" s="127" t="s">
        <v>659</v>
      </c>
      <c r="C83" s="127" t="s">
        <v>659</v>
      </c>
      <c r="D83" s="113" t="s">
        <v>699</v>
      </c>
      <c r="E83" s="144" t="s">
        <v>732</v>
      </c>
      <c r="F83" s="114"/>
    </row>
    <row r="84" spans="1:6" ht="15" x14ac:dyDescent="0.2">
      <c r="A84" s="127">
        <v>1</v>
      </c>
      <c r="B84" s="127" t="s">
        <v>659</v>
      </c>
      <c r="C84" s="127" t="s">
        <v>659</v>
      </c>
      <c r="D84" s="115" t="s">
        <v>701</v>
      </c>
      <c r="E84" s="159" t="s">
        <v>733</v>
      </c>
      <c r="F84" s="114"/>
    </row>
    <row r="85" spans="1:6" x14ac:dyDescent="0.2">
      <c r="A85" s="130">
        <v>1</v>
      </c>
      <c r="B85" s="130" t="s">
        <v>659</v>
      </c>
      <c r="C85" s="130" t="s">
        <v>679</v>
      </c>
      <c r="D85" s="123" t="s">
        <v>734</v>
      </c>
      <c r="E85" s="161"/>
      <c r="F85" s="124"/>
    </row>
    <row r="86" spans="1:6" x14ac:dyDescent="0.2">
      <c r="A86" s="127">
        <v>1</v>
      </c>
      <c r="B86" s="127" t="s">
        <v>659</v>
      </c>
      <c r="C86" s="127" t="s">
        <v>679</v>
      </c>
      <c r="D86" s="113" t="s">
        <v>703</v>
      </c>
      <c r="E86" s="144" t="s">
        <v>165</v>
      </c>
      <c r="F86" s="114"/>
    </row>
    <row r="87" spans="1:6" x14ac:dyDescent="0.2">
      <c r="A87" s="127">
        <v>1</v>
      </c>
      <c r="B87" s="127" t="s">
        <v>659</v>
      </c>
      <c r="C87" s="127" t="s">
        <v>679</v>
      </c>
      <c r="D87" s="113" t="s">
        <v>707</v>
      </c>
      <c r="E87" s="144" t="s">
        <v>735</v>
      </c>
      <c r="F87" s="114"/>
    </row>
    <row r="88" spans="1:6" x14ac:dyDescent="0.2">
      <c r="A88" s="127">
        <v>1</v>
      </c>
      <c r="B88" s="127" t="s">
        <v>659</v>
      </c>
      <c r="C88" s="127" t="s">
        <v>679</v>
      </c>
      <c r="D88" s="113" t="s">
        <v>711</v>
      </c>
      <c r="E88" s="144" t="s">
        <v>736</v>
      </c>
      <c r="F88" s="114"/>
    </row>
    <row r="89" spans="1:6" x14ac:dyDescent="0.2">
      <c r="A89" s="130">
        <v>1</v>
      </c>
      <c r="B89" s="130" t="s">
        <v>659</v>
      </c>
      <c r="C89" s="130" t="s">
        <v>681</v>
      </c>
      <c r="D89" s="123" t="s">
        <v>737</v>
      </c>
      <c r="E89" s="161"/>
      <c r="F89" s="124"/>
    </row>
    <row r="90" spans="1:6" x14ac:dyDescent="0.2">
      <c r="A90" s="127">
        <v>1</v>
      </c>
      <c r="B90" s="127" t="s">
        <v>659</v>
      </c>
      <c r="C90" s="127" t="s">
        <v>681</v>
      </c>
      <c r="D90" s="113" t="s">
        <v>651</v>
      </c>
      <c r="E90" s="144" t="s">
        <v>738</v>
      </c>
      <c r="F90" s="114"/>
    </row>
    <row r="91" spans="1:6" x14ac:dyDescent="0.2">
      <c r="A91" s="127">
        <v>1</v>
      </c>
      <c r="B91" s="127" t="s">
        <v>659</v>
      </c>
      <c r="C91" s="127" t="s">
        <v>681</v>
      </c>
      <c r="D91" s="113" t="s">
        <v>653</v>
      </c>
      <c r="E91" s="144" t="s">
        <v>739</v>
      </c>
      <c r="F91" s="114"/>
    </row>
    <row r="92" spans="1:6" x14ac:dyDescent="0.2">
      <c r="A92" s="127">
        <v>1</v>
      </c>
      <c r="B92" s="127" t="s">
        <v>659</v>
      </c>
      <c r="C92" s="127" t="s">
        <v>681</v>
      </c>
      <c r="D92" s="113" t="s">
        <v>667</v>
      </c>
      <c r="E92" s="144" t="s">
        <v>740</v>
      </c>
      <c r="F92" s="117"/>
    </row>
    <row r="93" spans="1:6" x14ac:dyDescent="0.2">
      <c r="A93" s="127">
        <v>1</v>
      </c>
      <c r="B93" s="127" t="s">
        <v>659</v>
      </c>
      <c r="C93" s="127" t="s">
        <v>681</v>
      </c>
      <c r="D93" s="113" t="s">
        <v>699</v>
      </c>
      <c r="E93" s="144" t="s">
        <v>741</v>
      </c>
      <c r="F93" s="114"/>
    </row>
    <row r="94" spans="1:6" x14ac:dyDescent="0.2">
      <c r="A94" s="130">
        <v>1</v>
      </c>
      <c r="B94" s="130" t="s">
        <v>659</v>
      </c>
      <c r="C94" s="130" t="s">
        <v>690</v>
      </c>
      <c r="D94" s="123" t="s">
        <v>742</v>
      </c>
      <c r="E94" s="161"/>
      <c r="F94" s="124"/>
    </row>
    <row r="95" spans="1:6" x14ac:dyDescent="0.2">
      <c r="A95" s="127">
        <v>1</v>
      </c>
      <c r="B95" s="127" t="s">
        <v>659</v>
      </c>
      <c r="C95" s="127" t="s">
        <v>690</v>
      </c>
      <c r="D95" s="113" t="s">
        <v>651</v>
      </c>
      <c r="E95" s="144" t="s">
        <v>743</v>
      </c>
      <c r="F95" s="114"/>
    </row>
    <row r="96" spans="1:6" ht="30" x14ac:dyDescent="0.2">
      <c r="A96" s="127">
        <v>1</v>
      </c>
      <c r="B96" s="127" t="s">
        <v>659</v>
      </c>
      <c r="C96" s="127" t="s">
        <v>690</v>
      </c>
      <c r="D96" s="115" t="s">
        <v>674</v>
      </c>
      <c r="E96" s="159" t="s">
        <v>744</v>
      </c>
      <c r="F96" s="114"/>
    </row>
    <row r="97" spans="1:6" x14ac:dyDescent="0.2">
      <c r="A97" s="127">
        <v>1</v>
      </c>
      <c r="B97" s="127" t="s">
        <v>659</v>
      </c>
      <c r="C97" s="127" t="s">
        <v>690</v>
      </c>
      <c r="D97" s="113" t="s">
        <v>653</v>
      </c>
      <c r="E97" s="144" t="s">
        <v>207</v>
      </c>
      <c r="F97" s="114"/>
    </row>
    <row r="98" spans="1:6" ht="30" x14ac:dyDescent="0.2">
      <c r="A98" s="127">
        <v>1</v>
      </c>
      <c r="B98" s="127" t="s">
        <v>659</v>
      </c>
      <c r="C98" s="127" t="s">
        <v>690</v>
      </c>
      <c r="D98" s="115" t="s">
        <v>677</v>
      </c>
      <c r="E98" s="159" t="s">
        <v>745</v>
      </c>
      <c r="F98" s="114"/>
    </row>
    <row r="99" spans="1:6" ht="25.5" x14ac:dyDescent="0.2">
      <c r="A99" s="127">
        <v>1</v>
      </c>
      <c r="B99" s="127" t="s">
        <v>659</v>
      </c>
      <c r="C99" s="127" t="s">
        <v>690</v>
      </c>
      <c r="D99" s="113" t="s">
        <v>667</v>
      </c>
      <c r="E99" s="144" t="s">
        <v>746</v>
      </c>
      <c r="F99" s="114"/>
    </row>
    <row r="100" spans="1:6" ht="30" x14ac:dyDescent="0.2">
      <c r="A100" s="127">
        <v>1</v>
      </c>
      <c r="B100" s="127" t="s">
        <v>659</v>
      </c>
      <c r="C100" s="127" t="s">
        <v>690</v>
      </c>
      <c r="D100" s="115" t="s">
        <v>697</v>
      </c>
      <c r="E100" s="159" t="s">
        <v>747</v>
      </c>
      <c r="F100" s="114"/>
    </row>
    <row r="101" spans="1:6" x14ac:dyDescent="0.2">
      <c r="A101" s="127">
        <v>1</v>
      </c>
      <c r="B101" s="127" t="s">
        <v>659</v>
      </c>
      <c r="C101" s="127" t="s">
        <v>690</v>
      </c>
      <c r="D101" s="115" t="s">
        <v>686</v>
      </c>
      <c r="E101" s="144" t="s">
        <v>56</v>
      </c>
      <c r="F101" s="114"/>
    </row>
    <row r="102" spans="1:6" x14ac:dyDescent="0.2">
      <c r="A102" s="127">
        <v>1</v>
      </c>
      <c r="B102" s="127" t="s">
        <v>659</v>
      </c>
      <c r="C102" s="127" t="s">
        <v>690</v>
      </c>
      <c r="D102" s="113" t="s">
        <v>688</v>
      </c>
      <c r="E102" s="144" t="s">
        <v>748</v>
      </c>
      <c r="F102" s="114"/>
    </row>
    <row r="103" spans="1:6" x14ac:dyDescent="0.2">
      <c r="A103" s="399" t="s">
        <v>50</v>
      </c>
      <c r="B103" s="400"/>
      <c r="C103" s="400"/>
      <c r="D103" s="400"/>
      <c r="E103" s="401"/>
      <c r="F103" s="136"/>
    </row>
    <row r="104" spans="1:6" x14ac:dyDescent="0.2">
      <c r="A104" s="128">
        <v>1</v>
      </c>
      <c r="B104" s="128" t="s">
        <v>679</v>
      </c>
      <c r="C104" s="407" t="s">
        <v>1270</v>
      </c>
      <c r="D104" s="408"/>
      <c r="E104" s="409"/>
      <c r="F104" s="126"/>
    </row>
    <row r="105" spans="1:6" x14ac:dyDescent="0.2">
      <c r="A105" s="130">
        <v>1</v>
      </c>
      <c r="B105" s="130" t="s">
        <v>679</v>
      </c>
      <c r="C105" s="130" t="s">
        <v>649</v>
      </c>
      <c r="D105" s="123" t="s">
        <v>749</v>
      </c>
      <c r="E105" s="161"/>
      <c r="F105" s="124"/>
    </row>
    <row r="106" spans="1:6" x14ac:dyDescent="0.2">
      <c r="A106" s="127">
        <v>1</v>
      </c>
      <c r="B106" s="127" t="s">
        <v>679</v>
      </c>
      <c r="C106" s="127" t="s">
        <v>649</v>
      </c>
      <c r="D106" s="113" t="s">
        <v>651</v>
      </c>
      <c r="E106" s="144" t="s">
        <v>213</v>
      </c>
      <c r="F106" s="114"/>
    </row>
    <row r="107" spans="1:6" x14ac:dyDescent="0.2">
      <c r="A107" s="130">
        <v>1</v>
      </c>
      <c r="B107" s="130" t="s">
        <v>679</v>
      </c>
      <c r="C107" s="130" t="s">
        <v>655</v>
      </c>
      <c r="D107" s="123" t="s">
        <v>750</v>
      </c>
      <c r="E107" s="161"/>
      <c r="F107" s="124"/>
    </row>
    <row r="108" spans="1:6" x14ac:dyDescent="0.2">
      <c r="A108" s="127">
        <v>1</v>
      </c>
      <c r="B108" s="127" t="s">
        <v>679</v>
      </c>
      <c r="C108" s="127" t="s">
        <v>655</v>
      </c>
      <c r="D108" s="113" t="s">
        <v>651</v>
      </c>
      <c r="E108" s="144" t="s">
        <v>751</v>
      </c>
      <c r="F108" s="114"/>
    </row>
    <row r="109" spans="1:6" x14ac:dyDescent="0.2">
      <c r="A109" s="127">
        <v>1</v>
      </c>
      <c r="B109" s="127" t="s">
        <v>679</v>
      </c>
      <c r="C109" s="127" t="s">
        <v>655</v>
      </c>
      <c r="D109" s="113" t="s">
        <v>653</v>
      </c>
      <c r="E109" s="144" t="s">
        <v>752</v>
      </c>
      <c r="F109" s="114"/>
    </row>
    <row r="110" spans="1:6" x14ac:dyDescent="0.2">
      <c r="A110" s="127">
        <v>1</v>
      </c>
      <c r="B110" s="127" t="s">
        <v>679</v>
      </c>
      <c r="C110" s="127" t="s">
        <v>655</v>
      </c>
      <c r="D110" s="113" t="s">
        <v>667</v>
      </c>
      <c r="E110" s="144" t="s">
        <v>753</v>
      </c>
      <c r="F110" s="114"/>
    </row>
    <row r="111" spans="1:6" x14ac:dyDescent="0.2">
      <c r="A111" s="127">
        <v>1</v>
      </c>
      <c r="B111" s="127" t="s">
        <v>679</v>
      </c>
      <c r="C111" s="127" t="s">
        <v>655</v>
      </c>
      <c r="D111" s="113" t="s">
        <v>699</v>
      </c>
      <c r="E111" s="144" t="s">
        <v>754</v>
      </c>
      <c r="F111" s="114"/>
    </row>
    <row r="112" spans="1:6" x14ac:dyDescent="0.2">
      <c r="A112" s="127">
        <v>1</v>
      </c>
      <c r="B112" s="127" t="s">
        <v>679</v>
      </c>
      <c r="C112" s="127" t="s">
        <v>655</v>
      </c>
      <c r="D112" s="113" t="s">
        <v>703</v>
      </c>
      <c r="E112" s="144" t="s">
        <v>755</v>
      </c>
      <c r="F112" s="114"/>
    </row>
    <row r="113" spans="1:6" x14ac:dyDescent="0.2">
      <c r="A113" s="127">
        <v>1</v>
      </c>
      <c r="B113" s="127" t="s">
        <v>679</v>
      </c>
      <c r="C113" s="127" t="s">
        <v>655</v>
      </c>
      <c r="D113" s="113" t="s">
        <v>707</v>
      </c>
      <c r="E113" s="144" t="s">
        <v>756</v>
      </c>
      <c r="F113" s="114"/>
    </row>
    <row r="114" spans="1:6" x14ac:dyDescent="0.2">
      <c r="A114" s="127">
        <v>1</v>
      </c>
      <c r="B114" s="127" t="s">
        <v>679</v>
      </c>
      <c r="C114" s="127" t="s">
        <v>655</v>
      </c>
      <c r="D114" s="113" t="s">
        <v>711</v>
      </c>
      <c r="E114" s="144" t="s">
        <v>757</v>
      </c>
      <c r="F114" s="114"/>
    </row>
    <row r="115" spans="1:6" x14ac:dyDescent="0.2">
      <c r="A115" s="127">
        <v>1</v>
      </c>
      <c r="B115" s="127" t="s">
        <v>679</v>
      </c>
      <c r="C115" s="127" t="s">
        <v>655</v>
      </c>
      <c r="D115" s="113" t="s">
        <v>714</v>
      </c>
      <c r="E115" s="144" t="s">
        <v>758</v>
      </c>
      <c r="F115" s="114"/>
    </row>
    <row r="116" spans="1:6" x14ac:dyDescent="0.2">
      <c r="A116" s="127">
        <v>1</v>
      </c>
      <c r="B116" s="127" t="s">
        <v>679</v>
      </c>
      <c r="C116" s="127" t="s">
        <v>655</v>
      </c>
      <c r="D116" s="113" t="s">
        <v>759</v>
      </c>
      <c r="E116" s="144" t="s">
        <v>760</v>
      </c>
      <c r="F116" s="114"/>
    </row>
    <row r="117" spans="1:6" x14ac:dyDescent="0.2">
      <c r="A117" s="127">
        <v>1</v>
      </c>
      <c r="B117" s="127" t="s">
        <v>679</v>
      </c>
      <c r="C117" s="127" t="s">
        <v>655</v>
      </c>
      <c r="D117" s="115" t="s">
        <v>686</v>
      </c>
      <c r="E117" s="144" t="s">
        <v>761</v>
      </c>
      <c r="F117" s="114"/>
    </row>
    <row r="118" spans="1:6" x14ac:dyDescent="0.2">
      <c r="A118" s="130">
        <v>1</v>
      </c>
      <c r="B118" s="130" t="s">
        <v>679</v>
      </c>
      <c r="C118" s="130" t="s">
        <v>659</v>
      </c>
      <c r="D118" s="123" t="s">
        <v>762</v>
      </c>
      <c r="E118" s="161"/>
      <c r="F118" s="124"/>
    </row>
    <row r="119" spans="1:6" x14ac:dyDescent="0.2">
      <c r="A119" s="127">
        <v>1</v>
      </c>
      <c r="B119" s="127" t="s">
        <v>679</v>
      </c>
      <c r="C119" s="127" t="s">
        <v>659</v>
      </c>
      <c r="D119" s="113" t="s">
        <v>651</v>
      </c>
      <c r="E119" s="144" t="s">
        <v>211</v>
      </c>
      <c r="F119" s="114"/>
    </row>
    <row r="120" spans="1:6" x14ac:dyDescent="0.2">
      <c r="A120" s="127">
        <v>1</v>
      </c>
      <c r="B120" s="127" t="s">
        <v>679</v>
      </c>
      <c r="C120" s="127" t="s">
        <v>659</v>
      </c>
      <c r="D120" s="113" t="s">
        <v>653</v>
      </c>
      <c r="E120" s="144" t="s">
        <v>763</v>
      </c>
      <c r="F120" s="114"/>
    </row>
    <row r="121" spans="1:6" x14ac:dyDescent="0.2">
      <c r="A121" s="127">
        <v>1</v>
      </c>
      <c r="B121" s="127" t="s">
        <v>679</v>
      </c>
      <c r="C121" s="127" t="s">
        <v>659</v>
      </c>
      <c r="D121" s="113" t="s">
        <v>667</v>
      </c>
      <c r="E121" s="144" t="s">
        <v>212</v>
      </c>
      <c r="F121" s="114"/>
    </row>
    <row r="122" spans="1:6" x14ac:dyDescent="0.2">
      <c r="A122" s="130">
        <v>1</v>
      </c>
      <c r="B122" s="130" t="s">
        <v>679</v>
      </c>
      <c r="C122" s="130" t="s">
        <v>679</v>
      </c>
      <c r="D122" s="123" t="s">
        <v>764</v>
      </c>
      <c r="E122" s="161"/>
      <c r="F122" s="124"/>
    </row>
    <row r="123" spans="1:6" x14ac:dyDescent="0.2">
      <c r="A123" s="127">
        <v>1</v>
      </c>
      <c r="B123" s="127" t="s">
        <v>679</v>
      </c>
      <c r="C123" s="127" t="s">
        <v>679</v>
      </c>
      <c r="D123" s="113" t="s">
        <v>651</v>
      </c>
      <c r="E123" s="144" t="s">
        <v>338</v>
      </c>
      <c r="F123" s="114"/>
    </row>
    <row r="124" spans="1:6" x14ac:dyDescent="0.2">
      <c r="A124" s="127">
        <v>1</v>
      </c>
      <c r="B124" s="127" t="s">
        <v>679</v>
      </c>
      <c r="C124" s="127" t="s">
        <v>679</v>
      </c>
      <c r="D124" s="113" t="s">
        <v>653</v>
      </c>
      <c r="E124" s="144" t="s">
        <v>765</v>
      </c>
      <c r="F124" s="114"/>
    </row>
    <row r="125" spans="1:6" x14ac:dyDescent="0.2">
      <c r="A125" s="127">
        <v>1</v>
      </c>
      <c r="B125" s="127" t="s">
        <v>679</v>
      </c>
      <c r="C125" s="127" t="s">
        <v>679</v>
      </c>
      <c r="D125" s="113" t="s">
        <v>667</v>
      </c>
      <c r="E125" s="144" t="s">
        <v>766</v>
      </c>
      <c r="F125" s="114"/>
    </row>
    <row r="126" spans="1:6" x14ac:dyDescent="0.2">
      <c r="A126" s="127">
        <v>1</v>
      </c>
      <c r="B126" s="127" t="s">
        <v>679</v>
      </c>
      <c r="C126" s="127" t="s">
        <v>679</v>
      </c>
      <c r="D126" s="113" t="s">
        <v>699</v>
      </c>
      <c r="E126" s="144" t="s">
        <v>215</v>
      </c>
      <c r="F126" s="114"/>
    </row>
    <row r="127" spans="1:6" x14ac:dyDescent="0.2">
      <c r="A127" s="127">
        <v>1</v>
      </c>
      <c r="B127" s="127" t="s">
        <v>679</v>
      </c>
      <c r="C127" s="127" t="s">
        <v>679</v>
      </c>
      <c r="D127" s="113" t="s">
        <v>703</v>
      </c>
      <c r="E127" s="144" t="s">
        <v>216</v>
      </c>
      <c r="F127" s="114"/>
    </row>
    <row r="128" spans="1:6" x14ac:dyDescent="0.2">
      <c r="A128" s="127">
        <v>1</v>
      </c>
      <c r="B128" s="127" t="s">
        <v>679</v>
      </c>
      <c r="C128" s="127" t="s">
        <v>679</v>
      </c>
      <c r="D128" s="113" t="s">
        <v>707</v>
      </c>
      <c r="E128" s="144" t="s">
        <v>217</v>
      </c>
      <c r="F128" s="114"/>
    </row>
    <row r="129" spans="1:6" x14ac:dyDescent="0.2">
      <c r="A129" s="127">
        <v>1</v>
      </c>
      <c r="B129" s="127" t="s">
        <v>679</v>
      </c>
      <c r="C129" s="127" t="s">
        <v>679</v>
      </c>
      <c r="D129" s="113" t="s">
        <v>711</v>
      </c>
      <c r="E129" s="144" t="s">
        <v>218</v>
      </c>
      <c r="F129" s="114"/>
    </row>
    <row r="130" spans="1:6" x14ac:dyDescent="0.2">
      <c r="A130" s="127">
        <v>1</v>
      </c>
      <c r="B130" s="127" t="s">
        <v>679</v>
      </c>
      <c r="C130" s="127" t="s">
        <v>679</v>
      </c>
      <c r="D130" s="113" t="s">
        <v>714</v>
      </c>
      <c r="E130" s="144" t="s">
        <v>767</v>
      </c>
      <c r="F130" s="114"/>
    </row>
    <row r="131" spans="1:6" x14ac:dyDescent="0.2">
      <c r="A131" s="127">
        <v>1</v>
      </c>
      <c r="B131" s="127" t="s">
        <v>679</v>
      </c>
      <c r="C131" s="127" t="s">
        <v>679</v>
      </c>
      <c r="D131" s="113" t="s">
        <v>759</v>
      </c>
      <c r="E131" s="144" t="s">
        <v>768</v>
      </c>
      <c r="F131" s="114"/>
    </row>
    <row r="132" spans="1:6" x14ac:dyDescent="0.2">
      <c r="A132" s="127">
        <v>1</v>
      </c>
      <c r="B132" s="127" t="s">
        <v>679</v>
      </c>
      <c r="C132" s="127" t="s">
        <v>679</v>
      </c>
      <c r="D132" s="113" t="s">
        <v>769</v>
      </c>
      <c r="E132" s="144" t="s">
        <v>220</v>
      </c>
      <c r="F132" s="114"/>
    </row>
    <row r="133" spans="1:6" x14ac:dyDescent="0.2">
      <c r="A133" s="127">
        <v>1</v>
      </c>
      <c r="B133" s="127" t="s">
        <v>679</v>
      </c>
      <c r="C133" s="127" t="s">
        <v>679</v>
      </c>
      <c r="D133" s="113" t="s">
        <v>770</v>
      </c>
      <c r="E133" s="144" t="s">
        <v>771</v>
      </c>
      <c r="F133" s="114"/>
    </row>
    <row r="134" spans="1:6" x14ac:dyDescent="0.2">
      <c r="A134" s="127">
        <v>1</v>
      </c>
      <c r="B134" s="127" t="s">
        <v>679</v>
      </c>
      <c r="C134" s="127" t="s">
        <v>679</v>
      </c>
      <c r="D134" s="113" t="s">
        <v>772</v>
      </c>
      <c r="E134" s="144" t="s">
        <v>773</v>
      </c>
      <c r="F134" s="114"/>
    </row>
    <row r="135" spans="1:6" x14ac:dyDescent="0.2">
      <c r="A135" s="127">
        <v>1</v>
      </c>
      <c r="B135" s="127" t="s">
        <v>679</v>
      </c>
      <c r="C135" s="127" t="s">
        <v>679</v>
      </c>
      <c r="D135" s="113" t="s">
        <v>774</v>
      </c>
      <c r="E135" s="144" t="s">
        <v>223</v>
      </c>
      <c r="F135" s="114"/>
    </row>
    <row r="136" spans="1:6" x14ac:dyDescent="0.2">
      <c r="A136" s="127">
        <v>1</v>
      </c>
      <c r="B136" s="127" t="s">
        <v>679</v>
      </c>
      <c r="C136" s="127" t="s">
        <v>679</v>
      </c>
      <c r="D136" s="115" t="s">
        <v>686</v>
      </c>
      <c r="E136" s="144" t="s">
        <v>775</v>
      </c>
      <c r="F136" s="114"/>
    </row>
    <row r="137" spans="1:6" x14ac:dyDescent="0.2">
      <c r="A137" s="399" t="s">
        <v>50</v>
      </c>
      <c r="B137" s="400"/>
      <c r="C137" s="400"/>
      <c r="D137" s="400"/>
      <c r="E137" s="401"/>
      <c r="F137" s="136"/>
    </row>
    <row r="138" spans="1:6" x14ac:dyDescent="0.2">
      <c r="A138" s="153">
        <v>1</v>
      </c>
      <c r="B138" s="153" t="s">
        <v>681</v>
      </c>
      <c r="C138" s="407" t="s">
        <v>776</v>
      </c>
      <c r="D138" s="408"/>
      <c r="E138" s="409"/>
      <c r="F138" s="122"/>
    </row>
    <row r="139" spans="1:6" x14ac:dyDescent="0.2">
      <c r="A139" s="130">
        <v>1</v>
      </c>
      <c r="B139" s="130" t="s">
        <v>681</v>
      </c>
      <c r="C139" s="132" t="s">
        <v>649</v>
      </c>
      <c r="D139" s="123" t="s">
        <v>632</v>
      </c>
      <c r="E139" s="161"/>
      <c r="F139" s="124"/>
    </row>
    <row r="140" spans="1:6" x14ac:dyDescent="0.2">
      <c r="A140" s="127">
        <v>1</v>
      </c>
      <c r="B140" s="127" t="s">
        <v>681</v>
      </c>
      <c r="C140" s="127" t="s">
        <v>649</v>
      </c>
      <c r="D140" s="113" t="s">
        <v>651</v>
      </c>
      <c r="E140" s="144" t="s">
        <v>229</v>
      </c>
      <c r="F140" s="114"/>
    </row>
    <row r="141" spans="1:6" x14ac:dyDescent="0.2">
      <c r="A141" s="127">
        <v>1</v>
      </c>
      <c r="B141" s="127" t="s">
        <v>681</v>
      </c>
      <c r="C141" s="127" t="s">
        <v>649</v>
      </c>
      <c r="D141" s="113" t="s">
        <v>653</v>
      </c>
      <c r="E141" s="144" t="s">
        <v>226</v>
      </c>
      <c r="F141" s="114"/>
    </row>
    <row r="142" spans="1:6" x14ac:dyDescent="0.2">
      <c r="A142" s="127">
        <v>1</v>
      </c>
      <c r="B142" s="127" t="s">
        <v>681</v>
      </c>
      <c r="C142" s="127" t="s">
        <v>649</v>
      </c>
      <c r="D142" s="113" t="s">
        <v>667</v>
      </c>
      <c r="E142" s="144" t="s">
        <v>777</v>
      </c>
      <c r="F142" s="114"/>
    </row>
    <row r="143" spans="1:6" x14ac:dyDescent="0.2">
      <c r="A143" s="127">
        <v>1</v>
      </c>
      <c r="B143" s="127" t="s">
        <v>681</v>
      </c>
      <c r="C143" s="127" t="s">
        <v>649</v>
      </c>
      <c r="D143" s="113" t="s">
        <v>699</v>
      </c>
      <c r="E143" s="144" t="s">
        <v>228</v>
      </c>
      <c r="F143" s="114"/>
    </row>
    <row r="144" spans="1:6" x14ac:dyDescent="0.2">
      <c r="A144" s="127">
        <v>1</v>
      </c>
      <c r="B144" s="127" t="s">
        <v>681</v>
      </c>
      <c r="C144" s="127" t="s">
        <v>649</v>
      </c>
      <c r="D144" s="113" t="s">
        <v>703</v>
      </c>
      <c r="E144" s="144" t="s">
        <v>227</v>
      </c>
      <c r="F144" s="117"/>
    </row>
    <row r="145" spans="1:6" x14ac:dyDescent="0.2">
      <c r="A145" s="127">
        <v>1</v>
      </c>
      <c r="B145" s="127" t="s">
        <v>681</v>
      </c>
      <c r="C145" s="127" t="s">
        <v>649</v>
      </c>
      <c r="D145" s="113" t="s">
        <v>686</v>
      </c>
      <c r="E145" s="144" t="s">
        <v>778</v>
      </c>
      <c r="F145" s="114"/>
    </row>
    <row r="146" spans="1:6" x14ac:dyDescent="0.2">
      <c r="A146" s="130">
        <v>1</v>
      </c>
      <c r="B146" s="130" t="s">
        <v>681</v>
      </c>
      <c r="C146" s="132" t="s">
        <v>655</v>
      </c>
      <c r="D146" s="123" t="s">
        <v>779</v>
      </c>
      <c r="E146" s="161"/>
      <c r="F146" s="124"/>
    </row>
    <row r="147" spans="1:6" x14ac:dyDescent="0.2">
      <c r="A147" s="127">
        <v>1</v>
      </c>
      <c r="B147" s="127" t="s">
        <v>681</v>
      </c>
      <c r="C147" s="127" t="s">
        <v>655</v>
      </c>
      <c r="D147" s="113" t="s">
        <v>651</v>
      </c>
      <c r="E147" s="144" t="s">
        <v>780</v>
      </c>
      <c r="F147" s="114"/>
    </row>
    <row r="148" spans="1:6" x14ac:dyDescent="0.2">
      <c r="A148" s="399" t="s">
        <v>50</v>
      </c>
      <c r="B148" s="400"/>
      <c r="C148" s="400"/>
      <c r="D148" s="400"/>
      <c r="E148" s="401"/>
      <c r="F148" s="136"/>
    </row>
    <row r="149" spans="1:6" x14ac:dyDescent="0.2">
      <c r="A149" s="128">
        <v>1</v>
      </c>
      <c r="B149" s="128" t="s">
        <v>690</v>
      </c>
      <c r="C149" s="407" t="s">
        <v>1272</v>
      </c>
      <c r="D149" s="408"/>
      <c r="E149" s="409"/>
      <c r="F149" s="126"/>
    </row>
    <row r="150" spans="1:6" x14ac:dyDescent="0.2">
      <c r="A150" s="130">
        <v>1</v>
      </c>
      <c r="B150" s="130" t="s">
        <v>690</v>
      </c>
      <c r="C150" s="130" t="s">
        <v>649</v>
      </c>
      <c r="D150" s="123" t="s">
        <v>782</v>
      </c>
      <c r="E150" s="161"/>
      <c r="F150" s="124"/>
    </row>
    <row r="151" spans="1:6" x14ac:dyDescent="0.2">
      <c r="A151" s="127">
        <v>1</v>
      </c>
      <c r="B151" s="127" t="s">
        <v>690</v>
      </c>
      <c r="C151" s="127" t="s">
        <v>649</v>
      </c>
      <c r="D151" s="113" t="s">
        <v>651</v>
      </c>
      <c r="E151" s="168" t="s">
        <v>1311</v>
      </c>
      <c r="F151" s="114"/>
    </row>
    <row r="152" spans="1:6" ht="25.5" x14ac:dyDescent="0.2">
      <c r="A152" s="127">
        <v>1</v>
      </c>
      <c r="B152" s="127" t="s">
        <v>690</v>
      </c>
      <c r="C152" s="127" t="s">
        <v>649</v>
      </c>
      <c r="D152" s="113" t="s">
        <v>674</v>
      </c>
      <c r="E152" s="144" t="s">
        <v>784</v>
      </c>
      <c r="F152" s="114"/>
    </row>
    <row r="153" spans="1:6" x14ac:dyDescent="0.2">
      <c r="A153" s="127">
        <v>1</v>
      </c>
      <c r="B153" s="127" t="s">
        <v>690</v>
      </c>
      <c r="C153" s="127" t="s">
        <v>649</v>
      </c>
      <c r="D153" s="113" t="s">
        <v>653</v>
      </c>
      <c r="E153" s="144" t="s">
        <v>785</v>
      </c>
      <c r="F153" s="114"/>
    </row>
    <row r="154" spans="1:6" ht="25.5" x14ac:dyDescent="0.2">
      <c r="A154" s="127">
        <v>1</v>
      </c>
      <c r="B154" s="127" t="s">
        <v>690</v>
      </c>
      <c r="C154" s="127" t="s">
        <v>649</v>
      </c>
      <c r="D154" s="113" t="s">
        <v>677</v>
      </c>
      <c r="E154" s="144" t="s">
        <v>786</v>
      </c>
      <c r="F154" s="114"/>
    </row>
    <row r="155" spans="1:6" ht="25.5" x14ac:dyDescent="0.2">
      <c r="A155" s="127">
        <v>1</v>
      </c>
      <c r="B155" s="127" t="s">
        <v>690</v>
      </c>
      <c r="C155" s="127" t="s">
        <v>649</v>
      </c>
      <c r="D155" s="113" t="s">
        <v>787</v>
      </c>
      <c r="E155" s="144" t="s">
        <v>788</v>
      </c>
      <c r="F155" s="114"/>
    </row>
    <row r="156" spans="1:6" x14ac:dyDescent="0.2">
      <c r="A156" s="131">
        <v>1</v>
      </c>
      <c r="B156" s="127" t="s">
        <v>690</v>
      </c>
      <c r="C156" s="127" t="s">
        <v>649</v>
      </c>
      <c r="D156" s="115" t="s">
        <v>667</v>
      </c>
      <c r="E156" s="144" t="s">
        <v>789</v>
      </c>
      <c r="F156" s="114"/>
    </row>
    <row r="157" spans="1:6" x14ac:dyDescent="0.2">
      <c r="A157" s="399" t="s">
        <v>50</v>
      </c>
      <c r="B157" s="400"/>
      <c r="C157" s="400"/>
      <c r="D157" s="400"/>
      <c r="E157" s="401"/>
      <c r="F157" s="136"/>
    </row>
    <row r="158" spans="1:6" x14ac:dyDescent="0.2">
      <c r="A158" s="128">
        <v>1</v>
      </c>
      <c r="B158" s="128" t="s">
        <v>693</v>
      </c>
      <c r="C158" s="134" t="s">
        <v>1273</v>
      </c>
      <c r="D158" s="121"/>
      <c r="E158" s="163"/>
      <c r="F158" s="126"/>
    </row>
    <row r="159" spans="1:6" x14ac:dyDescent="0.2">
      <c r="A159" s="130">
        <v>1</v>
      </c>
      <c r="B159" s="130" t="s">
        <v>693</v>
      </c>
      <c r="C159" s="130" t="s">
        <v>649</v>
      </c>
      <c r="D159" s="405" t="s">
        <v>8</v>
      </c>
      <c r="E159" s="406"/>
      <c r="F159" s="124"/>
    </row>
    <row r="160" spans="1:6" x14ac:dyDescent="0.2">
      <c r="A160" s="127">
        <v>1</v>
      </c>
      <c r="B160" s="127" t="s">
        <v>693</v>
      </c>
      <c r="C160" s="127" t="s">
        <v>649</v>
      </c>
      <c r="D160" s="113" t="s">
        <v>651</v>
      </c>
      <c r="E160" s="144" t="s">
        <v>8</v>
      </c>
      <c r="F160" s="114"/>
    </row>
    <row r="161" spans="1:6" x14ac:dyDescent="0.2">
      <c r="A161" s="127">
        <v>1</v>
      </c>
      <c r="B161" s="127" t="s">
        <v>693</v>
      </c>
      <c r="C161" s="127" t="s">
        <v>649</v>
      </c>
      <c r="D161" s="115" t="s">
        <v>674</v>
      </c>
      <c r="E161" s="144" t="s">
        <v>790</v>
      </c>
      <c r="F161" s="114"/>
    </row>
    <row r="162" spans="1:6" x14ac:dyDescent="0.2">
      <c r="A162" s="130">
        <v>1</v>
      </c>
      <c r="B162" s="130" t="s">
        <v>693</v>
      </c>
      <c r="C162" s="130" t="s">
        <v>655</v>
      </c>
      <c r="D162" s="123" t="s">
        <v>99</v>
      </c>
      <c r="E162" s="161"/>
      <c r="F162" s="124"/>
    </row>
    <row r="163" spans="1:6" x14ac:dyDescent="0.2">
      <c r="A163" s="127">
        <v>1</v>
      </c>
      <c r="B163" s="127" t="s">
        <v>693</v>
      </c>
      <c r="C163" s="127" t="s">
        <v>655</v>
      </c>
      <c r="D163" s="113" t="s">
        <v>651</v>
      </c>
      <c r="E163" s="144" t="s">
        <v>791</v>
      </c>
      <c r="F163" s="114"/>
    </row>
    <row r="164" spans="1:6" ht="23.25" customHeight="1" x14ac:dyDescent="0.2">
      <c r="A164" s="127">
        <v>1</v>
      </c>
      <c r="B164" s="127" t="s">
        <v>693</v>
      </c>
      <c r="C164" s="127" t="s">
        <v>655</v>
      </c>
      <c r="D164" s="113" t="s">
        <v>674</v>
      </c>
      <c r="E164" s="144" t="s">
        <v>792</v>
      </c>
      <c r="F164" s="114"/>
    </row>
    <row r="165" spans="1:6" ht="25.5" x14ac:dyDescent="0.2">
      <c r="A165" s="127">
        <v>1</v>
      </c>
      <c r="B165" s="127" t="s">
        <v>693</v>
      </c>
      <c r="C165" s="127" t="s">
        <v>655</v>
      </c>
      <c r="D165" s="113" t="s">
        <v>793</v>
      </c>
      <c r="E165" s="144" t="s">
        <v>794</v>
      </c>
      <c r="F165" s="114"/>
    </row>
    <row r="166" spans="1:6" x14ac:dyDescent="0.2">
      <c r="A166" s="127">
        <v>1</v>
      </c>
      <c r="B166" s="127" t="s">
        <v>693</v>
      </c>
      <c r="C166" s="127" t="s">
        <v>655</v>
      </c>
      <c r="D166" s="113" t="s">
        <v>686</v>
      </c>
      <c r="E166" s="144" t="s">
        <v>795</v>
      </c>
      <c r="F166" s="114"/>
    </row>
    <row r="167" spans="1:6" x14ac:dyDescent="0.2">
      <c r="A167" s="127">
        <v>1</v>
      </c>
      <c r="B167" s="127" t="s">
        <v>693</v>
      </c>
      <c r="C167" s="127" t="s">
        <v>655</v>
      </c>
      <c r="D167" s="113" t="s">
        <v>688</v>
      </c>
      <c r="E167" s="144" t="s">
        <v>796</v>
      </c>
      <c r="F167" s="114"/>
    </row>
    <row r="168" spans="1:6" ht="25.5" x14ac:dyDescent="0.2">
      <c r="A168" s="127">
        <v>1</v>
      </c>
      <c r="B168" s="127" t="s">
        <v>693</v>
      </c>
      <c r="C168" s="127" t="s">
        <v>655</v>
      </c>
      <c r="D168" s="113" t="s">
        <v>797</v>
      </c>
      <c r="E168" s="144" t="s">
        <v>798</v>
      </c>
      <c r="F168" s="114"/>
    </row>
    <row r="169" spans="1:6" x14ac:dyDescent="0.2">
      <c r="A169" s="130">
        <v>1</v>
      </c>
      <c r="B169" s="130" t="s">
        <v>693</v>
      </c>
      <c r="C169" s="130" t="s">
        <v>659</v>
      </c>
      <c r="D169" s="123" t="s">
        <v>799</v>
      </c>
      <c r="E169" s="161"/>
      <c r="F169" s="124"/>
    </row>
    <row r="170" spans="1:6" x14ac:dyDescent="0.2">
      <c r="A170" s="127">
        <v>1</v>
      </c>
      <c r="B170" s="127" t="s">
        <v>693</v>
      </c>
      <c r="C170" s="127" t="s">
        <v>659</v>
      </c>
      <c r="D170" s="113" t="s">
        <v>651</v>
      </c>
      <c r="E170" s="144" t="s">
        <v>800</v>
      </c>
      <c r="F170" s="114"/>
    </row>
    <row r="171" spans="1:6" x14ac:dyDescent="0.2">
      <c r="A171" s="127">
        <v>1</v>
      </c>
      <c r="B171" s="127" t="s">
        <v>693</v>
      </c>
      <c r="C171" s="127" t="s">
        <v>659</v>
      </c>
      <c r="D171" s="113" t="s">
        <v>674</v>
      </c>
      <c r="E171" s="144" t="s">
        <v>801</v>
      </c>
      <c r="F171" s="114"/>
    </row>
    <row r="172" spans="1:6" x14ac:dyDescent="0.2">
      <c r="A172" s="127">
        <v>1</v>
      </c>
      <c r="B172" s="127" t="s">
        <v>693</v>
      </c>
      <c r="C172" s="127" t="s">
        <v>659</v>
      </c>
      <c r="D172" s="113" t="s">
        <v>793</v>
      </c>
      <c r="E172" s="144" t="s">
        <v>802</v>
      </c>
      <c r="F172" s="114"/>
    </row>
    <row r="173" spans="1:6" x14ac:dyDescent="0.2">
      <c r="A173" s="127">
        <v>1</v>
      </c>
      <c r="B173" s="127" t="s">
        <v>693</v>
      </c>
      <c r="C173" s="127" t="s">
        <v>659</v>
      </c>
      <c r="D173" s="113" t="s">
        <v>653</v>
      </c>
      <c r="E173" s="144" t="s">
        <v>803</v>
      </c>
      <c r="F173" s="114"/>
    </row>
    <row r="174" spans="1:6" x14ac:dyDescent="0.2">
      <c r="A174" s="127">
        <v>1</v>
      </c>
      <c r="B174" s="127" t="s">
        <v>693</v>
      </c>
      <c r="C174" s="127" t="s">
        <v>659</v>
      </c>
      <c r="D174" s="113" t="s">
        <v>677</v>
      </c>
      <c r="E174" s="144" t="s">
        <v>804</v>
      </c>
      <c r="F174" s="114"/>
    </row>
    <row r="175" spans="1:6" ht="25.5" x14ac:dyDescent="0.2">
      <c r="A175" s="127">
        <v>1</v>
      </c>
      <c r="B175" s="127" t="s">
        <v>693</v>
      </c>
      <c r="C175" s="127" t="s">
        <v>659</v>
      </c>
      <c r="D175" s="113" t="s">
        <v>787</v>
      </c>
      <c r="E175" s="144" t="s">
        <v>805</v>
      </c>
      <c r="F175" s="114"/>
    </row>
    <row r="176" spans="1:6" x14ac:dyDescent="0.2">
      <c r="A176" s="127">
        <v>1</v>
      </c>
      <c r="B176" s="127" t="s">
        <v>693</v>
      </c>
      <c r="C176" s="127" t="s">
        <v>659</v>
      </c>
      <c r="D176" s="113" t="s">
        <v>667</v>
      </c>
      <c r="E176" s="144" t="s">
        <v>806</v>
      </c>
      <c r="F176" s="114"/>
    </row>
    <row r="177" spans="1:6" x14ac:dyDescent="0.2">
      <c r="A177" s="127">
        <v>1</v>
      </c>
      <c r="B177" s="127" t="s">
        <v>693</v>
      </c>
      <c r="C177" s="127" t="s">
        <v>659</v>
      </c>
      <c r="D177" s="113" t="s">
        <v>697</v>
      </c>
      <c r="E177" s="144" t="s">
        <v>807</v>
      </c>
      <c r="F177" s="114"/>
    </row>
    <row r="178" spans="1:6" x14ac:dyDescent="0.2">
      <c r="A178" s="127">
        <v>1</v>
      </c>
      <c r="B178" s="127" t="s">
        <v>693</v>
      </c>
      <c r="C178" s="127" t="s">
        <v>659</v>
      </c>
      <c r="D178" s="113" t="s">
        <v>808</v>
      </c>
      <c r="E178" s="144" t="s">
        <v>809</v>
      </c>
      <c r="F178" s="114"/>
    </row>
    <row r="179" spans="1:6" x14ac:dyDescent="0.2">
      <c r="A179" s="127">
        <v>1</v>
      </c>
      <c r="B179" s="127" t="s">
        <v>693</v>
      </c>
      <c r="C179" s="127" t="s">
        <v>659</v>
      </c>
      <c r="D179" s="113" t="s">
        <v>699</v>
      </c>
      <c r="E179" s="144" t="s">
        <v>810</v>
      </c>
      <c r="F179" s="114"/>
    </row>
    <row r="180" spans="1:6" x14ac:dyDescent="0.2">
      <c r="A180" s="127">
        <v>1</v>
      </c>
      <c r="B180" s="127" t="s">
        <v>693</v>
      </c>
      <c r="C180" s="127" t="s">
        <v>659</v>
      </c>
      <c r="D180" s="113" t="s">
        <v>701</v>
      </c>
      <c r="E180" s="144" t="s">
        <v>811</v>
      </c>
      <c r="F180" s="114"/>
    </row>
    <row r="181" spans="1:6" ht="25.5" x14ac:dyDescent="0.2">
      <c r="A181" s="127">
        <v>1</v>
      </c>
      <c r="B181" s="127" t="s">
        <v>693</v>
      </c>
      <c r="C181" s="127" t="s">
        <v>659</v>
      </c>
      <c r="D181" s="113" t="s">
        <v>812</v>
      </c>
      <c r="E181" s="144" t="s">
        <v>813</v>
      </c>
      <c r="F181" s="114"/>
    </row>
    <row r="182" spans="1:6" x14ac:dyDescent="0.2">
      <c r="A182" s="127">
        <v>1</v>
      </c>
      <c r="B182" s="127" t="s">
        <v>693</v>
      </c>
      <c r="C182" s="127" t="s">
        <v>659</v>
      </c>
      <c r="D182" s="113" t="s">
        <v>703</v>
      </c>
      <c r="E182" s="144" t="s">
        <v>814</v>
      </c>
      <c r="F182" s="114"/>
    </row>
    <row r="183" spans="1:6" x14ac:dyDescent="0.2">
      <c r="A183" s="127">
        <v>1</v>
      </c>
      <c r="B183" s="127" t="s">
        <v>693</v>
      </c>
      <c r="C183" s="127" t="s">
        <v>659</v>
      </c>
      <c r="D183" s="113" t="s">
        <v>705</v>
      </c>
      <c r="E183" s="144" t="s">
        <v>815</v>
      </c>
      <c r="F183" s="114"/>
    </row>
    <row r="184" spans="1:6" ht="25.5" x14ac:dyDescent="0.2">
      <c r="A184" s="127">
        <v>1</v>
      </c>
      <c r="B184" s="127" t="s">
        <v>693</v>
      </c>
      <c r="C184" s="131" t="s">
        <v>659</v>
      </c>
      <c r="D184" s="113" t="s">
        <v>816</v>
      </c>
      <c r="E184" s="144" t="s">
        <v>817</v>
      </c>
      <c r="F184" s="114"/>
    </row>
    <row r="185" spans="1:6" x14ac:dyDescent="0.2">
      <c r="A185" s="127">
        <v>1</v>
      </c>
      <c r="B185" s="127" t="s">
        <v>693</v>
      </c>
      <c r="C185" s="127" t="s">
        <v>659</v>
      </c>
      <c r="D185" s="113" t="s">
        <v>707</v>
      </c>
      <c r="E185" s="144" t="s">
        <v>818</v>
      </c>
      <c r="F185" s="114"/>
    </row>
    <row r="186" spans="1:6" x14ac:dyDescent="0.2">
      <c r="A186" s="127">
        <v>1</v>
      </c>
      <c r="B186" s="127" t="s">
        <v>693</v>
      </c>
      <c r="C186" s="127" t="s">
        <v>659</v>
      </c>
      <c r="D186" s="113" t="s">
        <v>709</v>
      </c>
      <c r="E186" s="144" t="s">
        <v>819</v>
      </c>
      <c r="F186" s="114"/>
    </row>
    <row r="187" spans="1:6" ht="25.5" x14ac:dyDescent="0.2">
      <c r="A187" s="127">
        <v>1</v>
      </c>
      <c r="B187" s="127" t="s">
        <v>693</v>
      </c>
      <c r="C187" s="127" t="s">
        <v>659</v>
      </c>
      <c r="D187" s="113" t="s">
        <v>820</v>
      </c>
      <c r="E187" s="144" t="s">
        <v>821</v>
      </c>
      <c r="F187" s="114"/>
    </row>
    <row r="188" spans="1:6" x14ac:dyDescent="0.2">
      <c r="A188" s="127">
        <v>1</v>
      </c>
      <c r="B188" s="127" t="s">
        <v>693</v>
      </c>
      <c r="C188" s="127" t="s">
        <v>659</v>
      </c>
      <c r="D188" s="113" t="s">
        <v>711</v>
      </c>
      <c r="E188" s="144" t="s">
        <v>822</v>
      </c>
      <c r="F188" s="114"/>
    </row>
    <row r="189" spans="1:6" x14ac:dyDescent="0.2">
      <c r="A189" s="127">
        <v>1</v>
      </c>
      <c r="B189" s="127" t="s">
        <v>693</v>
      </c>
      <c r="C189" s="127" t="s">
        <v>659</v>
      </c>
      <c r="D189" s="113" t="s">
        <v>712</v>
      </c>
      <c r="E189" s="144" t="s">
        <v>823</v>
      </c>
      <c r="F189" s="114"/>
    </row>
    <row r="190" spans="1:6" x14ac:dyDescent="0.2">
      <c r="A190" s="127">
        <v>1</v>
      </c>
      <c r="B190" s="127" t="s">
        <v>693</v>
      </c>
      <c r="C190" s="127" t="s">
        <v>659</v>
      </c>
      <c r="D190" s="113" t="s">
        <v>824</v>
      </c>
      <c r="E190" s="144" t="s">
        <v>825</v>
      </c>
      <c r="F190" s="114"/>
    </row>
    <row r="191" spans="1:6" x14ac:dyDescent="0.2">
      <c r="A191" s="127">
        <v>1</v>
      </c>
      <c r="B191" s="127" t="s">
        <v>693</v>
      </c>
      <c r="C191" s="127" t="s">
        <v>659</v>
      </c>
      <c r="D191" s="113" t="s">
        <v>714</v>
      </c>
      <c r="E191" s="144" t="s">
        <v>826</v>
      </c>
      <c r="F191" s="114"/>
    </row>
    <row r="192" spans="1:6" x14ac:dyDescent="0.2">
      <c r="A192" s="127">
        <v>1</v>
      </c>
      <c r="B192" s="127" t="s">
        <v>693</v>
      </c>
      <c r="C192" s="127" t="s">
        <v>659</v>
      </c>
      <c r="D192" s="113" t="s">
        <v>716</v>
      </c>
      <c r="E192" s="144" t="s">
        <v>827</v>
      </c>
      <c r="F192" s="114"/>
    </row>
    <row r="193" spans="1:6" x14ac:dyDescent="0.2">
      <c r="A193" s="127">
        <v>1</v>
      </c>
      <c r="B193" s="127" t="s">
        <v>693</v>
      </c>
      <c r="C193" s="127" t="s">
        <v>659</v>
      </c>
      <c r="D193" s="113" t="s">
        <v>828</v>
      </c>
      <c r="E193" s="144" t="s">
        <v>829</v>
      </c>
      <c r="F193" s="114"/>
    </row>
    <row r="194" spans="1:6" x14ac:dyDescent="0.2">
      <c r="A194" s="127">
        <v>1</v>
      </c>
      <c r="B194" s="127" t="s">
        <v>693</v>
      </c>
      <c r="C194" s="127" t="s">
        <v>659</v>
      </c>
      <c r="D194" s="113" t="s">
        <v>759</v>
      </c>
      <c r="E194" s="144" t="s">
        <v>242</v>
      </c>
      <c r="F194" s="114"/>
    </row>
    <row r="195" spans="1:6" ht="25.5" x14ac:dyDescent="0.2">
      <c r="A195" s="127">
        <v>1</v>
      </c>
      <c r="B195" s="127" t="s">
        <v>693</v>
      </c>
      <c r="C195" s="127" t="s">
        <v>659</v>
      </c>
      <c r="D195" s="113" t="s">
        <v>830</v>
      </c>
      <c r="E195" s="144" t="s">
        <v>831</v>
      </c>
      <c r="F195" s="114"/>
    </row>
    <row r="196" spans="1:6" ht="25.5" x14ac:dyDescent="0.2">
      <c r="A196" s="127">
        <v>1</v>
      </c>
      <c r="B196" s="127" t="s">
        <v>693</v>
      </c>
      <c r="C196" s="127" t="s">
        <v>659</v>
      </c>
      <c r="D196" s="113" t="s">
        <v>832</v>
      </c>
      <c r="E196" s="144" t="s">
        <v>833</v>
      </c>
      <c r="F196" s="114"/>
    </row>
    <row r="197" spans="1:6" x14ac:dyDescent="0.2">
      <c r="A197" s="127">
        <v>1</v>
      </c>
      <c r="B197" s="127" t="s">
        <v>693</v>
      </c>
      <c r="C197" s="127" t="s">
        <v>659</v>
      </c>
      <c r="D197" s="115" t="s">
        <v>686</v>
      </c>
      <c r="E197" s="144" t="s">
        <v>834</v>
      </c>
      <c r="F197" s="114"/>
    </row>
    <row r="198" spans="1:6" x14ac:dyDescent="0.2">
      <c r="A198" s="127">
        <v>1</v>
      </c>
      <c r="B198" s="127" t="s">
        <v>693</v>
      </c>
      <c r="C198" s="127" t="s">
        <v>659</v>
      </c>
      <c r="D198" s="115" t="s">
        <v>688</v>
      </c>
      <c r="E198" s="144" t="s">
        <v>835</v>
      </c>
      <c r="F198" s="114"/>
    </row>
    <row r="199" spans="1:6" ht="25.5" x14ac:dyDescent="0.2">
      <c r="A199" s="127">
        <v>1</v>
      </c>
      <c r="B199" s="127" t="s">
        <v>693</v>
      </c>
      <c r="C199" s="127" t="s">
        <v>659</v>
      </c>
      <c r="D199" s="115" t="s">
        <v>797</v>
      </c>
      <c r="E199" s="144" t="s">
        <v>836</v>
      </c>
      <c r="F199" s="114"/>
    </row>
    <row r="200" spans="1:6" x14ac:dyDescent="0.2">
      <c r="A200" s="130">
        <v>1</v>
      </c>
      <c r="B200" s="130" t="s">
        <v>693</v>
      </c>
      <c r="C200" s="130" t="s">
        <v>679</v>
      </c>
      <c r="D200" s="123" t="s">
        <v>837</v>
      </c>
      <c r="E200" s="161"/>
      <c r="F200" s="124"/>
    </row>
    <row r="201" spans="1:6" x14ac:dyDescent="0.2">
      <c r="A201" s="127">
        <v>1</v>
      </c>
      <c r="B201" s="127" t="s">
        <v>693</v>
      </c>
      <c r="C201" s="127" t="s">
        <v>679</v>
      </c>
      <c r="D201" s="113" t="s">
        <v>651</v>
      </c>
      <c r="E201" s="144" t="s">
        <v>89</v>
      </c>
      <c r="F201" s="114"/>
    </row>
    <row r="202" spans="1:6" x14ac:dyDescent="0.2">
      <c r="A202" s="127">
        <v>1</v>
      </c>
      <c r="B202" s="127" t="s">
        <v>693</v>
      </c>
      <c r="C202" s="127" t="s">
        <v>679</v>
      </c>
      <c r="D202" s="113" t="s">
        <v>674</v>
      </c>
      <c r="E202" s="144" t="s">
        <v>838</v>
      </c>
      <c r="F202" s="114"/>
    </row>
    <row r="203" spans="1:6" x14ac:dyDescent="0.2">
      <c r="A203" s="127">
        <v>1</v>
      </c>
      <c r="B203" s="127" t="s">
        <v>693</v>
      </c>
      <c r="C203" s="127" t="s">
        <v>679</v>
      </c>
      <c r="D203" s="113" t="s">
        <v>793</v>
      </c>
      <c r="E203" s="144" t="s">
        <v>839</v>
      </c>
      <c r="F203" s="114"/>
    </row>
    <row r="204" spans="1:6" x14ac:dyDescent="0.2">
      <c r="A204" s="127">
        <v>1</v>
      </c>
      <c r="B204" s="127" t="s">
        <v>693</v>
      </c>
      <c r="C204" s="127" t="s">
        <v>679</v>
      </c>
      <c r="D204" s="113" t="s">
        <v>653</v>
      </c>
      <c r="E204" s="144" t="s">
        <v>840</v>
      </c>
      <c r="F204" s="114"/>
    </row>
    <row r="205" spans="1:6" x14ac:dyDescent="0.2">
      <c r="A205" s="127">
        <v>1</v>
      </c>
      <c r="B205" s="127" t="s">
        <v>693</v>
      </c>
      <c r="C205" s="127" t="s">
        <v>679</v>
      </c>
      <c r="D205" s="113" t="s">
        <v>677</v>
      </c>
      <c r="E205" s="144" t="s">
        <v>841</v>
      </c>
      <c r="F205" s="114"/>
    </row>
    <row r="206" spans="1:6" x14ac:dyDescent="0.2">
      <c r="A206" s="127">
        <v>1</v>
      </c>
      <c r="B206" s="127" t="s">
        <v>693</v>
      </c>
      <c r="C206" s="127" t="s">
        <v>679</v>
      </c>
      <c r="D206" s="113" t="s">
        <v>787</v>
      </c>
      <c r="E206" s="144" t="s">
        <v>842</v>
      </c>
      <c r="F206" s="114"/>
    </row>
    <row r="207" spans="1:6" x14ac:dyDescent="0.2">
      <c r="A207" s="127">
        <v>1</v>
      </c>
      <c r="B207" s="127" t="s">
        <v>693</v>
      </c>
      <c r="C207" s="127" t="s">
        <v>679</v>
      </c>
      <c r="D207" s="113" t="s">
        <v>667</v>
      </c>
      <c r="E207" s="144" t="s">
        <v>234</v>
      </c>
      <c r="F207" s="114"/>
    </row>
    <row r="208" spans="1:6" x14ac:dyDescent="0.2">
      <c r="A208" s="127">
        <v>1</v>
      </c>
      <c r="B208" s="127" t="s">
        <v>693</v>
      </c>
      <c r="C208" s="127" t="s">
        <v>679</v>
      </c>
      <c r="D208" s="113" t="s">
        <v>697</v>
      </c>
      <c r="E208" s="144" t="s">
        <v>843</v>
      </c>
      <c r="F208" s="114"/>
    </row>
    <row r="209" spans="1:6" ht="25.5" x14ac:dyDescent="0.2">
      <c r="A209" s="127">
        <v>1</v>
      </c>
      <c r="B209" s="127" t="s">
        <v>693</v>
      </c>
      <c r="C209" s="127" t="s">
        <v>679</v>
      </c>
      <c r="D209" s="113" t="s">
        <v>808</v>
      </c>
      <c r="E209" s="144" t="s">
        <v>844</v>
      </c>
      <c r="F209" s="114"/>
    </row>
    <row r="210" spans="1:6" x14ac:dyDescent="0.2">
      <c r="A210" s="127">
        <v>1</v>
      </c>
      <c r="B210" s="127" t="s">
        <v>693</v>
      </c>
      <c r="C210" s="127" t="s">
        <v>679</v>
      </c>
      <c r="D210" s="113" t="s">
        <v>699</v>
      </c>
      <c r="E210" s="144" t="s">
        <v>845</v>
      </c>
      <c r="F210" s="114"/>
    </row>
    <row r="211" spans="1:6" x14ac:dyDescent="0.2">
      <c r="A211" s="127">
        <v>1</v>
      </c>
      <c r="B211" s="127" t="s">
        <v>693</v>
      </c>
      <c r="C211" s="127" t="s">
        <v>679</v>
      </c>
      <c r="D211" s="113" t="s">
        <v>701</v>
      </c>
      <c r="E211" s="144" t="s">
        <v>846</v>
      </c>
      <c r="F211" s="114"/>
    </row>
    <row r="212" spans="1:6" x14ac:dyDescent="0.2">
      <c r="A212" s="127">
        <v>1</v>
      </c>
      <c r="B212" s="127" t="s">
        <v>693</v>
      </c>
      <c r="C212" s="127" t="s">
        <v>679</v>
      </c>
      <c r="D212" s="113" t="s">
        <v>812</v>
      </c>
      <c r="E212" s="144" t="s">
        <v>847</v>
      </c>
      <c r="F212" s="114"/>
    </row>
    <row r="213" spans="1:6" x14ac:dyDescent="0.2">
      <c r="A213" s="127">
        <v>1</v>
      </c>
      <c r="B213" s="127" t="s">
        <v>693</v>
      </c>
      <c r="C213" s="127" t="s">
        <v>679</v>
      </c>
      <c r="D213" s="113" t="s">
        <v>703</v>
      </c>
      <c r="E213" s="144" t="s">
        <v>76</v>
      </c>
      <c r="F213" s="114"/>
    </row>
    <row r="214" spans="1:6" x14ac:dyDescent="0.2">
      <c r="A214" s="127">
        <v>1</v>
      </c>
      <c r="B214" s="127" t="s">
        <v>693</v>
      </c>
      <c r="C214" s="127" t="s">
        <v>679</v>
      </c>
      <c r="D214" s="113" t="s">
        <v>705</v>
      </c>
      <c r="E214" s="144" t="s">
        <v>848</v>
      </c>
      <c r="F214" s="114"/>
    </row>
    <row r="215" spans="1:6" x14ac:dyDescent="0.2">
      <c r="A215" s="127">
        <v>1</v>
      </c>
      <c r="B215" s="127" t="s">
        <v>693</v>
      </c>
      <c r="C215" s="127" t="s">
        <v>679</v>
      </c>
      <c r="D215" s="113" t="s">
        <v>816</v>
      </c>
      <c r="E215" s="144" t="s">
        <v>849</v>
      </c>
      <c r="F215" s="114"/>
    </row>
    <row r="216" spans="1:6" x14ac:dyDescent="0.2">
      <c r="A216" s="127">
        <v>1</v>
      </c>
      <c r="B216" s="127" t="s">
        <v>693</v>
      </c>
      <c r="C216" s="127" t="s">
        <v>679</v>
      </c>
      <c r="D216" s="113" t="s">
        <v>707</v>
      </c>
      <c r="E216" s="144" t="s">
        <v>850</v>
      </c>
      <c r="F216" s="114"/>
    </row>
    <row r="217" spans="1:6" x14ac:dyDescent="0.2">
      <c r="A217" s="127">
        <v>1</v>
      </c>
      <c r="B217" s="127" t="s">
        <v>693</v>
      </c>
      <c r="C217" s="127" t="s">
        <v>679</v>
      </c>
      <c r="D217" s="113" t="s">
        <v>709</v>
      </c>
      <c r="E217" s="144" t="s">
        <v>851</v>
      </c>
      <c r="F217" s="114"/>
    </row>
    <row r="218" spans="1:6" ht="25.5" x14ac:dyDescent="0.2">
      <c r="A218" s="127">
        <v>1</v>
      </c>
      <c r="B218" s="127" t="s">
        <v>693</v>
      </c>
      <c r="C218" s="127" t="s">
        <v>679</v>
      </c>
      <c r="D218" s="113" t="s">
        <v>820</v>
      </c>
      <c r="E218" s="144" t="s">
        <v>852</v>
      </c>
      <c r="F218" s="114"/>
    </row>
    <row r="219" spans="1:6" x14ac:dyDescent="0.2">
      <c r="A219" s="127">
        <v>1</v>
      </c>
      <c r="B219" s="127" t="s">
        <v>693</v>
      </c>
      <c r="C219" s="127" t="s">
        <v>679</v>
      </c>
      <c r="D219" s="113" t="s">
        <v>686</v>
      </c>
      <c r="E219" s="144" t="s">
        <v>235</v>
      </c>
      <c r="F219" s="114"/>
    </row>
    <row r="220" spans="1:6" x14ac:dyDescent="0.2">
      <c r="A220" s="127">
        <v>1</v>
      </c>
      <c r="B220" s="127" t="s">
        <v>693</v>
      </c>
      <c r="C220" s="127" t="s">
        <v>679</v>
      </c>
      <c r="D220" s="113" t="s">
        <v>688</v>
      </c>
      <c r="E220" s="144" t="s">
        <v>853</v>
      </c>
      <c r="F220" s="114"/>
    </row>
    <row r="221" spans="1:6" x14ac:dyDescent="0.2">
      <c r="A221" s="127">
        <v>1</v>
      </c>
      <c r="B221" s="127" t="s">
        <v>693</v>
      </c>
      <c r="C221" s="127" t="s">
        <v>679</v>
      </c>
      <c r="D221" s="113" t="s">
        <v>797</v>
      </c>
      <c r="E221" s="144" t="s">
        <v>854</v>
      </c>
      <c r="F221" s="114">
        <v>0</v>
      </c>
    </row>
    <row r="222" spans="1:6" x14ac:dyDescent="0.2">
      <c r="A222" s="130">
        <v>1</v>
      </c>
      <c r="B222" s="130" t="s">
        <v>693</v>
      </c>
      <c r="C222" s="130" t="s">
        <v>681</v>
      </c>
      <c r="D222" s="123" t="s">
        <v>855</v>
      </c>
      <c r="E222" s="161"/>
      <c r="F222" s="124"/>
    </row>
    <row r="223" spans="1:6" x14ac:dyDescent="0.2">
      <c r="A223" s="127">
        <v>1</v>
      </c>
      <c r="B223" s="127" t="s">
        <v>693</v>
      </c>
      <c r="C223" s="127" t="s">
        <v>681</v>
      </c>
      <c r="D223" s="113" t="s">
        <v>651</v>
      </c>
      <c r="E223" s="168" t="s">
        <v>153</v>
      </c>
      <c r="F223" s="114"/>
    </row>
    <row r="224" spans="1:6" x14ac:dyDescent="0.2">
      <c r="A224" s="127">
        <v>1</v>
      </c>
      <c r="B224" s="127" t="s">
        <v>693</v>
      </c>
      <c r="C224" s="127" t="s">
        <v>681</v>
      </c>
      <c r="D224" s="113" t="s">
        <v>674</v>
      </c>
      <c r="E224" s="144" t="s">
        <v>856</v>
      </c>
      <c r="F224" s="114"/>
    </row>
    <row r="225" spans="1:6" x14ac:dyDescent="0.2">
      <c r="A225" s="127">
        <v>1</v>
      </c>
      <c r="B225" s="127" t="s">
        <v>693</v>
      </c>
      <c r="C225" s="127" t="s">
        <v>681</v>
      </c>
      <c r="D225" s="113" t="s">
        <v>793</v>
      </c>
      <c r="E225" s="144" t="s">
        <v>857</v>
      </c>
      <c r="F225" s="114"/>
    </row>
    <row r="226" spans="1:6" x14ac:dyDescent="0.2">
      <c r="A226" s="127">
        <v>1</v>
      </c>
      <c r="B226" s="127" t="s">
        <v>693</v>
      </c>
      <c r="C226" s="127" t="s">
        <v>681</v>
      </c>
      <c r="D226" s="113" t="s">
        <v>653</v>
      </c>
      <c r="E226" s="144" t="s">
        <v>9</v>
      </c>
      <c r="F226" s="114"/>
    </row>
    <row r="227" spans="1:6" x14ac:dyDescent="0.2">
      <c r="A227" s="127">
        <v>1</v>
      </c>
      <c r="B227" s="127" t="s">
        <v>693</v>
      </c>
      <c r="C227" s="127" t="s">
        <v>681</v>
      </c>
      <c r="D227" s="113" t="s">
        <v>677</v>
      </c>
      <c r="E227" s="144" t="s">
        <v>858</v>
      </c>
      <c r="F227" s="114"/>
    </row>
    <row r="228" spans="1:6" x14ac:dyDescent="0.2">
      <c r="A228" s="127">
        <v>1</v>
      </c>
      <c r="B228" s="127" t="s">
        <v>693</v>
      </c>
      <c r="C228" s="127" t="s">
        <v>681</v>
      </c>
      <c r="D228" s="113" t="s">
        <v>787</v>
      </c>
      <c r="E228" s="144" t="s">
        <v>859</v>
      </c>
      <c r="F228" s="114"/>
    </row>
    <row r="229" spans="1:6" x14ac:dyDescent="0.2">
      <c r="A229" s="127">
        <v>1</v>
      </c>
      <c r="B229" s="127" t="s">
        <v>693</v>
      </c>
      <c r="C229" s="127" t="s">
        <v>681</v>
      </c>
      <c r="D229" s="113" t="s">
        <v>667</v>
      </c>
      <c r="E229" s="144" t="s">
        <v>860</v>
      </c>
      <c r="F229" s="114"/>
    </row>
    <row r="230" spans="1:6" ht="25.5" x14ac:dyDescent="0.2">
      <c r="A230" s="127">
        <v>1</v>
      </c>
      <c r="B230" s="127" t="s">
        <v>693</v>
      </c>
      <c r="C230" s="127" t="s">
        <v>681</v>
      </c>
      <c r="D230" s="113" t="s">
        <v>697</v>
      </c>
      <c r="E230" s="144" t="s">
        <v>861</v>
      </c>
      <c r="F230" s="114"/>
    </row>
    <row r="231" spans="1:6" ht="25.5" x14ac:dyDescent="0.2">
      <c r="A231" s="127">
        <v>1</v>
      </c>
      <c r="B231" s="127" t="s">
        <v>693</v>
      </c>
      <c r="C231" s="127" t="s">
        <v>681</v>
      </c>
      <c r="D231" s="113" t="s">
        <v>808</v>
      </c>
      <c r="E231" s="144" t="s">
        <v>862</v>
      </c>
      <c r="F231" s="114"/>
    </row>
    <row r="232" spans="1:6" x14ac:dyDescent="0.2">
      <c r="A232" s="127">
        <v>1</v>
      </c>
      <c r="B232" s="127" t="s">
        <v>693</v>
      </c>
      <c r="C232" s="127" t="s">
        <v>681</v>
      </c>
      <c r="D232" s="113" t="s">
        <v>699</v>
      </c>
      <c r="E232" s="144" t="s">
        <v>863</v>
      </c>
      <c r="F232" s="114"/>
    </row>
    <row r="233" spans="1:6" ht="25.5" x14ac:dyDescent="0.2">
      <c r="A233" s="127">
        <v>1</v>
      </c>
      <c r="B233" s="127" t="s">
        <v>693</v>
      </c>
      <c r="C233" s="127" t="s">
        <v>681</v>
      </c>
      <c r="D233" s="113" t="s">
        <v>701</v>
      </c>
      <c r="E233" s="144" t="s">
        <v>864</v>
      </c>
      <c r="F233" s="114"/>
    </row>
    <row r="234" spans="1:6" ht="25.5" x14ac:dyDescent="0.2">
      <c r="A234" s="127">
        <v>1</v>
      </c>
      <c r="B234" s="127" t="s">
        <v>693</v>
      </c>
      <c r="C234" s="127" t="s">
        <v>681</v>
      </c>
      <c r="D234" s="113" t="s">
        <v>812</v>
      </c>
      <c r="E234" s="144" t="s">
        <v>865</v>
      </c>
      <c r="F234" s="114"/>
    </row>
    <row r="235" spans="1:6" x14ac:dyDescent="0.2">
      <c r="A235" s="127">
        <v>1</v>
      </c>
      <c r="B235" s="127" t="s">
        <v>693</v>
      </c>
      <c r="C235" s="127" t="s">
        <v>681</v>
      </c>
      <c r="D235" s="113" t="s">
        <v>703</v>
      </c>
      <c r="E235" s="144" t="s">
        <v>866</v>
      </c>
      <c r="F235" s="114"/>
    </row>
    <row r="236" spans="1:6" ht="25.5" x14ac:dyDescent="0.2">
      <c r="A236" s="127">
        <v>1</v>
      </c>
      <c r="B236" s="127" t="s">
        <v>693</v>
      </c>
      <c r="C236" s="127" t="s">
        <v>681</v>
      </c>
      <c r="D236" s="113" t="s">
        <v>705</v>
      </c>
      <c r="E236" s="144" t="s">
        <v>867</v>
      </c>
      <c r="F236" s="114"/>
    </row>
    <row r="237" spans="1:6" ht="25.5" x14ac:dyDescent="0.2">
      <c r="A237" s="127">
        <v>1</v>
      </c>
      <c r="B237" s="127" t="s">
        <v>693</v>
      </c>
      <c r="C237" s="127" t="s">
        <v>681</v>
      </c>
      <c r="D237" s="113" t="s">
        <v>816</v>
      </c>
      <c r="E237" s="144" t="s">
        <v>868</v>
      </c>
      <c r="F237" s="114"/>
    </row>
    <row r="238" spans="1:6" x14ac:dyDescent="0.2">
      <c r="A238" s="127">
        <v>1</v>
      </c>
      <c r="B238" s="127" t="s">
        <v>693</v>
      </c>
      <c r="C238" s="127" t="s">
        <v>681</v>
      </c>
      <c r="D238" s="113" t="s">
        <v>707</v>
      </c>
      <c r="E238" s="144" t="s">
        <v>869</v>
      </c>
      <c r="F238" s="114"/>
    </row>
    <row r="239" spans="1:6" x14ac:dyDescent="0.2">
      <c r="A239" s="127">
        <v>1</v>
      </c>
      <c r="B239" s="127" t="s">
        <v>693</v>
      </c>
      <c r="C239" s="127" t="s">
        <v>681</v>
      </c>
      <c r="D239" s="113" t="s">
        <v>709</v>
      </c>
      <c r="E239" s="144" t="s">
        <v>870</v>
      </c>
      <c r="F239" s="114"/>
    </row>
    <row r="240" spans="1:6" x14ac:dyDescent="0.2">
      <c r="A240" s="127">
        <v>1</v>
      </c>
      <c r="B240" s="127" t="s">
        <v>693</v>
      </c>
      <c r="C240" s="127" t="s">
        <v>681</v>
      </c>
      <c r="D240" s="113" t="s">
        <v>820</v>
      </c>
      <c r="E240" s="144" t="s">
        <v>871</v>
      </c>
      <c r="F240" s="114"/>
    </row>
    <row r="241" spans="1:6" x14ac:dyDescent="0.2">
      <c r="A241" s="127">
        <v>1</v>
      </c>
      <c r="B241" s="127" t="s">
        <v>693</v>
      </c>
      <c r="C241" s="127" t="s">
        <v>681</v>
      </c>
      <c r="D241" s="113" t="s">
        <v>711</v>
      </c>
      <c r="E241" s="144" t="s">
        <v>12</v>
      </c>
      <c r="F241" s="114"/>
    </row>
    <row r="242" spans="1:6" x14ac:dyDescent="0.2">
      <c r="A242" s="127">
        <v>1</v>
      </c>
      <c r="B242" s="127" t="s">
        <v>693</v>
      </c>
      <c r="C242" s="127" t="s">
        <v>681</v>
      </c>
      <c r="D242" s="113" t="s">
        <v>712</v>
      </c>
      <c r="E242" s="144" t="s">
        <v>872</v>
      </c>
      <c r="F242" s="114"/>
    </row>
    <row r="243" spans="1:6" ht="25.5" x14ac:dyDescent="0.2">
      <c r="A243" s="127">
        <v>1</v>
      </c>
      <c r="B243" s="127" t="s">
        <v>693</v>
      </c>
      <c r="C243" s="127" t="s">
        <v>681</v>
      </c>
      <c r="D243" s="113" t="s">
        <v>824</v>
      </c>
      <c r="E243" s="144" t="s">
        <v>873</v>
      </c>
      <c r="F243" s="114">
        <v>0</v>
      </c>
    </row>
    <row r="244" spans="1:6" x14ac:dyDescent="0.2">
      <c r="A244" s="127">
        <v>1</v>
      </c>
      <c r="B244" s="127" t="s">
        <v>693</v>
      </c>
      <c r="C244" s="127" t="s">
        <v>681</v>
      </c>
      <c r="D244" s="113" t="s">
        <v>714</v>
      </c>
      <c r="E244" s="144" t="s">
        <v>194</v>
      </c>
      <c r="F244" s="114"/>
    </row>
    <row r="245" spans="1:6" ht="25.5" x14ac:dyDescent="0.2">
      <c r="A245" s="127">
        <v>1</v>
      </c>
      <c r="B245" s="127" t="s">
        <v>693</v>
      </c>
      <c r="C245" s="127" t="s">
        <v>681</v>
      </c>
      <c r="D245" s="113" t="s">
        <v>716</v>
      </c>
      <c r="E245" s="144" t="s">
        <v>874</v>
      </c>
      <c r="F245" s="114"/>
    </row>
    <row r="246" spans="1:6" ht="25.5" x14ac:dyDescent="0.2">
      <c r="A246" s="127">
        <v>1</v>
      </c>
      <c r="B246" s="127" t="s">
        <v>693</v>
      </c>
      <c r="C246" s="127" t="s">
        <v>681</v>
      </c>
      <c r="D246" s="113" t="s">
        <v>828</v>
      </c>
      <c r="E246" s="144" t="s">
        <v>875</v>
      </c>
      <c r="F246" s="114"/>
    </row>
    <row r="247" spans="1:6" x14ac:dyDescent="0.2">
      <c r="A247" s="127">
        <v>1</v>
      </c>
      <c r="B247" s="127" t="s">
        <v>693</v>
      </c>
      <c r="C247" s="127" t="s">
        <v>681</v>
      </c>
      <c r="D247" s="113" t="s">
        <v>759</v>
      </c>
      <c r="E247" s="144" t="s">
        <v>876</v>
      </c>
      <c r="F247" s="114"/>
    </row>
    <row r="248" spans="1:6" ht="25.5" x14ac:dyDescent="0.2">
      <c r="A248" s="127">
        <v>1</v>
      </c>
      <c r="B248" s="127" t="s">
        <v>693</v>
      </c>
      <c r="C248" s="127" t="s">
        <v>681</v>
      </c>
      <c r="D248" s="113" t="s">
        <v>830</v>
      </c>
      <c r="E248" s="144" t="s">
        <v>877</v>
      </c>
      <c r="F248" s="114"/>
    </row>
    <row r="249" spans="1:6" ht="25.5" x14ac:dyDescent="0.2">
      <c r="A249" s="127">
        <v>1</v>
      </c>
      <c r="B249" s="127" t="s">
        <v>693</v>
      </c>
      <c r="C249" s="127" t="s">
        <v>681</v>
      </c>
      <c r="D249" s="113" t="s">
        <v>832</v>
      </c>
      <c r="E249" s="144" t="s">
        <v>878</v>
      </c>
      <c r="F249" s="114"/>
    </row>
    <row r="250" spans="1:6" x14ac:dyDescent="0.2">
      <c r="A250" s="127">
        <v>1</v>
      </c>
      <c r="B250" s="127" t="s">
        <v>693</v>
      </c>
      <c r="C250" s="127" t="s">
        <v>681</v>
      </c>
      <c r="D250" s="113" t="s">
        <v>769</v>
      </c>
      <c r="E250" s="144" t="s">
        <v>879</v>
      </c>
      <c r="F250" s="114"/>
    </row>
    <row r="251" spans="1:6" ht="25.5" x14ac:dyDescent="0.2">
      <c r="A251" s="127">
        <v>1</v>
      </c>
      <c r="B251" s="127" t="s">
        <v>693</v>
      </c>
      <c r="C251" s="127" t="s">
        <v>681</v>
      </c>
      <c r="D251" s="113" t="s">
        <v>880</v>
      </c>
      <c r="E251" s="144" t="s">
        <v>881</v>
      </c>
      <c r="F251" s="114"/>
    </row>
    <row r="252" spans="1:6" ht="25.5" x14ac:dyDescent="0.2">
      <c r="A252" s="127">
        <v>1</v>
      </c>
      <c r="B252" s="127" t="s">
        <v>693</v>
      </c>
      <c r="C252" s="127" t="s">
        <v>681</v>
      </c>
      <c r="D252" s="113" t="s">
        <v>882</v>
      </c>
      <c r="E252" s="144" t="s">
        <v>883</v>
      </c>
      <c r="F252" s="114"/>
    </row>
    <row r="253" spans="1:6" x14ac:dyDescent="0.2">
      <c r="A253" s="127">
        <v>1</v>
      </c>
      <c r="B253" s="127" t="s">
        <v>693</v>
      </c>
      <c r="C253" s="127" t="s">
        <v>681</v>
      </c>
      <c r="D253" s="113" t="s">
        <v>770</v>
      </c>
      <c r="E253" s="144" t="s">
        <v>884</v>
      </c>
      <c r="F253" s="114"/>
    </row>
    <row r="254" spans="1:6" x14ac:dyDescent="0.2">
      <c r="A254" s="127">
        <v>1</v>
      </c>
      <c r="B254" s="127" t="s">
        <v>693</v>
      </c>
      <c r="C254" s="127" t="s">
        <v>681</v>
      </c>
      <c r="D254" s="113" t="s">
        <v>885</v>
      </c>
      <c r="E254" s="144" t="s">
        <v>886</v>
      </c>
      <c r="F254" s="114"/>
    </row>
    <row r="255" spans="1:6" x14ac:dyDescent="0.2">
      <c r="A255" s="127">
        <v>1</v>
      </c>
      <c r="B255" s="127" t="s">
        <v>693</v>
      </c>
      <c r="C255" s="127" t="s">
        <v>681</v>
      </c>
      <c r="D255" s="113" t="s">
        <v>887</v>
      </c>
      <c r="E255" s="144" t="s">
        <v>888</v>
      </c>
      <c r="F255" s="114"/>
    </row>
    <row r="256" spans="1:6" x14ac:dyDescent="0.2">
      <c r="A256" s="127">
        <v>1</v>
      </c>
      <c r="B256" s="127" t="s">
        <v>693</v>
      </c>
      <c r="C256" s="127" t="s">
        <v>681</v>
      </c>
      <c r="D256" s="113" t="s">
        <v>772</v>
      </c>
      <c r="E256" s="144" t="s">
        <v>889</v>
      </c>
      <c r="F256" s="114"/>
    </row>
    <row r="257" spans="1:6" x14ac:dyDescent="0.2">
      <c r="A257" s="127">
        <v>1</v>
      </c>
      <c r="B257" s="127" t="s">
        <v>693</v>
      </c>
      <c r="C257" s="127" t="s">
        <v>681</v>
      </c>
      <c r="D257" s="113" t="s">
        <v>890</v>
      </c>
      <c r="E257" s="144" t="s">
        <v>891</v>
      </c>
      <c r="F257" s="114"/>
    </row>
    <row r="258" spans="1:6" x14ac:dyDescent="0.2">
      <c r="A258" s="127">
        <v>1</v>
      </c>
      <c r="B258" s="127" t="s">
        <v>693</v>
      </c>
      <c r="C258" s="127" t="s">
        <v>681</v>
      </c>
      <c r="D258" s="113" t="s">
        <v>892</v>
      </c>
      <c r="E258" s="144" t="s">
        <v>893</v>
      </c>
      <c r="F258" s="114"/>
    </row>
    <row r="259" spans="1:6" x14ac:dyDescent="0.2">
      <c r="A259" s="127">
        <v>1</v>
      </c>
      <c r="B259" s="127" t="s">
        <v>693</v>
      </c>
      <c r="C259" s="127" t="s">
        <v>681</v>
      </c>
      <c r="D259" s="113" t="s">
        <v>774</v>
      </c>
      <c r="E259" s="144" t="s">
        <v>13</v>
      </c>
      <c r="F259" s="114"/>
    </row>
    <row r="260" spans="1:6" x14ac:dyDescent="0.2">
      <c r="A260" s="127">
        <v>1</v>
      </c>
      <c r="B260" s="127" t="s">
        <v>693</v>
      </c>
      <c r="C260" s="127" t="s">
        <v>681</v>
      </c>
      <c r="D260" s="113" t="s">
        <v>894</v>
      </c>
      <c r="E260" s="144" t="s">
        <v>895</v>
      </c>
      <c r="F260" s="114"/>
    </row>
    <row r="261" spans="1:6" x14ac:dyDescent="0.2">
      <c r="A261" s="127">
        <v>1</v>
      </c>
      <c r="B261" s="127" t="s">
        <v>693</v>
      </c>
      <c r="C261" s="127" t="s">
        <v>681</v>
      </c>
      <c r="D261" s="113" t="s">
        <v>896</v>
      </c>
      <c r="E261" s="144" t="s">
        <v>897</v>
      </c>
      <c r="F261" s="114"/>
    </row>
    <row r="262" spans="1:6" x14ac:dyDescent="0.2">
      <c r="A262" s="127">
        <v>1</v>
      </c>
      <c r="B262" s="127" t="s">
        <v>693</v>
      </c>
      <c r="C262" s="127" t="s">
        <v>681</v>
      </c>
      <c r="D262" s="113" t="s">
        <v>898</v>
      </c>
      <c r="E262" s="144" t="s">
        <v>899</v>
      </c>
      <c r="F262" s="114"/>
    </row>
    <row r="263" spans="1:6" ht="25.5" x14ac:dyDescent="0.2">
      <c r="A263" s="127">
        <v>1</v>
      </c>
      <c r="B263" s="127" t="s">
        <v>693</v>
      </c>
      <c r="C263" s="127" t="s">
        <v>681</v>
      </c>
      <c r="D263" s="113" t="s">
        <v>900</v>
      </c>
      <c r="E263" s="144" t="s">
        <v>901</v>
      </c>
      <c r="F263" s="114"/>
    </row>
    <row r="264" spans="1:6" ht="25.5" x14ac:dyDescent="0.2">
      <c r="A264" s="127">
        <v>1</v>
      </c>
      <c r="B264" s="127" t="s">
        <v>693</v>
      </c>
      <c r="C264" s="127" t="s">
        <v>681</v>
      </c>
      <c r="D264" s="115" t="s">
        <v>902</v>
      </c>
      <c r="E264" s="144" t="s">
        <v>903</v>
      </c>
      <c r="F264" s="114"/>
    </row>
    <row r="265" spans="1:6" x14ac:dyDescent="0.2">
      <c r="A265" s="127">
        <v>1</v>
      </c>
      <c r="B265" s="127" t="s">
        <v>693</v>
      </c>
      <c r="C265" s="127" t="s">
        <v>681</v>
      </c>
      <c r="D265" s="115" t="s">
        <v>686</v>
      </c>
      <c r="E265" s="144" t="s">
        <v>904</v>
      </c>
      <c r="F265" s="114"/>
    </row>
    <row r="266" spans="1:6" ht="25.5" x14ac:dyDescent="0.2">
      <c r="A266" s="127">
        <v>1</v>
      </c>
      <c r="B266" s="127" t="s">
        <v>693</v>
      </c>
      <c r="C266" s="127" t="s">
        <v>681</v>
      </c>
      <c r="D266" s="115" t="s">
        <v>688</v>
      </c>
      <c r="E266" s="144" t="s">
        <v>905</v>
      </c>
      <c r="F266" s="114"/>
    </row>
    <row r="267" spans="1:6" ht="25.5" x14ac:dyDescent="0.2">
      <c r="A267" s="127">
        <v>1</v>
      </c>
      <c r="B267" s="127" t="s">
        <v>693</v>
      </c>
      <c r="C267" s="127" t="s">
        <v>681</v>
      </c>
      <c r="D267" s="115" t="s">
        <v>797</v>
      </c>
      <c r="E267" s="144" t="s">
        <v>906</v>
      </c>
      <c r="F267" s="114">
        <v>0</v>
      </c>
    </row>
    <row r="268" spans="1:6" x14ac:dyDescent="0.2">
      <c r="A268" s="130">
        <v>1</v>
      </c>
      <c r="B268" s="130" t="s">
        <v>693</v>
      </c>
      <c r="C268" s="130" t="s">
        <v>690</v>
      </c>
      <c r="D268" s="123" t="s">
        <v>175</v>
      </c>
      <c r="E268" s="161"/>
      <c r="F268" s="124"/>
    </row>
    <row r="269" spans="1:6" x14ac:dyDescent="0.2">
      <c r="A269" s="127">
        <v>1</v>
      </c>
      <c r="B269" s="127" t="s">
        <v>693</v>
      </c>
      <c r="C269" s="127" t="s">
        <v>690</v>
      </c>
      <c r="D269" s="113" t="s">
        <v>651</v>
      </c>
      <c r="E269" s="144" t="s">
        <v>15</v>
      </c>
      <c r="F269" s="114"/>
    </row>
    <row r="270" spans="1:6" x14ac:dyDescent="0.2">
      <c r="A270" s="127">
        <v>1</v>
      </c>
      <c r="B270" s="127" t="s">
        <v>693</v>
      </c>
      <c r="C270" s="127" t="s">
        <v>690</v>
      </c>
      <c r="D270" s="113" t="s">
        <v>674</v>
      </c>
      <c r="E270" s="144" t="s">
        <v>907</v>
      </c>
      <c r="F270" s="114"/>
    </row>
    <row r="271" spans="1:6" x14ac:dyDescent="0.2">
      <c r="A271" s="127">
        <v>1</v>
      </c>
      <c r="B271" s="127" t="s">
        <v>693</v>
      </c>
      <c r="C271" s="127" t="s">
        <v>690</v>
      </c>
      <c r="D271" s="113" t="s">
        <v>793</v>
      </c>
      <c r="E271" s="144" t="s">
        <v>908</v>
      </c>
      <c r="F271" s="114"/>
    </row>
    <row r="272" spans="1:6" x14ac:dyDescent="0.2">
      <c r="A272" s="127">
        <v>1</v>
      </c>
      <c r="B272" s="127" t="s">
        <v>693</v>
      </c>
      <c r="C272" s="127" t="s">
        <v>690</v>
      </c>
      <c r="D272" s="113" t="s">
        <v>653</v>
      </c>
      <c r="E272" s="144" t="s">
        <v>909</v>
      </c>
      <c r="F272" s="114"/>
    </row>
    <row r="273" spans="1:6" x14ac:dyDescent="0.2">
      <c r="A273" s="127">
        <v>1</v>
      </c>
      <c r="B273" s="127" t="s">
        <v>693</v>
      </c>
      <c r="C273" s="127" t="s">
        <v>690</v>
      </c>
      <c r="D273" s="113" t="s">
        <v>677</v>
      </c>
      <c r="E273" s="144" t="s">
        <v>910</v>
      </c>
      <c r="F273" s="114"/>
    </row>
    <row r="274" spans="1:6" x14ac:dyDescent="0.2">
      <c r="A274" s="127">
        <v>1</v>
      </c>
      <c r="B274" s="127" t="s">
        <v>693</v>
      </c>
      <c r="C274" s="127" t="s">
        <v>690</v>
      </c>
      <c r="D274" s="113" t="s">
        <v>787</v>
      </c>
      <c r="E274" s="144" t="s">
        <v>911</v>
      </c>
      <c r="F274" s="114"/>
    </row>
    <row r="275" spans="1:6" x14ac:dyDescent="0.2">
      <c r="A275" s="127">
        <v>1</v>
      </c>
      <c r="B275" s="127" t="s">
        <v>693</v>
      </c>
      <c r="C275" s="127" t="s">
        <v>690</v>
      </c>
      <c r="D275" s="113" t="s">
        <v>667</v>
      </c>
      <c r="E275" s="144" t="s">
        <v>912</v>
      </c>
      <c r="F275" s="114"/>
    </row>
    <row r="276" spans="1:6" ht="25.5" x14ac:dyDescent="0.2">
      <c r="A276" s="127">
        <v>1</v>
      </c>
      <c r="B276" s="127" t="s">
        <v>693</v>
      </c>
      <c r="C276" s="127" t="s">
        <v>690</v>
      </c>
      <c r="D276" s="113" t="s">
        <v>697</v>
      </c>
      <c r="E276" s="144" t="s">
        <v>913</v>
      </c>
      <c r="F276" s="114"/>
    </row>
    <row r="277" spans="1:6" ht="25.5" x14ac:dyDescent="0.2">
      <c r="A277" s="127">
        <v>1</v>
      </c>
      <c r="B277" s="127" t="s">
        <v>693</v>
      </c>
      <c r="C277" s="127" t="s">
        <v>690</v>
      </c>
      <c r="D277" s="113" t="s">
        <v>808</v>
      </c>
      <c r="E277" s="144" t="s">
        <v>914</v>
      </c>
      <c r="F277" s="114"/>
    </row>
    <row r="278" spans="1:6" x14ac:dyDescent="0.2">
      <c r="A278" s="127">
        <v>1</v>
      </c>
      <c r="B278" s="127" t="s">
        <v>693</v>
      </c>
      <c r="C278" s="127" t="s">
        <v>690</v>
      </c>
      <c r="D278" s="113" t="s">
        <v>699</v>
      </c>
      <c r="E278" s="144" t="s">
        <v>394</v>
      </c>
      <c r="F278" s="114"/>
    </row>
    <row r="279" spans="1:6" x14ac:dyDescent="0.2">
      <c r="A279" s="127">
        <v>1</v>
      </c>
      <c r="B279" s="127" t="s">
        <v>693</v>
      </c>
      <c r="C279" s="127" t="s">
        <v>690</v>
      </c>
      <c r="D279" s="113" t="s">
        <v>701</v>
      </c>
      <c r="E279" s="144" t="s">
        <v>915</v>
      </c>
      <c r="F279" s="114"/>
    </row>
    <row r="280" spans="1:6" x14ac:dyDescent="0.2">
      <c r="A280" s="127">
        <v>1</v>
      </c>
      <c r="B280" s="127" t="s">
        <v>693</v>
      </c>
      <c r="C280" s="127" t="s">
        <v>690</v>
      </c>
      <c r="D280" s="113" t="s">
        <v>812</v>
      </c>
      <c r="E280" s="144" t="s">
        <v>916</v>
      </c>
      <c r="F280" s="114"/>
    </row>
    <row r="281" spans="1:6" x14ac:dyDescent="0.2">
      <c r="A281" s="127">
        <v>1</v>
      </c>
      <c r="B281" s="127" t="s">
        <v>693</v>
      </c>
      <c r="C281" s="127" t="s">
        <v>690</v>
      </c>
      <c r="D281" s="115" t="s">
        <v>686</v>
      </c>
      <c r="E281" s="144" t="s">
        <v>240</v>
      </c>
      <c r="F281" s="114"/>
    </row>
    <row r="282" spans="1:6" ht="25.5" x14ac:dyDescent="0.2">
      <c r="A282" s="127">
        <v>1</v>
      </c>
      <c r="B282" s="127" t="s">
        <v>693</v>
      </c>
      <c r="C282" s="127" t="s">
        <v>690</v>
      </c>
      <c r="D282" s="115" t="s">
        <v>688</v>
      </c>
      <c r="E282" s="144" t="s">
        <v>917</v>
      </c>
      <c r="F282" s="114"/>
    </row>
    <row r="283" spans="1:6" ht="25.5" x14ac:dyDescent="0.2">
      <c r="A283" s="127">
        <v>1</v>
      </c>
      <c r="B283" s="127" t="s">
        <v>693</v>
      </c>
      <c r="C283" s="127" t="s">
        <v>690</v>
      </c>
      <c r="D283" s="115" t="s">
        <v>797</v>
      </c>
      <c r="E283" s="144" t="s">
        <v>918</v>
      </c>
      <c r="F283" s="114"/>
    </row>
    <row r="284" spans="1:6" x14ac:dyDescent="0.2">
      <c r="A284" s="130">
        <v>1</v>
      </c>
      <c r="B284" s="130" t="s">
        <v>693</v>
      </c>
      <c r="C284" s="130" t="s">
        <v>693</v>
      </c>
      <c r="D284" s="123" t="s">
        <v>919</v>
      </c>
      <c r="E284" s="161"/>
      <c r="F284" s="124"/>
    </row>
    <row r="285" spans="1:6" x14ac:dyDescent="0.2">
      <c r="A285" s="127">
        <v>1</v>
      </c>
      <c r="B285" s="127" t="s">
        <v>693</v>
      </c>
      <c r="C285" s="127" t="s">
        <v>693</v>
      </c>
      <c r="D285" s="113" t="s">
        <v>651</v>
      </c>
      <c r="E285" s="144" t="s">
        <v>920</v>
      </c>
      <c r="F285" s="114"/>
    </row>
    <row r="286" spans="1:6" x14ac:dyDescent="0.2">
      <c r="A286" s="127">
        <v>1</v>
      </c>
      <c r="B286" s="127" t="s">
        <v>693</v>
      </c>
      <c r="C286" s="127" t="s">
        <v>693</v>
      </c>
      <c r="D286" s="113" t="s">
        <v>674</v>
      </c>
      <c r="E286" s="144" t="s">
        <v>921</v>
      </c>
      <c r="F286" s="114"/>
    </row>
    <row r="287" spans="1:6" x14ac:dyDescent="0.2">
      <c r="A287" s="127">
        <v>1</v>
      </c>
      <c r="B287" s="127" t="s">
        <v>693</v>
      </c>
      <c r="C287" s="127" t="s">
        <v>693</v>
      </c>
      <c r="D287" s="113" t="s">
        <v>793</v>
      </c>
      <c r="E287" s="144" t="s">
        <v>922</v>
      </c>
      <c r="F287" s="114"/>
    </row>
    <row r="288" spans="1:6" x14ac:dyDescent="0.2">
      <c r="A288" s="127">
        <v>1</v>
      </c>
      <c r="B288" s="127" t="s">
        <v>693</v>
      </c>
      <c r="C288" s="127" t="s">
        <v>693</v>
      </c>
      <c r="D288" s="113" t="s">
        <v>653</v>
      </c>
      <c r="E288" s="144" t="s">
        <v>923</v>
      </c>
      <c r="F288" s="114"/>
    </row>
    <row r="289" spans="1:6" x14ac:dyDescent="0.2">
      <c r="A289" s="127">
        <v>1</v>
      </c>
      <c r="B289" s="127" t="s">
        <v>693</v>
      </c>
      <c r="C289" s="127" t="s">
        <v>693</v>
      </c>
      <c r="D289" s="113" t="s">
        <v>677</v>
      </c>
      <c r="E289" s="144" t="s">
        <v>924</v>
      </c>
      <c r="F289" s="114"/>
    </row>
    <row r="290" spans="1:6" x14ac:dyDescent="0.2">
      <c r="A290" s="127">
        <v>1</v>
      </c>
      <c r="B290" s="127" t="s">
        <v>693</v>
      </c>
      <c r="C290" s="127" t="s">
        <v>693</v>
      </c>
      <c r="D290" s="113" t="s">
        <v>787</v>
      </c>
      <c r="E290" s="144" t="s">
        <v>925</v>
      </c>
      <c r="F290" s="114"/>
    </row>
    <row r="291" spans="1:6" x14ac:dyDescent="0.2">
      <c r="A291" s="130">
        <v>1</v>
      </c>
      <c r="B291" s="130" t="s">
        <v>693</v>
      </c>
      <c r="C291" s="130" t="s">
        <v>926</v>
      </c>
      <c r="D291" s="123" t="s">
        <v>927</v>
      </c>
      <c r="E291" s="161"/>
      <c r="F291" s="124"/>
    </row>
    <row r="292" spans="1:6" x14ac:dyDescent="0.2">
      <c r="A292" s="127">
        <v>1</v>
      </c>
      <c r="B292" s="127" t="s">
        <v>693</v>
      </c>
      <c r="C292" s="127" t="s">
        <v>926</v>
      </c>
      <c r="D292" s="113" t="s">
        <v>651</v>
      </c>
      <c r="E292" s="144" t="s">
        <v>928</v>
      </c>
      <c r="F292" s="114"/>
    </row>
    <row r="293" spans="1:6" x14ac:dyDescent="0.2">
      <c r="A293" s="127">
        <v>1</v>
      </c>
      <c r="B293" s="127" t="s">
        <v>693</v>
      </c>
      <c r="C293" s="127" t="s">
        <v>926</v>
      </c>
      <c r="D293" s="115" t="s">
        <v>674</v>
      </c>
      <c r="E293" s="144" t="s">
        <v>929</v>
      </c>
      <c r="F293" s="114"/>
    </row>
    <row r="294" spans="1:6" x14ac:dyDescent="0.2">
      <c r="A294" s="127">
        <v>1</v>
      </c>
      <c r="B294" s="127" t="s">
        <v>693</v>
      </c>
      <c r="C294" s="127" t="s">
        <v>926</v>
      </c>
      <c r="D294" s="113" t="s">
        <v>653</v>
      </c>
      <c r="E294" s="144" t="s">
        <v>930</v>
      </c>
      <c r="F294" s="114"/>
    </row>
    <row r="295" spans="1:6" ht="25.5" x14ac:dyDescent="0.2">
      <c r="A295" s="127">
        <v>1</v>
      </c>
      <c r="B295" s="127" t="s">
        <v>693</v>
      </c>
      <c r="C295" s="127" t="s">
        <v>926</v>
      </c>
      <c r="D295" s="113" t="s">
        <v>677</v>
      </c>
      <c r="E295" s="144" t="s">
        <v>931</v>
      </c>
      <c r="F295" s="114"/>
    </row>
    <row r="296" spans="1:6" ht="25.5" x14ac:dyDescent="0.2">
      <c r="A296" s="127">
        <v>1</v>
      </c>
      <c r="B296" s="127" t="s">
        <v>693</v>
      </c>
      <c r="C296" s="127" t="s">
        <v>926</v>
      </c>
      <c r="D296" s="113" t="s">
        <v>787</v>
      </c>
      <c r="E296" s="144" t="s">
        <v>932</v>
      </c>
      <c r="F296" s="114"/>
    </row>
    <row r="297" spans="1:6" x14ac:dyDescent="0.2">
      <c r="A297" s="127">
        <v>1</v>
      </c>
      <c r="B297" s="127" t="s">
        <v>693</v>
      </c>
      <c r="C297" s="127" t="s">
        <v>926</v>
      </c>
      <c r="D297" s="113" t="s">
        <v>667</v>
      </c>
      <c r="E297" s="144" t="s">
        <v>933</v>
      </c>
      <c r="F297" s="114"/>
    </row>
    <row r="298" spans="1:6" ht="25.5" x14ac:dyDescent="0.2">
      <c r="A298" s="127">
        <v>1</v>
      </c>
      <c r="B298" s="127" t="s">
        <v>693</v>
      </c>
      <c r="C298" s="127" t="s">
        <v>926</v>
      </c>
      <c r="D298" s="113" t="s">
        <v>697</v>
      </c>
      <c r="E298" s="144" t="s">
        <v>934</v>
      </c>
      <c r="F298" s="114"/>
    </row>
    <row r="299" spans="1:6" ht="25.5" x14ac:dyDescent="0.2">
      <c r="A299" s="127">
        <v>1</v>
      </c>
      <c r="B299" s="127" t="s">
        <v>693</v>
      </c>
      <c r="C299" s="127" t="s">
        <v>926</v>
      </c>
      <c r="D299" s="113" t="s">
        <v>808</v>
      </c>
      <c r="E299" s="144" t="s">
        <v>935</v>
      </c>
      <c r="F299" s="114"/>
    </row>
    <row r="300" spans="1:6" x14ac:dyDescent="0.2">
      <c r="A300" s="127">
        <v>1</v>
      </c>
      <c r="B300" s="127" t="s">
        <v>693</v>
      </c>
      <c r="C300" s="127" t="s">
        <v>926</v>
      </c>
      <c r="D300" s="113" t="s">
        <v>699</v>
      </c>
      <c r="E300" s="144" t="s">
        <v>936</v>
      </c>
      <c r="F300" s="114"/>
    </row>
    <row r="301" spans="1:6" ht="25.5" x14ac:dyDescent="0.2">
      <c r="A301" s="127">
        <v>1</v>
      </c>
      <c r="B301" s="127" t="s">
        <v>693</v>
      </c>
      <c r="C301" s="127" t="s">
        <v>926</v>
      </c>
      <c r="D301" s="113" t="s">
        <v>701</v>
      </c>
      <c r="E301" s="144" t="s">
        <v>937</v>
      </c>
      <c r="F301" s="114"/>
    </row>
    <row r="302" spans="1:6" ht="25.5" x14ac:dyDescent="0.2">
      <c r="A302" s="127">
        <v>1</v>
      </c>
      <c r="B302" s="127" t="s">
        <v>693</v>
      </c>
      <c r="C302" s="127" t="s">
        <v>926</v>
      </c>
      <c r="D302" s="113" t="s">
        <v>812</v>
      </c>
      <c r="E302" s="144" t="s">
        <v>938</v>
      </c>
      <c r="F302" s="114"/>
    </row>
    <row r="303" spans="1:6" x14ac:dyDescent="0.2">
      <c r="A303" s="127">
        <v>1</v>
      </c>
      <c r="B303" s="127" t="s">
        <v>693</v>
      </c>
      <c r="C303" s="127" t="s">
        <v>926</v>
      </c>
      <c r="D303" s="113" t="s">
        <v>686</v>
      </c>
      <c r="E303" s="144" t="s">
        <v>939</v>
      </c>
      <c r="F303" s="114"/>
    </row>
    <row r="304" spans="1:6" x14ac:dyDescent="0.2">
      <c r="A304" s="127">
        <v>1</v>
      </c>
      <c r="B304" s="127" t="s">
        <v>693</v>
      </c>
      <c r="C304" s="127" t="s">
        <v>926</v>
      </c>
      <c r="D304" s="113" t="s">
        <v>688</v>
      </c>
      <c r="E304" s="144" t="s">
        <v>940</v>
      </c>
      <c r="F304" s="114"/>
    </row>
    <row r="305" spans="1:6" x14ac:dyDescent="0.2">
      <c r="A305" s="127">
        <v>1</v>
      </c>
      <c r="B305" s="127" t="s">
        <v>693</v>
      </c>
      <c r="C305" s="127" t="s">
        <v>926</v>
      </c>
      <c r="D305" s="113" t="s">
        <v>797</v>
      </c>
      <c r="E305" s="144" t="s">
        <v>941</v>
      </c>
      <c r="F305" s="114"/>
    </row>
    <row r="306" spans="1:6" x14ac:dyDescent="0.2">
      <c r="A306" s="130">
        <v>1</v>
      </c>
      <c r="B306" s="130" t="s">
        <v>693</v>
      </c>
      <c r="C306" s="130" t="s">
        <v>942</v>
      </c>
      <c r="D306" s="123" t="s">
        <v>943</v>
      </c>
      <c r="E306" s="161"/>
      <c r="F306" s="124"/>
    </row>
    <row r="307" spans="1:6" x14ac:dyDescent="0.2">
      <c r="A307" s="127">
        <v>1</v>
      </c>
      <c r="B307" s="127" t="s">
        <v>693</v>
      </c>
      <c r="C307" s="127" t="s">
        <v>942</v>
      </c>
      <c r="D307" s="113" t="s">
        <v>651</v>
      </c>
      <c r="E307" s="144" t="s">
        <v>944</v>
      </c>
      <c r="F307" s="114"/>
    </row>
    <row r="308" spans="1:6" ht="25.5" x14ac:dyDescent="0.2">
      <c r="A308" s="127">
        <v>1</v>
      </c>
      <c r="B308" s="127" t="s">
        <v>693</v>
      </c>
      <c r="C308" s="127" t="s">
        <v>942</v>
      </c>
      <c r="D308" s="113" t="s">
        <v>674</v>
      </c>
      <c r="E308" s="144" t="s">
        <v>945</v>
      </c>
      <c r="F308" s="114"/>
    </row>
    <row r="309" spans="1:6" ht="25.5" x14ac:dyDescent="0.2">
      <c r="A309" s="127">
        <v>1</v>
      </c>
      <c r="B309" s="127" t="s">
        <v>693</v>
      </c>
      <c r="C309" s="127" t="s">
        <v>942</v>
      </c>
      <c r="D309" s="113" t="s">
        <v>793</v>
      </c>
      <c r="E309" s="144" t="s">
        <v>946</v>
      </c>
      <c r="F309" s="114"/>
    </row>
    <row r="310" spans="1:6" x14ac:dyDescent="0.2">
      <c r="A310" s="127">
        <v>1</v>
      </c>
      <c r="B310" s="127" t="s">
        <v>693</v>
      </c>
      <c r="C310" s="127" t="s">
        <v>942</v>
      </c>
      <c r="D310" s="113" t="s">
        <v>653</v>
      </c>
      <c r="E310" s="144" t="s">
        <v>947</v>
      </c>
      <c r="F310" s="114"/>
    </row>
    <row r="311" spans="1:6" ht="25.5" x14ac:dyDescent="0.2">
      <c r="A311" s="127">
        <v>1</v>
      </c>
      <c r="B311" s="127" t="s">
        <v>693</v>
      </c>
      <c r="C311" s="127" t="s">
        <v>942</v>
      </c>
      <c r="D311" s="113" t="s">
        <v>677</v>
      </c>
      <c r="E311" s="144" t="s">
        <v>948</v>
      </c>
      <c r="F311" s="114"/>
    </row>
    <row r="312" spans="1:6" ht="25.5" x14ac:dyDescent="0.2">
      <c r="A312" s="127">
        <v>1</v>
      </c>
      <c r="B312" s="127" t="s">
        <v>693</v>
      </c>
      <c r="C312" s="127" t="s">
        <v>942</v>
      </c>
      <c r="D312" s="113" t="s">
        <v>787</v>
      </c>
      <c r="E312" s="144" t="s">
        <v>949</v>
      </c>
      <c r="F312" s="114"/>
    </row>
    <row r="313" spans="1:6" x14ac:dyDescent="0.2">
      <c r="A313" s="127">
        <v>1</v>
      </c>
      <c r="B313" s="127" t="s">
        <v>693</v>
      </c>
      <c r="C313" s="127" t="s">
        <v>942</v>
      </c>
      <c r="D313" s="113" t="s">
        <v>686</v>
      </c>
      <c r="E313" s="144" t="s">
        <v>950</v>
      </c>
      <c r="F313" s="114"/>
    </row>
    <row r="314" spans="1:6" ht="25.5" x14ac:dyDescent="0.2">
      <c r="A314" s="127">
        <v>1</v>
      </c>
      <c r="B314" s="127" t="s">
        <v>693</v>
      </c>
      <c r="C314" s="127" t="s">
        <v>942</v>
      </c>
      <c r="D314" s="113" t="s">
        <v>688</v>
      </c>
      <c r="E314" s="144" t="s">
        <v>951</v>
      </c>
      <c r="F314" s="114"/>
    </row>
    <row r="315" spans="1:6" ht="25.5" x14ac:dyDescent="0.2">
      <c r="A315" s="127">
        <v>1</v>
      </c>
      <c r="B315" s="127" t="s">
        <v>693</v>
      </c>
      <c r="C315" s="127" t="s">
        <v>942</v>
      </c>
      <c r="D315" s="113" t="s">
        <v>797</v>
      </c>
      <c r="E315" s="144" t="s">
        <v>952</v>
      </c>
      <c r="F315" s="114"/>
    </row>
    <row r="316" spans="1:6" x14ac:dyDescent="0.2">
      <c r="A316" s="130">
        <v>1</v>
      </c>
      <c r="B316" s="130" t="s">
        <v>693</v>
      </c>
      <c r="C316" s="130" t="s">
        <v>953</v>
      </c>
      <c r="D316" s="123" t="s">
        <v>604</v>
      </c>
      <c r="E316" s="161"/>
      <c r="F316" s="124"/>
    </row>
    <row r="317" spans="1:6" x14ac:dyDescent="0.2">
      <c r="A317" s="127">
        <v>1</v>
      </c>
      <c r="B317" s="127" t="s">
        <v>693</v>
      </c>
      <c r="C317" s="127" t="s">
        <v>953</v>
      </c>
      <c r="D317" s="113" t="s">
        <v>651</v>
      </c>
      <c r="E317" s="144" t="s">
        <v>954</v>
      </c>
      <c r="F317" s="114"/>
    </row>
    <row r="318" spans="1:6" x14ac:dyDescent="0.2">
      <c r="A318" s="127">
        <v>1</v>
      </c>
      <c r="B318" s="127" t="s">
        <v>693</v>
      </c>
      <c r="C318" s="127" t="s">
        <v>953</v>
      </c>
      <c r="D318" s="113" t="s">
        <v>653</v>
      </c>
      <c r="E318" s="144" t="s">
        <v>955</v>
      </c>
      <c r="F318" s="114"/>
    </row>
    <row r="319" spans="1:6" x14ac:dyDescent="0.2">
      <c r="A319" s="127">
        <v>1</v>
      </c>
      <c r="B319" s="127" t="s">
        <v>693</v>
      </c>
      <c r="C319" s="127" t="s">
        <v>953</v>
      </c>
      <c r="D319" s="113" t="s">
        <v>667</v>
      </c>
      <c r="E319" s="144" t="s">
        <v>956</v>
      </c>
      <c r="F319" s="114"/>
    </row>
    <row r="320" spans="1:6" x14ac:dyDescent="0.2">
      <c r="A320" s="127">
        <v>1</v>
      </c>
      <c r="B320" s="127" t="s">
        <v>693</v>
      </c>
      <c r="C320" s="127" t="s">
        <v>953</v>
      </c>
      <c r="D320" s="113" t="s">
        <v>699</v>
      </c>
      <c r="E320" s="144" t="s">
        <v>957</v>
      </c>
      <c r="F320" s="114"/>
    </row>
    <row r="321" spans="1:6" x14ac:dyDescent="0.2">
      <c r="A321" s="127">
        <v>1</v>
      </c>
      <c r="B321" s="127" t="s">
        <v>693</v>
      </c>
      <c r="C321" s="127" t="s">
        <v>953</v>
      </c>
      <c r="D321" s="113" t="s">
        <v>703</v>
      </c>
      <c r="E321" s="144" t="s">
        <v>958</v>
      </c>
      <c r="F321" s="114"/>
    </row>
    <row r="322" spans="1:6" x14ac:dyDescent="0.2">
      <c r="A322" s="130">
        <v>1</v>
      </c>
      <c r="B322" s="130" t="s">
        <v>693</v>
      </c>
      <c r="C322" s="132" t="s">
        <v>959</v>
      </c>
      <c r="D322" s="123" t="s">
        <v>960</v>
      </c>
      <c r="E322" s="161"/>
      <c r="F322" s="124"/>
    </row>
    <row r="323" spans="1:6" x14ac:dyDescent="0.2">
      <c r="A323" s="127">
        <v>1</v>
      </c>
      <c r="B323" s="127" t="s">
        <v>693</v>
      </c>
      <c r="C323" s="131" t="s">
        <v>959</v>
      </c>
      <c r="D323" s="113" t="s">
        <v>651</v>
      </c>
      <c r="E323" s="144" t="s">
        <v>960</v>
      </c>
      <c r="F323" s="114"/>
    </row>
    <row r="324" spans="1:6" x14ac:dyDescent="0.2">
      <c r="A324" s="127">
        <v>1</v>
      </c>
      <c r="B324" s="127" t="s">
        <v>693</v>
      </c>
      <c r="C324" s="131" t="s">
        <v>959</v>
      </c>
      <c r="D324" s="113" t="s">
        <v>674</v>
      </c>
      <c r="E324" s="144" t="s">
        <v>961</v>
      </c>
      <c r="F324" s="114"/>
    </row>
    <row r="325" spans="1:6" ht="25.5" x14ac:dyDescent="0.2">
      <c r="A325" s="127">
        <v>1</v>
      </c>
      <c r="B325" s="127" t="s">
        <v>693</v>
      </c>
      <c r="C325" s="131" t="s">
        <v>959</v>
      </c>
      <c r="D325" s="113" t="s">
        <v>793</v>
      </c>
      <c r="E325" s="144" t="s">
        <v>962</v>
      </c>
      <c r="F325" s="114"/>
    </row>
    <row r="326" spans="1:6" x14ac:dyDescent="0.2">
      <c r="A326" s="130">
        <v>1</v>
      </c>
      <c r="B326" s="130" t="s">
        <v>693</v>
      </c>
      <c r="C326" s="132" t="s">
        <v>963</v>
      </c>
      <c r="D326" s="123" t="s">
        <v>70</v>
      </c>
      <c r="E326" s="161"/>
      <c r="F326" s="124"/>
    </row>
    <row r="327" spans="1:6" x14ac:dyDescent="0.2">
      <c r="A327" s="127">
        <v>1</v>
      </c>
      <c r="B327" s="127" t="s">
        <v>693</v>
      </c>
      <c r="C327" s="127" t="s">
        <v>963</v>
      </c>
      <c r="D327" s="113" t="s">
        <v>651</v>
      </c>
      <c r="E327" s="144" t="s">
        <v>964</v>
      </c>
      <c r="F327" s="114"/>
    </row>
    <row r="328" spans="1:6" x14ac:dyDescent="0.2">
      <c r="A328" s="127">
        <v>1</v>
      </c>
      <c r="B328" s="127" t="s">
        <v>693</v>
      </c>
      <c r="C328" s="127" t="s">
        <v>963</v>
      </c>
      <c r="D328" s="113" t="s">
        <v>674</v>
      </c>
      <c r="E328" s="144" t="s">
        <v>965</v>
      </c>
      <c r="F328" s="114"/>
    </row>
    <row r="329" spans="1:6" x14ac:dyDescent="0.2">
      <c r="A329" s="127">
        <v>1</v>
      </c>
      <c r="B329" s="127" t="s">
        <v>693</v>
      </c>
      <c r="C329" s="127" t="s">
        <v>963</v>
      </c>
      <c r="D329" s="113" t="s">
        <v>793</v>
      </c>
      <c r="E329" s="144" t="s">
        <v>966</v>
      </c>
      <c r="F329" s="114"/>
    </row>
    <row r="330" spans="1:6" x14ac:dyDescent="0.2">
      <c r="A330" s="127">
        <v>1</v>
      </c>
      <c r="B330" s="127" t="s">
        <v>693</v>
      </c>
      <c r="C330" s="127" t="s">
        <v>963</v>
      </c>
      <c r="D330" s="115" t="s">
        <v>686</v>
      </c>
      <c r="E330" s="144" t="s">
        <v>70</v>
      </c>
      <c r="F330" s="114"/>
    </row>
    <row r="331" spans="1:6" ht="25.5" x14ac:dyDescent="0.2">
      <c r="A331" s="127">
        <v>1</v>
      </c>
      <c r="B331" s="127" t="s">
        <v>693</v>
      </c>
      <c r="C331" s="127" t="s">
        <v>963</v>
      </c>
      <c r="D331" s="115" t="s">
        <v>688</v>
      </c>
      <c r="E331" s="144" t="s">
        <v>967</v>
      </c>
      <c r="F331" s="114"/>
    </row>
    <row r="332" spans="1:6" ht="25.5" x14ac:dyDescent="0.2">
      <c r="A332" s="127">
        <v>1</v>
      </c>
      <c r="B332" s="127" t="s">
        <v>693</v>
      </c>
      <c r="C332" s="127" t="s">
        <v>963</v>
      </c>
      <c r="D332" s="115" t="s">
        <v>797</v>
      </c>
      <c r="E332" s="144" t="s">
        <v>968</v>
      </c>
      <c r="F332" s="114"/>
    </row>
    <row r="333" spans="1:6" x14ac:dyDescent="0.2">
      <c r="A333" s="399" t="s">
        <v>50</v>
      </c>
      <c r="B333" s="400"/>
      <c r="C333" s="400"/>
      <c r="D333" s="400"/>
      <c r="E333" s="401"/>
      <c r="F333" s="136"/>
    </row>
    <row r="334" spans="1:6" x14ac:dyDescent="0.2">
      <c r="A334" s="128">
        <v>1</v>
      </c>
      <c r="B334" s="128" t="s">
        <v>926</v>
      </c>
      <c r="C334" s="407" t="s">
        <v>1274</v>
      </c>
      <c r="D334" s="408"/>
      <c r="E334" s="409"/>
      <c r="F334" s="122"/>
    </row>
    <row r="335" spans="1:6" x14ac:dyDescent="0.2">
      <c r="A335" s="130">
        <v>1</v>
      </c>
      <c r="B335" s="130" t="s">
        <v>926</v>
      </c>
      <c r="C335" s="130" t="s">
        <v>649</v>
      </c>
      <c r="D335" s="123" t="s">
        <v>970</v>
      </c>
      <c r="E335" s="161"/>
      <c r="F335" s="124"/>
    </row>
    <row r="336" spans="1:6" x14ac:dyDescent="0.2">
      <c r="A336" s="127">
        <v>1</v>
      </c>
      <c r="B336" s="127" t="s">
        <v>926</v>
      </c>
      <c r="C336" s="127" t="s">
        <v>649</v>
      </c>
      <c r="D336" s="113" t="s">
        <v>651</v>
      </c>
      <c r="E336" s="144" t="s">
        <v>250</v>
      </c>
      <c r="F336" s="114"/>
    </row>
    <row r="337" spans="1:6" x14ac:dyDescent="0.2">
      <c r="A337" s="127">
        <v>1</v>
      </c>
      <c r="B337" s="127" t="s">
        <v>926</v>
      </c>
      <c r="C337" s="127" t="s">
        <v>649</v>
      </c>
      <c r="D337" s="115" t="s">
        <v>653</v>
      </c>
      <c r="E337" s="144" t="s">
        <v>971</v>
      </c>
      <c r="F337" s="114"/>
    </row>
    <row r="338" spans="1:6" x14ac:dyDescent="0.2">
      <c r="A338" s="127">
        <v>1</v>
      </c>
      <c r="B338" s="127" t="s">
        <v>926</v>
      </c>
      <c r="C338" s="127" t="s">
        <v>649</v>
      </c>
      <c r="D338" s="115" t="s">
        <v>667</v>
      </c>
      <c r="E338" s="144" t="s">
        <v>972</v>
      </c>
      <c r="F338" s="114"/>
    </row>
    <row r="339" spans="1:6" x14ac:dyDescent="0.2">
      <c r="A339" s="127">
        <v>1</v>
      </c>
      <c r="B339" s="127" t="s">
        <v>926</v>
      </c>
      <c r="C339" s="127" t="s">
        <v>649</v>
      </c>
      <c r="D339" s="115" t="s">
        <v>686</v>
      </c>
      <c r="E339" s="144" t="s">
        <v>973</v>
      </c>
      <c r="F339" s="114"/>
    </row>
    <row r="340" spans="1:6" x14ac:dyDescent="0.2">
      <c r="A340" s="399" t="s">
        <v>50</v>
      </c>
      <c r="B340" s="400"/>
      <c r="C340" s="400"/>
      <c r="D340" s="400"/>
      <c r="E340" s="401"/>
      <c r="F340" s="136"/>
    </row>
    <row r="341" spans="1:6" x14ac:dyDescent="0.2">
      <c r="A341" s="128">
        <v>1</v>
      </c>
      <c r="B341" s="133" t="s">
        <v>942</v>
      </c>
      <c r="C341" s="407" t="s">
        <v>974</v>
      </c>
      <c r="D341" s="408"/>
      <c r="E341" s="409"/>
      <c r="F341" s="126"/>
    </row>
    <row r="342" spans="1:6" x14ac:dyDescent="0.2">
      <c r="A342" s="130">
        <v>1</v>
      </c>
      <c r="B342" s="130" t="s">
        <v>942</v>
      </c>
      <c r="C342" s="130" t="s">
        <v>649</v>
      </c>
      <c r="D342" s="123" t="s">
        <v>974</v>
      </c>
      <c r="E342" s="161"/>
      <c r="F342" s="124"/>
    </row>
    <row r="343" spans="1:6" x14ac:dyDescent="0.2">
      <c r="A343" s="127">
        <v>1</v>
      </c>
      <c r="B343" s="127" t="s">
        <v>942</v>
      </c>
      <c r="C343" s="127" t="s">
        <v>649</v>
      </c>
      <c r="D343" s="113" t="s">
        <v>651</v>
      </c>
      <c r="E343" s="144" t="s">
        <v>975</v>
      </c>
      <c r="F343" s="114"/>
    </row>
    <row r="344" spans="1:6" x14ac:dyDescent="0.2">
      <c r="A344" s="127">
        <v>1</v>
      </c>
      <c r="B344" s="127" t="s">
        <v>942</v>
      </c>
      <c r="C344" s="127" t="s">
        <v>649</v>
      </c>
      <c r="D344" s="113" t="s">
        <v>674</v>
      </c>
      <c r="E344" s="144" t="s">
        <v>976</v>
      </c>
      <c r="F344" s="114"/>
    </row>
    <row r="345" spans="1:6" x14ac:dyDescent="0.2">
      <c r="A345" s="127">
        <v>1</v>
      </c>
      <c r="B345" s="127" t="s">
        <v>942</v>
      </c>
      <c r="C345" s="127" t="s">
        <v>649</v>
      </c>
      <c r="D345" s="113" t="s">
        <v>793</v>
      </c>
      <c r="E345" s="144" t="s">
        <v>977</v>
      </c>
      <c r="F345" s="114"/>
    </row>
    <row r="346" spans="1:6" x14ac:dyDescent="0.2">
      <c r="A346" s="127">
        <v>1</v>
      </c>
      <c r="B346" s="127" t="s">
        <v>942</v>
      </c>
      <c r="C346" s="127" t="s">
        <v>649</v>
      </c>
      <c r="D346" s="113" t="s">
        <v>653</v>
      </c>
      <c r="E346" s="144" t="s">
        <v>978</v>
      </c>
      <c r="F346" s="114"/>
    </row>
    <row r="347" spans="1:6" x14ac:dyDescent="0.2">
      <c r="A347" s="127">
        <v>1</v>
      </c>
      <c r="B347" s="127" t="s">
        <v>942</v>
      </c>
      <c r="C347" s="127" t="s">
        <v>649</v>
      </c>
      <c r="D347" s="113" t="s">
        <v>677</v>
      </c>
      <c r="E347" s="144" t="s">
        <v>979</v>
      </c>
      <c r="F347" s="114"/>
    </row>
    <row r="348" spans="1:6" x14ac:dyDescent="0.2">
      <c r="A348" s="127">
        <v>1</v>
      </c>
      <c r="B348" s="127" t="s">
        <v>942</v>
      </c>
      <c r="C348" s="127" t="s">
        <v>649</v>
      </c>
      <c r="D348" s="113" t="s">
        <v>787</v>
      </c>
      <c r="E348" s="144" t="s">
        <v>980</v>
      </c>
      <c r="F348" s="114"/>
    </row>
    <row r="349" spans="1:6" x14ac:dyDescent="0.2">
      <c r="A349" s="127">
        <v>1</v>
      </c>
      <c r="B349" s="127" t="s">
        <v>942</v>
      </c>
      <c r="C349" s="127" t="s">
        <v>649</v>
      </c>
      <c r="D349" s="113" t="s">
        <v>686</v>
      </c>
      <c r="E349" s="144" t="s">
        <v>981</v>
      </c>
      <c r="F349" s="114"/>
    </row>
    <row r="350" spans="1:6" x14ac:dyDescent="0.2">
      <c r="A350" s="127">
        <v>1</v>
      </c>
      <c r="B350" s="127" t="s">
        <v>942</v>
      </c>
      <c r="C350" s="127" t="s">
        <v>649</v>
      </c>
      <c r="D350" s="113" t="s">
        <v>688</v>
      </c>
      <c r="E350" s="144" t="s">
        <v>982</v>
      </c>
      <c r="F350" s="114"/>
    </row>
    <row r="351" spans="1:6" x14ac:dyDescent="0.2">
      <c r="A351" s="127">
        <v>1</v>
      </c>
      <c r="B351" s="127" t="s">
        <v>942</v>
      </c>
      <c r="C351" s="127" t="s">
        <v>649</v>
      </c>
      <c r="D351" s="113" t="s">
        <v>797</v>
      </c>
      <c r="E351" s="144" t="s">
        <v>983</v>
      </c>
      <c r="F351" s="114"/>
    </row>
    <row r="352" spans="1:6" x14ac:dyDescent="0.2">
      <c r="A352" s="130">
        <v>1</v>
      </c>
      <c r="B352" s="130" t="s">
        <v>942</v>
      </c>
      <c r="C352" s="132" t="s">
        <v>655</v>
      </c>
      <c r="D352" s="123" t="s">
        <v>960</v>
      </c>
      <c r="E352" s="161"/>
      <c r="F352" s="124"/>
    </row>
    <row r="353" spans="1:6" x14ac:dyDescent="0.2">
      <c r="A353" s="127">
        <v>1</v>
      </c>
      <c r="B353" s="127" t="s">
        <v>942</v>
      </c>
      <c r="C353" s="131" t="s">
        <v>655</v>
      </c>
      <c r="D353" s="115" t="s">
        <v>651</v>
      </c>
      <c r="E353" s="144" t="s">
        <v>984</v>
      </c>
      <c r="F353" s="114"/>
    </row>
    <row r="354" spans="1:6" x14ac:dyDescent="0.2">
      <c r="A354" s="399" t="s">
        <v>50</v>
      </c>
      <c r="B354" s="400"/>
      <c r="C354" s="400"/>
      <c r="D354" s="400"/>
      <c r="E354" s="401"/>
      <c r="F354" s="136"/>
    </row>
    <row r="355" spans="1:6" x14ac:dyDescent="0.2">
      <c r="A355" s="434" t="s">
        <v>1276</v>
      </c>
      <c r="B355" s="435"/>
      <c r="C355" s="435"/>
      <c r="D355" s="435"/>
      <c r="E355" s="435"/>
      <c r="F355" s="436"/>
    </row>
    <row r="356" spans="1:6" x14ac:dyDescent="0.2">
      <c r="A356" s="155">
        <v>2</v>
      </c>
      <c r="B356" s="434" t="s">
        <v>92</v>
      </c>
      <c r="C356" s="435"/>
      <c r="D356" s="435"/>
      <c r="E356" s="436"/>
      <c r="F356" s="156"/>
    </row>
    <row r="357" spans="1:6" x14ac:dyDescent="0.2">
      <c r="A357" s="128">
        <v>2</v>
      </c>
      <c r="B357" s="128" t="s">
        <v>649</v>
      </c>
      <c r="C357" s="134" t="s">
        <v>1277</v>
      </c>
      <c r="D357" s="143"/>
      <c r="E357" s="164"/>
      <c r="F357" s="122"/>
    </row>
    <row r="358" spans="1:6" x14ac:dyDescent="0.2">
      <c r="A358" s="130">
        <v>2</v>
      </c>
      <c r="B358" s="130" t="s">
        <v>649</v>
      </c>
      <c r="C358" s="130" t="s">
        <v>649</v>
      </c>
      <c r="D358" s="123" t="s">
        <v>985</v>
      </c>
      <c r="E358" s="161"/>
      <c r="F358" s="124"/>
    </row>
    <row r="359" spans="1:6" x14ac:dyDescent="0.2">
      <c r="A359" s="127">
        <v>2</v>
      </c>
      <c r="B359" s="127" t="s">
        <v>649</v>
      </c>
      <c r="C359" s="127" t="s">
        <v>649</v>
      </c>
      <c r="D359" s="113" t="s">
        <v>651</v>
      </c>
      <c r="E359" s="144" t="s">
        <v>33</v>
      </c>
      <c r="F359" s="114">
        <v>0</v>
      </c>
    </row>
    <row r="360" spans="1:6" x14ac:dyDescent="0.2">
      <c r="A360" s="127">
        <v>2</v>
      </c>
      <c r="B360" s="127" t="s">
        <v>649</v>
      </c>
      <c r="C360" s="127" t="s">
        <v>649</v>
      </c>
      <c r="D360" s="113" t="s">
        <v>653</v>
      </c>
      <c r="E360" s="144" t="s">
        <v>78</v>
      </c>
      <c r="F360" s="114"/>
    </row>
    <row r="361" spans="1:6" x14ac:dyDescent="0.2">
      <c r="A361" s="127">
        <v>2</v>
      </c>
      <c r="B361" s="127" t="s">
        <v>649</v>
      </c>
      <c r="C361" s="127" t="s">
        <v>649</v>
      </c>
      <c r="D361" s="113" t="s">
        <v>699</v>
      </c>
      <c r="E361" s="144" t="s">
        <v>251</v>
      </c>
      <c r="F361" s="114"/>
    </row>
    <row r="362" spans="1:6" x14ac:dyDescent="0.2">
      <c r="A362" s="127">
        <v>2</v>
      </c>
      <c r="B362" s="127" t="s">
        <v>649</v>
      </c>
      <c r="C362" s="127" t="s">
        <v>649</v>
      </c>
      <c r="D362" s="113" t="s">
        <v>703</v>
      </c>
      <c r="E362" s="144" t="s">
        <v>252</v>
      </c>
      <c r="F362" s="114"/>
    </row>
    <row r="363" spans="1:6" x14ac:dyDescent="0.2">
      <c r="A363" s="127">
        <v>2</v>
      </c>
      <c r="B363" s="127" t="s">
        <v>649</v>
      </c>
      <c r="C363" s="127" t="s">
        <v>649</v>
      </c>
      <c r="D363" s="113" t="s">
        <v>707</v>
      </c>
      <c r="E363" s="144" t="s">
        <v>986</v>
      </c>
      <c r="F363" s="114"/>
    </row>
    <row r="364" spans="1:6" x14ac:dyDescent="0.2">
      <c r="A364" s="127">
        <v>2</v>
      </c>
      <c r="B364" s="127" t="s">
        <v>649</v>
      </c>
      <c r="C364" s="127" t="s">
        <v>649</v>
      </c>
      <c r="D364" s="113" t="s">
        <v>711</v>
      </c>
      <c r="E364" s="144" t="s">
        <v>987</v>
      </c>
      <c r="F364" s="114"/>
    </row>
    <row r="365" spans="1:6" x14ac:dyDescent="0.2">
      <c r="A365" s="127">
        <v>2</v>
      </c>
      <c r="B365" s="127" t="s">
        <v>649</v>
      </c>
      <c r="C365" s="127" t="s">
        <v>649</v>
      </c>
      <c r="D365" s="113" t="s">
        <v>714</v>
      </c>
      <c r="E365" s="144" t="s">
        <v>988</v>
      </c>
      <c r="F365" s="114"/>
    </row>
    <row r="366" spans="1:6" x14ac:dyDescent="0.2">
      <c r="A366" s="127" t="s">
        <v>989</v>
      </c>
      <c r="B366" s="127" t="s">
        <v>649</v>
      </c>
      <c r="C366" s="127" t="s">
        <v>649</v>
      </c>
      <c r="D366" s="113" t="s">
        <v>759</v>
      </c>
      <c r="E366" s="144" t="s">
        <v>990</v>
      </c>
      <c r="F366" s="114"/>
    </row>
    <row r="367" spans="1:6" x14ac:dyDescent="0.2">
      <c r="A367" s="127" t="s">
        <v>989</v>
      </c>
      <c r="B367" s="127" t="s">
        <v>649</v>
      </c>
      <c r="C367" s="127" t="s">
        <v>649</v>
      </c>
      <c r="D367" s="113" t="s">
        <v>769</v>
      </c>
      <c r="E367" s="144" t="s">
        <v>991</v>
      </c>
      <c r="F367" s="114"/>
    </row>
    <row r="368" spans="1:6" x14ac:dyDescent="0.2">
      <c r="A368" s="127" t="s">
        <v>989</v>
      </c>
      <c r="B368" s="127" t="s">
        <v>649</v>
      </c>
      <c r="C368" s="127" t="s">
        <v>649</v>
      </c>
      <c r="D368" s="113" t="s">
        <v>770</v>
      </c>
      <c r="E368" s="144" t="s">
        <v>992</v>
      </c>
      <c r="F368" s="114"/>
    </row>
    <row r="369" spans="1:6" x14ac:dyDescent="0.2">
      <c r="A369" s="127" t="s">
        <v>989</v>
      </c>
      <c r="B369" s="127" t="s">
        <v>649</v>
      </c>
      <c r="C369" s="127" t="s">
        <v>649</v>
      </c>
      <c r="D369" s="113" t="s">
        <v>772</v>
      </c>
      <c r="E369" s="144" t="s">
        <v>993</v>
      </c>
      <c r="F369" s="114"/>
    </row>
    <row r="370" spans="1:6" x14ac:dyDescent="0.2">
      <c r="A370" s="130">
        <v>2</v>
      </c>
      <c r="B370" s="130" t="s">
        <v>649</v>
      </c>
      <c r="C370" s="130" t="s">
        <v>655</v>
      </c>
      <c r="D370" s="123" t="s">
        <v>994</v>
      </c>
      <c r="E370" s="161"/>
      <c r="F370" s="124"/>
    </row>
    <row r="371" spans="1:6" x14ac:dyDescent="0.2">
      <c r="A371" s="127">
        <v>2</v>
      </c>
      <c r="B371" s="127" t="s">
        <v>649</v>
      </c>
      <c r="C371" s="127" t="s">
        <v>655</v>
      </c>
      <c r="D371" s="113" t="s">
        <v>653</v>
      </c>
      <c r="E371" s="144" t="s">
        <v>435</v>
      </c>
      <c r="F371" s="114"/>
    </row>
    <row r="372" spans="1:6" x14ac:dyDescent="0.2">
      <c r="A372" s="127">
        <v>2</v>
      </c>
      <c r="B372" s="127" t="s">
        <v>649</v>
      </c>
      <c r="C372" s="127" t="s">
        <v>655</v>
      </c>
      <c r="D372" s="113" t="s">
        <v>677</v>
      </c>
      <c r="E372" s="144" t="s">
        <v>995</v>
      </c>
      <c r="F372" s="114"/>
    </row>
    <row r="373" spans="1:6" x14ac:dyDescent="0.2">
      <c r="A373" s="127">
        <v>2</v>
      </c>
      <c r="B373" s="127" t="s">
        <v>649</v>
      </c>
      <c r="C373" s="127" t="s">
        <v>655</v>
      </c>
      <c r="D373" s="113" t="s">
        <v>787</v>
      </c>
      <c r="E373" s="144" t="s">
        <v>996</v>
      </c>
      <c r="F373" s="114"/>
    </row>
    <row r="374" spans="1:6" x14ac:dyDescent="0.2">
      <c r="A374" s="127">
        <v>2</v>
      </c>
      <c r="B374" s="127" t="s">
        <v>649</v>
      </c>
      <c r="C374" s="127" t="s">
        <v>655</v>
      </c>
      <c r="D374" s="113" t="s">
        <v>699</v>
      </c>
      <c r="E374" s="144" t="s">
        <v>109</v>
      </c>
      <c r="F374" s="114"/>
    </row>
    <row r="375" spans="1:6" x14ac:dyDescent="0.2">
      <c r="A375" s="127">
        <v>2</v>
      </c>
      <c r="B375" s="127" t="s">
        <v>649</v>
      </c>
      <c r="C375" s="127" t="s">
        <v>655</v>
      </c>
      <c r="D375" s="113" t="s">
        <v>703</v>
      </c>
      <c r="E375" s="144" t="s">
        <v>437</v>
      </c>
      <c r="F375" s="114"/>
    </row>
    <row r="376" spans="1:6" x14ac:dyDescent="0.2">
      <c r="A376" s="399" t="s">
        <v>50</v>
      </c>
      <c r="B376" s="400"/>
      <c r="C376" s="400"/>
      <c r="D376" s="400"/>
      <c r="E376" s="401"/>
      <c r="F376" s="136"/>
    </row>
    <row r="377" spans="1:6" x14ac:dyDescent="0.2">
      <c r="A377" s="128">
        <v>2</v>
      </c>
      <c r="B377" s="128" t="s">
        <v>655</v>
      </c>
      <c r="C377" s="134" t="s">
        <v>997</v>
      </c>
      <c r="D377" s="121"/>
      <c r="E377" s="163"/>
      <c r="F377" s="126"/>
    </row>
    <row r="378" spans="1:6" x14ac:dyDescent="0.2">
      <c r="A378" s="130">
        <v>2</v>
      </c>
      <c r="B378" s="130" t="s">
        <v>655</v>
      </c>
      <c r="C378" s="130" t="s">
        <v>649</v>
      </c>
      <c r="D378" s="123" t="s">
        <v>997</v>
      </c>
      <c r="E378" s="161"/>
      <c r="F378" s="124"/>
    </row>
    <row r="379" spans="1:6" x14ac:dyDescent="0.2">
      <c r="A379" s="127">
        <v>2</v>
      </c>
      <c r="B379" s="127" t="s">
        <v>655</v>
      </c>
      <c r="C379" s="127" t="s">
        <v>649</v>
      </c>
      <c r="D379" s="113" t="s">
        <v>651</v>
      </c>
      <c r="E379" s="144" t="s">
        <v>17</v>
      </c>
      <c r="F379" s="114"/>
    </row>
    <row r="380" spans="1:6" x14ac:dyDescent="0.2">
      <c r="A380" s="127">
        <v>2</v>
      </c>
      <c r="B380" s="127" t="s">
        <v>655</v>
      </c>
      <c r="C380" s="127" t="s">
        <v>649</v>
      </c>
      <c r="D380" s="113" t="s">
        <v>653</v>
      </c>
      <c r="E380" s="144" t="s">
        <v>18</v>
      </c>
      <c r="F380" s="114"/>
    </row>
    <row r="381" spans="1:6" x14ac:dyDescent="0.2">
      <c r="A381" s="127">
        <v>2</v>
      </c>
      <c r="B381" s="127" t="s">
        <v>655</v>
      </c>
      <c r="C381" s="127" t="s">
        <v>649</v>
      </c>
      <c r="D381" s="113" t="s">
        <v>667</v>
      </c>
      <c r="E381" s="144" t="s">
        <v>998</v>
      </c>
      <c r="F381" s="114"/>
    </row>
    <row r="382" spans="1:6" x14ac:dyDescent="0.2">
      <c r="A382" s="127">
        <v>2</v>
      </c>
      <c r="B382" s="127" t="s">
        <v>655</v>
      </c>
      <c r="C382" s="127" t="s">
        <v>649</v>
      </c>
      <c r="D382" s="113" t="s">
        <v>699</v>
      </c>
      <c r="E382" s="144" t="s">
        <v>173</v>
      </c>
      <c r="F382" s="114"/>
    </row>
    <row r="383" spans="1:6" x14ac:dyDescent="0.2">
      <c r="A383" s="127">
        <v>2</v>
      </c>
      <c r="B383" s="127" t="s">
        <v>655</v>
      </c>
      <c r="C383" s="127" t="s">
        <v>649</v>
      </c>
      <c r="D383" s="113" t="s">
        <v>703</v>
      </c>
      <c r="E383" s="144" t="s">
        <v>999</v>
      </c>
      <c r="F383" s="114"/>
    </row>
    <row r="384" spans="1:6" x14ac:dyDescent="0.2">
      <c r="A384" s="127">
        <v>2</v>
      </c>
      <c r="B384" s="127" t="s">
        <v>655</v>
      </c>
      <c r="C384" s="127" t="s">
        <v>649</v>
      </c>
      <c r="D384" s="113" t="s">
        <v>707</v>
      </c>
      <c r="E384" s="144" t="s">
        <v>1000</v>
      </c>
      <c r="F384" s="114"/>
    </row>
    <row r="385" spans="1:6" x14ac:dyDescent="0.2">
      <c r="A385" s="127">
        <v>2</v>
      </c>
      <c r="B385" s="127" t="s">
        <v>655</v>
      </c>
      <c r="C385" s="127" t="s">
        <v>649</v>
      </c>
      <c r="D385" s="113" t="s">
        <v>711</v>
      </c>
      <c r="E385" s="144" t="s">
        <v>35</v>
      </c>
      <c r="F385" s="114"/>
    </row>
    <row r="386" spans="1:6" x14ac:dyDescent="0.2">
      <c r="A386" s="127">
        <v>2</v>
      </c>
      <c r="B386" s="127" t="s">
        <v>655</v>
      </c>
      <c r="C386" s="127" t="s">
        <v>649</v>
      </c>
      <c r="D386" s="113" t="s">
        <v>714</v>
      </c>
      <c r="E386" s="144" t="s">
        <v>1001</v>
      </c>
      <c r="F386" s="114"/>
    </row>
    <row r="387" spans="1:6" x14ac:dyDescent="0.2">
      <c r="A387" s="399" t="s">
        <v>50</v>
      </c>
      <c r="B387" s="400"/>
      <c r="C387" s="400"/>
      <c r="D387" s="400"/>
      <c r="E387" s="401"/>
      <c r="F387" s="136"/>
    </row>
    <row r="388" spans="1:6" x14ac:dyDescent="0.2">
      <c r="A388" s="128">
        <v>2</v>
      </c>
      <c r="B388" s="128" t="s">
        <v>659</v>
      </c>
      <c r="C388" s="134" t="s">
        <v>1002</v>
      </c>
      <c r="D388" s="121"/>
      <c r="E388" s="163"/>
      <c r="F388" s="126"/>
    </row>
    <row r="389" spans="1:6" x14ac:dyDescent="0.2">
      <c r="A389" s="130">
        <v>2</v>
      </c>
      <c r="B389" s="130" t="s">
        <v>659</v>
      </c>
      <c r="C389" s="130" t="s">
        <v>649</v>
      </c>
      <c r="D389" s="123" t="s">
        <v>1002</v>
      </c>
      <c r="E389" s="161"/>
      <c r="F389" s="124"/>
    </row>
    <row r="390" spans="1:6" x14ac:dyDescent="0.2">
      <c r="A390" s="127">
        <v>2</v>
      </c>
      <c r="B390" s="127" t="s">
        <v>659</v>
      </c>
      <c r="C390" s="127" t="s">
        <v>649</v>
      </c>
      <c r="D390" s="113" t="s">
        <v>651</v>
      </c>
      <c r="E390" s="144" t="s">
        <v>79</v>
      </c>
      <c r="F390" s="114"/>
    </row>
    <row r="391" spans="1:6" x14ac:dyDescent="0.2">
      <c r="A391" s="127">
        <v>2</v>
      </c>
      <c r="B391" s="127" t="s">
        <v>659</v>
      </c>
      <c r="C391" s="127" t="s">
        <v>649</v>
      </c>
      <c r="D391" s="113" t="s">
        <v>653</v>
      </c>
      <c r="E391" s="144" t="s">
        <v>1003</v>
      </c>
      <c r="F391" s="114"/>
    </row>
    <row r="392" spans="1:6" x14ac:dyDescent="0.2">
      <c r="A392" s="127">
        <v>2</v>
      </c>
      <c r="B392" s="127" t="s">
        <v>659</v>
      </c>
      <c r="C392" s="127" t="s">
        <v>649</v>
      </c>
      <c r="D392" s="113" t="s">
        <v>667</v>
      </c>
      <c r="E392" s="144" t="s">
        <v>1004</v>
      </c>
      <c r="F392" s="114"/>
    </row>
    <row r="393" spans="1:6" x14ac:dyDescent="0.2">
      <c r="A393" s="399" t="s">
        <v>50</v>
      </c>
      <c r="B393" s="400"/>
      <c r="C393" s="400"/>
      <c r="D393" s="400"/>
      <c r="E393" s="401"/>
      <c r="F393" s="136"/>
    </row>
    <row r="394" spans="1:6" x14ac:dyDescent="0.2">
      <c r="A394" s="128">
        <v>2</v>
      </c>
      <c r="B394" s="128" t="s">
        <v>679</v>
      </c>
      <c r="C394" s="407" t="s">
        <v>1278</v>
      </c>
      <c r="D394" s="408"/>
      <c r="E394" s="409"/>
      <c r="F394" s="122"/>
    </row>
    <row r="395" spans="1:6" x14ac:dyDescent="0.2">
      <c r="A395" s="130">
        <v>2</v>
      </c>
      <c r="B395" s="130" t="s">
        <v>679</v>
      </c>
      <c r="C395" s="130" t="s">
        <v>649</v>
      </c>
      <c r="D395" s="123" t="s">
        <v>1005</v>
      </c>
      <c r="E395" s="161"/>
      <c r="F395" s="124"/>
    </row>
    <row r="396" spans="1:6" x14ac:dyDescent="0.2">
      <c r="A396" s="127">
        <v>2</v>
      </c>
      <c r="B396" s="127" t="s">
        <v>679</v>
      </c>
      <c r="C396" s="127" t="s">
        <v>649</v>
      </c>
      <c r="D396" s="113" t="s">
        <v>651</v>
      </c>
      <c r="E396" s="144" t="s">
        <v>1005</v>
      </c>
      <c r="F396" s="114"/>
    </row>
    <row r="397" spans="1:6" ht="25.5" x14ac:dyDescent="0.2">
      <c r="A397" s="127">
        <v>2</v>
      </c>
      <c r="B397" s="127" t="s">
        <v>679</v>
      </c>
      <c r="C397" s="127" t="s">
        <v>649</v>
      </c>
      <c r="D397" s="113" t="s">
        <v>653</v>
      </c>
      <c r="E397" s="144" t="s">
        <v>1006</v>
      </c>
      <c r="F397" s="114"/>
    </row>
    <row r="398" spans="1:6" x14ac:dyDescent="0.2">
      <c r="A398" s="127">
        <v>2</v>
      </c>
      <c r="B398" s="127" t="s">
        <v>679</v>
      </c>
      <c r="C398" s="127" t="s">
        <v>649</v>
      </c>
      <c r="D398" s="113" t="s">
        <v>667</v>
      </c>
      <c r="E398" s="144" t="s">
        <v>1007</v>
      </c>
      <c r="F398" s="114"/>
    </row>
    <row r="399" spans="1:6" x14ac:dyDescent="0.2">
      <c r="A399" s="127">
        <v>2</v>
      </c>
      <c r="B399" s="127" t="s">
        <v>679</v>
      </c>
      <c r="C399" s="127" t="s">
        <v>649</v>
      </c>
      <c r="D399" s="113" t="s">
        <v>699</v>
      </c>
      <c r="E399" s="144" t="s">
        <v>1008</v>
      </c>
      <c r="F399" s="114"/>
    </row>
    <row r="400" spans="1:6" x14ac:dyDescent="0.2">
      <c r="A400" s="127">
        <v>2</v>
      </c>
      <c r="B400" s="127" t="s">
        <v>679</v>
      </c>
      <c r="C400" s="127" t="s">
        <v>649</v>
      </c>
      <c r="D400" s="113" t="s">
        <v>703</v>
      </c>
      <c r="E400" s="144" t="s">
        <v>1009</v>
      </c>
      <c r="F400" s="114"/>
    </row>
    <row r="401" spans="1:6" x14ac:dyDescent="0.2">
      <c r="A401" s="399" t="s">
        <v>50</v>
      </c>
      <c r="B401" s="400"/>
      <c r="C401" s="400"/>
      <c r="D401" s="400"/>
      <c r="E401" s="401"/>
      <c r="F401" s="136"/>
    </row>
    <row r="402" spans="1:6" x14ac:dyDescent="0.2">
      <c r="A402" s="128">
        <v>2</v>
      </c>
      <c r="B402" s="128">
        <v>5</v>
      </c>
      <c r="C402" s="134" t="s">
        <v>1279</v>
      </c>
      <c r="D402" s="143"/>
      <c r="E402" s="164"/>
      <c r="F402" s="122"/>
    </row>
    <row r="403" spans="1:6" x14ac:dyDescent="0.2">
      <c r="A403" s="130">
        <v>2</v>
      </c>
      <c r="B403" s="130" t="s">
        <v>681</v>
      </c>
      <c r="C403" s="130" t="s">
        <v>649</v>
      </c>
      <c r="D403" s="123" t="s">
        <v>1011</v>
      </c>
      <c r="E403" s="161"/>
      <c r="F403" s="124"/>
    </row>
    <row r="404" spans="1:6" x14ac:dyDescent="0.2">
      <c r="A404" s="127">
        <v>2</v>
      </c>
      <c r="B404" s="127" t="s">
        <v>681</v>
      </c>
      <c r="C404" s="127" t="s">
        <v>649</v>
      </c>
      <c r="D404" s="113" t="s">
        <v>651</v>
      </c>
      <c r="E404" s="144" t="s">
        <v>1012</v>
      </c>
      <c r="F404" s="114"/>
    </row>
    <row r="405" spans="1:6" x14ac:dyDescent="0.2">
      <c r="A405" s="127">
        <v>2</v>
      </c>
      <c r="B405" s="127" t="s">
        <v>681</v>
      </c>
      <c r="C405" s="127" t="s">
        <v>649</v>
      </c>
      <c r="D405" s="113" t="s">
        <v>653</v>
      </c>
      <c r="E405" s="144" t="s">
        <v>1013</v>
      </c>
      <c r="F405" s="114"/>
    </row>
    <row r="406" spans="1:6" x14ac:dyDescent="0.2">
      <c r="A406" s="127">
        <v>2</v>
      </c>
      <c r="B406" s="127" t="s">
        <v>681</v>
      </c>
      <c r="C406" s="127" t="s">
        <v>649</v>
      </c>
      <c r="D406" s="113" t="s">
        <v>667</v>
      </c>
      <c r="E406" s="144" t="s">
        <v>1014</v>
      </c>
      <c r="F406" s="114"/>
    </row>
    <row r="407" spans="1:6" x14ac:dyDescent="0.2">
      <c r="A407" s="127">
        <v>2</v>
      </c>
      <c r="B407" s="127" t="s">
        <v>681</v>
      </c>
      <c r="C407" s="127" t="s">
        <v>649</v>
      </c>
      <c r="D407" s="113" t="s">
        <v>699</v>
      </c>
      <c r="E407" s="144" t="s">
        <v>1015</v>
      </c>
      <c r="F407" s="114"/>
    </row>
    <row r="408" spans="1:6" x14ac:dyDescent="0.2">
      <c r="A408" s="127">
        <v>2</v>
      </c>
      <c r="B408" s="127" t="s">
        <v>681</v>
      </c>
      <c r="C408" s="127" t="s">
        <v>649</v>
      </c>
      <c r="D408" s="113" t="s">
        <v>703</v>
      </c>
      <c r="E408" s="144" t="s">
        <v>1016</v>
      </c>
      <c r="F408" s="114"/>
    </row>
    <row r="409" spans="1:6" x14ac:dyDescent="0.2">
      <c r="A409" s="127">
        <v>2</v>
      </c>
      <c r="B409" s="127" t="s">
        <v>681</v>
      </c>
      <c r="C409" s="127" t="s">
        <v>649</v>
      </c>
      <c r="D409" s="113" t="s">
        <v>686</v>
      </c>
      <c r="E409" s="144" t="s">
        <v>1017</v>
      </c>
      <c r="F409" s="114"/>
    </row>
    <row r="410" spans="1:6" x14ac:dyDescent="0.2">
      <c r="A410" s="399" t="s">
        <v>50</v>
      </c>
      <c r="B410" s="400"/>
      <c r="C410" s="400"/>
      <c r="D410" s="400"/>
      <c r="E410" s="401"/>
      <c r="F410" s="136"/>
    </row>
    <row r="411" spans="1:6" x14ac:dyDescent="0.2">
      <c r="A411" s="128">
        <v>2</v>
      </c>
      <c r="B411" s="128" t="s">
        <v>690</v>
      </c>
      <c r="C411" s="407" t="s">
        <v>1280</v>
      </c>
      <c r="D411" s="408"/>
      <c r="E411" s="409"/>
      <c r="F411" s="126"/>
    </row>
    <row r="412" spans="1:6" x14ac:dyDescent="0.2">
      <c r="A412" s="130">
        <v>2</v>
      </c>
      <c r="B412" s="130" t="s">
        <v>690</v>
      </c>
      <c r="C412" s="130" t="s">
        <v>649</v>
      </c>
      <c r="D412" s="123" t="s">
        <v>1018</v>
      </c>
      <c r="E412" s="161"/>
      <c r="F412" s="124"/>
    </row>
    <row r="413" spans="1:6" x14ac:dyDescent="0.2">
      <c r="A413" s="127">
        <v>2</v>
      </c>
      <c r="B413" s="127" t="s">
        <v>690</v>
      </c>
      <c r="C413" s="127" t="s">
        <v>649</v>
      </c>
      <c r="D413" s="113" t="s">
        <v>699</v>
      </c>
      <c r="E413" s="144" t="s">
        <v>1019</v>
      </c>
      <c r="F413" s="114">
        <v>0</v>
      </c>
    </row>
    <row r="414" spans="1:6" x14ac:dyDescent="0.2">
      <c r="A414" s="127">
        <v>2</v>
      </c>
      <c r="B414" s="127" t="s">
        <v>690</v>
      </c>
      <c r="C414" s="127" t="s">
        <v>649</v>
      </c>
      <c r="D414" s="113" t="s">
        <v>686</v>
      </c>
      <c r="E414" s="144" t="s">
        <v>1020</v>
      </c>
      <c r="F414" s="114">
        <v>0</v>
      </c>
    </row>
    <row r="415" spans="1:6" x14ac:dyDescent="0.2">
      <c r="A415" s="399" t="s">
        <v>50</v>
      </c>
      <c r="B415" s="400"/>
      <c r="C415" s="400"/>
      <c r="D415" s="400"/>
      <c r="E415" s="401"/>
      <c r="F415" s="136">
        <f>SUM(F413:F414)</f>
        <v>0</v>
      </c>
    </row>
    <row r="416" spans="1:6" x14ac:dyDescent="0.2">
      <c r="A416" s="128">
        <v>2</v>
      </c>
      <c r="B416" s="128" t="s">
        <v>963</v>
      </c>
      <c r="C416" s="407" t="s">
        <v>1281</v>
      </c>
      <c r="D416" s="408"/>
      <c r="E416" s="409"/>
      <c r="F416" s="126"/>
    </row>
    <row r="417" spans="1:6" x14ac:dyDescent="0.2">
      <c r="A417" s="130">
        <v>2</v>
      </c>
      <c r="B417" s="130" t="s">
        <v>963</v>
      </c>
      <c r="C417" s="130" t="s">
        <v>963</v>
      </c>
      <c r="D417" s="123" t="s">
        <v>55</v>
      </c>
      <c r="E417" s="161"/>
      <c r="F417" s="124"/>
    </row>
    <row r="418" spans="1:6" x14ac:dyDescent="0.2">
      <c r="A418" s="127">
        <v>2</v>
      </c>
      <c r="B418" s="127" t="s">
        <v>963</v>
      </c>
      <c r="C418" s="127" t="s">
        <v>963</v>
      </c>
      <c r="D418" s="135">
        <v>990</v>
      </c>
      <c r="E418" s="144" t="s">
        <v>55</v>
      </c>
      <c r="F418" s="114"/>
    </row>
    <row r="419" spans="1:6" x14ac:dyDescent="0.2">
      <c r="A419" s="399" t="s">
        <v>50</v>
      </c>
      <c r="B419" s="400"/>
      <c r="C419" s="400"/>
      <c r="D419" s="400"/>
      <c r="E419" s="401"/>
      <c r="F419" s="136"/>
    </row>
    <row r="420" spans="1:6" x14ac:dyDescent="0.2">
      <c r="A420" s="434" t="s">
        <v>1299</v>
      </c>
      <c r="B420" s="435"/>
      <c r="C420" s="435"/>
      <c r="D420" s="435"/>
      <c r="E420" s="435"/>
      <c r="F420" s="436"/>
    </row>
    <row r="421" spans="1:6" x14ac:dyDescent="0.2">
      <c r="A421" s="155">
        <v>3</v>
      </c>
      <c r="B421" s="434" t="s">
        <v>1021</v>
      </c>
      <c r="C421" s="435"/>
      <c r="D421" s="435"/>
      <c r="E421" s="436"/>
      <c r="F421" s="152"/>
    </row>
    <row r="422" spans="1:6" x14ac:dyDescent="0.2">
      <c r="A422" s="128">
        <v>3</v>
      </c>
      <c r="B422" s="128" t="s">
        <v>649</v>
      </c>
      <c r="C422" s="134" t="s">
        <v>80</v>
      </c>
      <c r="D422" s="121"/>
      <c r="E422" s="163"/>
      <c r="F422" s="126"/>
    </row>
    <row r="423" spans="1:6" x14ac:dyDescent="0.2">
      <c r="A423" s="130">
        <v>3</v>
      </c>
      <c r="B423" s="130" t="s">
        <v>649</v>
      </c>
      <c r="C423" s="130" t="s">
        <v>649</v>
      </c>
      <c r="D423" s="123" t="s">
        <v>1022</v>
      </c>
      <c r="E423" s="161"/>
      <c r="F423" s="124"/>
    </row>
    <row r="424" spans="1:6" x14ac:dyDescent="0.2">
      <c r="A424" s="127">
        <v>3</v>
      </c>
      <c r="B424" s="127" t="s">
        <v>649</v>
      </c>
      <c r="C424" s="127" t="s">
        <v>649</v>
      </c>
      <c r="D424" s="113" t="s">
        <v>651</v>
      </c>
      <c r="E424" s="144" t="s">
        <v>1022</v>
      </c>
      <c r="F424" s="114"/>
    </row>
    <row r="425" spans="1:6" x14ac:dyDescent="0.2">
      <c r="A425" s="127">
        <v>3</v>
      </c>
      <c r="B425" s="127" t="s">
        <v>649</v>
      </c>
      <c r="C425" s="127" t="s">
        <v>649</v>
      </c>
      <c r="D425" s="157" t="s">
        <v>653</v>
      </c>
      <c r="E425" s="144" t="s">
        <v>1023</v>
      </c>
      <c r="F425" s="114"/>
    </row>
    <row r="426" spans="1:6" x14ac:dyDescent="0.2">
      <c r="A426" s="437" t="s">
        <v>50</v>
      </c>
      <c r="B426" s="437"/>
      <c r="C426" s="437"/>
      <c r="D426" s="437"/>
      <c r="E426" s="437"/>
      <c r="F426" s="166"/>
    </row>
    <row r="428" spans="1:6" x14ac:dyDescent="0.2">
      <c r="A428" s="109" t="s">
        <v>638</v>
      </c>
      <c r="E428" s="171" t="s">
        <v>163</v>
      </c>
    </row>
    <row r="429" spans="1:6" x14ac:dyDescent="0.2">
      <c r="A429" s="109"/>
      <c r="E429" s="171"/>
    </row>
    <row r="431" spans="1:6" ht="15" customHeight="1" x14ac:dyDescent="0.2">
      <c r="B431" s="173" t="s">
        <v>2081</v>
      </c>
      <c r="E431" s="172"/>
      <c r="F431" s="172" t="s">
        <v>1940</v>
      </c>
    </row>
    <row r="432" spans="1:6" s="9" customFormat="1" ht="15" customHeight="1" x14ac:dyDescent="0.2">
      <c r="A432" s="108"/>
      <c r="B432" s="174" t="s">
        <v>2085</v>
      </c>
      <c r="C432" s="108"/>
      <c r="D432" s="109"/>
      <c r="E432" s="170"/>
      <c r="F432" s="170" t="s">
        <v>161</v>
      </c>
    </row>
  </sheetData>
  <mergeCells count="42">
    <mergeCell ref="A7:F7"/>
    <mergeCell ref="A1:F1"/>
    <mergeCell ref="A2:F2"/>
    <mergeCell ref="A3:F3"/>
    <mergeCell ref="A5:F5"/>
    <mergeCell ref="A6:F6"/>
    <mergeCell ref="C138:E138"/>
    <mergeCell ref="A9:D10"/>
    <mergeCell ref="E9:E10"/>
    <mergeCell ref="F9:F10"/>
    <mergeCell ref="A21:E21"/>
    <mergeCell ref="C11:E11"/>
    <mergeCell ref="C22:E22"/>
    <mergeCell ref="A50:E50"/>
    <mergeCell ref="C51:E51"/>
    <mergeCell ref="A103:E103"/>
    <mergeCell ref="C104:E104"/>
    <mergeCell ref="A137:E137"/>
    <mergeCell ref="A148:E148"/>
    <mergeCell ref="C149:E149"/>
    <mergeCell ref="D159:E159"/>
    <mergeCell ref="A157:E157"/>
    <mergeCell ref="A401:E401"/>
    <mergeCell ref="A333:E333"/>
    <mergeCell ref="C334:E334"/>
    <mergeCell ref="C341:E341"/>
    <mergeCell ref="A355:F355"/>
    <mergeCell ref="B356:E356"/>
    <mergeCell ref="A340:E340"/>
    <mergeCell ref="A354:E354"/>
    <mergeCell ref="A415:E415"/>
    <mergeCell ref="A387:E387"/>
    <mergeCell ref="A393:E393"/>
    <mergeCell ref="C394:E394"/>
    <mergeCell ref="C411:E411"/>
    <mergeCell ref="A376:E376"/>
    <mergeCell ref="A410:E410"/>
    <mergeCell ref="C416:E416"/>
    <mergeCell ref="A419:E419"/>
    <mergeCell ref="A420:F420"/>
    <mergeCell ref="B421:E421"/>
    <mergeCell ref="A426:E426"/>
  </mergeCells>
  <printOptions horizontalCentered="1"/>
  <pageMargins left="0.31496062992125984" right="0.31496062992125984" top="0.47244094488188981" bottom="0.39370078740157483" header="0.31496062992125984" footer="0.31496062992125984"/>
  <pageSetup paperSize="256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X561"/>
  <sheetViews>
    <sheetView topLeftCell="C1" zoomScaleNormal="100" zoomScaleSheetLayoutView="100" workbookViewId="0">
      <selection activeCell="S554" sqref="S554"/>
    </sheetView>
  </sheetViews>
  <sheetFormatPr defaultRowHeight="12.75" x14ac:dyDescent="0.2"/>
  <cols>
    <col min="1" max="1" width="2.140625" customWidth="1"/>
    <col min="2" max="2" width="2.42578125" customWidth="1"/>
    <col min="3" max="3" width="2.5703125" customWidth="1"/>
    <col min="4" max="4" width="2.28515625" customWidth="1"/>
    <col min="5" max="5" width="2.7109375" customWidth="1"/>
    <col min="6" max="6" width="3.140625" customWidth="1"/>
    <col min="11" max="11" width="9.5703125" customWidth="1"/>
    <col min="15" max="15" width="15.7109375" style="8" customWidth="1"/>
    <col min="16" max="16" width="3.140625" style="8" customWidth="1"/>
    <col min="17" max="17" width="16.85546875" style="8" customWidth="1"/>
    <col min="18" max="18" width="2.140625" style="27" customWidth="1"/>
    <col min="19" max="19" width="15.28515625" customWidth="1"/>
    <col min="20" max="20" width="1.42578125" customWidth="1"/>
    <col min="21" max="21" width="18.5703125" style="310" customWidth="1"/>
    <col min="23" max="23" width="16.28515625" customWidth="1"/>
  </cols>
  <sheetData>
    <row r="1" spans="1:19" x14ac:dyDescent="0.2">
      <c r="A1" s="6" t="s">
        <v>1293</v>
      </c>
      <c r="C1" s="9"/>
      <c r="D1" s="9"/>
      <c r="E1" s="9"/>
    </row>
    <row r="2" spans="1:19" x14ac:dyDescent="0.2">
      <c r="A2" s="173" t="s">
        <v>1997</v>
      </c>
      <c r="B2" s="6"/>
      <c r="C2" s="6"/>
      <c r="D2" s="6"/>
      <c r="E2" s="6"/>
    </row>
    <row r="3" spans="1:19" x14ac:dyDescent="0.2">
      <c r="A3" s="173" t="s">
        <v>2033</v>
      </c>
      <c r="B3" s="267"/>
      <c r="C3" s="267"/>
      <c r="D3" s="267"/>
      <c r="E3" s="267"/>
    </row>
    <row r="4" spans="1:19" x14ac:dyDescent="0.2">
      <c r="A4" s="275"/>
      <c r="B4" s="276"/>
      <c r="C4" s="276"/>
      <c r="D4" s="276"/>
      <c r="E4" s="267"/>
    </row>
    <row r="5" spans="1:19" x14ac:dyDescent="0.2">
      <c r="A5" s="173"/>
      <c r="B5" s="267"/>
      <c r="C5" s="267"/>
      <c r="D5" s="267"/>
      <c r="E5" s="267"/>
    </row>
    <row r="7" spans="1:19" x14ac:dyDescent="0.2">
      <c r="A7" s="277" t="s">
        <v>87</v>
      </c>
      <c r="B7" s="268"/>
      <c r="C7" s="269"/>
      <c r="D7" s="269"/>
      <c r="E7" s="269"/>
    </row>
    <row r="8" spans="1:19" x14ac:dyDescent="0.2">
      <c r="A8" s="277"/>
      <c r="B8" s="268" t="s">
        <v>593</v>
      </c>
      <c r="C8" s="269"/>
      <c r="D8" s="269"/>
      <c r="E8" s="278"/>
    </row>
    <row r="9" spans="1:19" x14ac:dyDescent="0.2">
      <c r="A9" s="277"/>
      <c r="B9" s="268"/>
      <c r="C9" s="269" t="s">
        <v>1998</v>
      </c>
      <c r="D9" s="269"/>
      <c r="E9" s="278"/>
    </row>
    <row r="10" spans="1:19" x14ac:dyDescent="0.2">
      <c r="A10" s="277"/>
      <c r="B10" s="268"/>
      <c r="C10" s="269"/>
      <c r="D10" s="269" t="s">
        <v>650</v>
      </c>
      <c r="E10" s="278"/>
    </row>
    <row r="11" spans="1:19" x14ac:dyDescent="0.2">
      <c r="A11" s="279"/>
      <c r="B11" s="280"/>
      <c r="C11" s="270"/>
      <c r="D11" s="270"/>
      <c r="E11" s="281" t="s">
        <v>652</v>
      </c>
      <c r="O11" s="8">
        <f>'Sched. fin''l. Position'!F13</f>
        <v>0</v>
      </c>
    </row>
    <row r="12" spans="1:19" x14ac:dyDescent="0.2">
      <c r="A12" s="279"/>
      <c r="B12" s="280"/>
      <c r="C12" s="270"/>
      <c r="D12" s="270"/>
      <c r="E12" s="281" t="s">
        <v>654</v>
      </c>
    </row>
    <row r="13" spans="1:19" x14ac:dyDescent="0.2">
      <c r="A13" s="277"/>
      <c r="B13" s="268"/>
      <c r="C13" s="269"/>
      <c r="D13" s="269" t="s">
        <v>1999</v>
      </c>
      <c r="E13" s="278"/>
    </row>
    <row r="14" spans="1:19" x14ac:dyDescent="0.2">
      <c r="A14" s="279"/>
      <c r="B14" s="280"/>
      <c r="C14" s="270"/>
      <c r="D14" s="270"/>
      <c r="E14" s="281" t="s">
        <v>2000</v>
      </c>
      <c r="O14" s="4"/>
      <c r="S14" s="27"/>
    </row>
    <row r="15" spans="1:19" x14ac:dyDescent="0.2">
      <c r="A15" s="279"/>
      <c r="B15" s="280"/>
      <c r="C15" s="270"/>
      <c r="D15" s="270"/>
      <c r="E15" s="281" t="s">
        <v>658</v>
      </c>
      <c r="O15" s="271">
        <f>'Sched. fin''l. Position'!F17</f>
        <v>0</v>
      </c>
      <c r="S15" s="306">
        <f>'[2]2019'!$E$13</f>
        <v>20343197.299999997</v>
      </c>
    </row>
    <row r="16" spans="1:19" x14ac:dyDescent="0.2">
      <c r="A16" s="279"/>
      <c r="B16" s="280"/>
      <c r="C16" s="270"/>
      <c r="D16" s="269" t="s">
        <v>2001</v>
      </c>
      <c r="E16" s="278"/>
    </row>
    <row r="17" spans="1:5" x14ac:dyDescent="0.2">
      <c r="A17" s="277"/>
      <c r="B17" s="268"/>
      <c r="C17" s="269"/>
      <c r="D17" s="270"/>
      <c r="E17" s="281" t="s">
        <v>2002</v>
      </c>
    </row>
    <row r="18" spans="1:5" x14ac:dyDescent="0.2">
      <c r="A18" s="279"/>
      <c r="B18" s="280"/>
      <c r="C18" s="270"/>
      <c r="D18" s="270"/>
      <c r="E18" s="281" t="s">
        <v>662</v>
      </c>
    </row>
    <row r="19" spans="1:5" ht="15.75" x14ac:dyDescent="0.25">
      <c r="A19" s="280"/>
      <c r="B19" s="280"/>
      <c r="C19" s="282"/>
      <c r="D19" s="283" t="s">
        <v>2003</v>
      </c>
      <c r="E19" s="270"/>
    </row>
    <row r="20" spans="1:5" x14ac:dyDescent="0.2">
      <c r="A20" s="279"/>
      <c r="B20" s="280"/>
      <c r="C20" s="270"/>
      <c r="D20" s="270"/>
      <c r="E20" s="281" t="s">
        <v>665</v>
      </c>
    </row>
    <row r="21" spans="1:5" x14ac:dyDescent="0.2">
      <c r="A21" s="279"/>
      <c r="B21" s="280"/>
      <c r="C21" s="270"/>
      <c r="D21" s="270"/>
      <c r="E21" s="281" t="s">
        <v>666</v>
      </c>
    </row>
    <row r="22" spans="1:5" x14ac:dyDescent="0.2">
      <c r="A22" s="279"/>
      <c r="B22" s="280"/>
      <c r="C22" s="270"/>
      <c r="D22" s="270"/>
      <c r="E22" s="281" t="s">
        <v>668</v>
      </c>
    </row>
    <row r="23" spans="1:5" x14ac:dyDescent="0.2">
      <c r="A23" s="284"/>
      <c r="B23" s="285"/>
      <c r="C23" s="274"/>
      <c r="D23" s="274" t="s">
        <v>2004</v>
      </c>
      <c r="E23" s="278"/>
    </row>
    <row r="24" spans="1:5" ht="15.75" x14ac:dyDescent="0.25">
      <c r="A24" s="280"/>
      <c r="B24" s="280"/>
      <c r="C24" s="283" t="s">
        <v>357</v>
      </c>
      <c r="D24" s="270"/>
      <c r="E24" s="270"/>
    </row>
    <row r="25" spans="1:5" ht="15.75" x14ac:dyDescent="0.25">
      <c r="A25" s="280"/>
      <c r="B25" s="280"/>
      <c r="C25" s="282"/>
      <c r="D25" s="283" t="s">
        <v>2005</v>
      </c>
      <c r="E25" s="270"/>
    </row>
    <row r="26" spans="1:5" x14ac:dyDescent="0.2">
      <c r="A26" s="279"/>
      <c r="B26" s="280"/>
      <c r="C26" s="270"/>
      <c r="D26" s="270"/>
      <c r="E26" s="281" t="s">
        <v>665</v>
      </c>
    </row>
    <row r="27" spans="1:5" x14ac:dyDescent="0.2">
      <c r="A27" s="279"/>
      <c r="B27" s="280"/>
      <c r="C27" s="270"/>
      <c r="D27" s="270"/>
      <c r="E27" s="281" t="s">
        <v>666</v>
      </c>
    </row>
    <row r="28" spans="1:5" x14ac:dyDescent="0.2">
      <c r="A28" s="279"/>
      <c r="B28" s="280"/>
      <c r="C28" s="270"/>
      <c r="D28" s="270"/>
      <c r="E28" s="281" t="s">
        <v>668</v>
      </c>
    </row>
    <row r="29" spans="1:5" x14ac:dyDescent="0.2">
      <c r="A29" s="277"/>
      <c r="B29" s="268"/>
      <c r="C29" s="269"/>
      <c r="D29" s="269" t="s">
        <v>669</v>
      </c>
      <c r="E29" s="278"/>
    </row>
    <row r="30" spans="1:5" x14ac:dyDescent="0.2">
      <c r="A30" s="279"/>
      <c r="B30" s="280"/>
      <c r="C30" s="270"/>
      <c r="D30" s="270"/>
      <c r="E30" s="281" t="s">
        <v>670</v>
      </c>
    </row>
    <row r="31" spans="1:5" x14ac:dyDescent="0.2">
      <c r="A31" s="279"/>
      <c r="B31" s="280"/>
      <c r="C31" s="270"/>
      <c r="D31" s="270"/>
      <c r="E31" s="281" t="s">
        <v>671</v>
      </c>
    </row>
    <row r="32" spans="1:5" x14ac:dyDescent="0.2">
      <c r="A32" s="279"/>
      <c r="B32" s="280"/>
      <c r="C32" s="270"/>
      <c r="D32" s="269" t="s">
        <v>672</v>
      </c>
      <c r="E32" s="281"/>
    </row>
    <row r="33" spans="1:5" x14ac:dyDescent="0.2">
      <c r="A33" s="279"/>
      <c r="B33" s="280"/>
      <c r="C33" s="270"/>
      <c r="D33" s="270"/>
      <c r="E33" s="281" t="s">
        <v>673</v>
      </c>
    </row>
    <row r="34" spans="1:5" x14ac:dyDescent="0.2">
      <c r="A34" s="279"/>
      <c r="B34" s="280"/>
      <c r="C34" s="270"/>
      <c r="D34" s="270"/>
      <c r="E34" s="281" t="s">
        <v>675</v>
      </c>
    </row>
    <row r="35" spans="1:5" x14ac:dyDescent="0.2">
      <c r="A35" s="279"/>
      <c r="B35" s="280"/>
      <c r="C35" s="270"/>
      <c r="D35" s="270"/>
      <c r="E35" s="281" t="s">
        <v>676</v>
      </c>
    </row>
    <row r="36" spans="1:5" x14ac:dyDescent="0.2">
      <c r="A36" s="279"/>
      <c r="B36" s="280"/>
      <c r="C36" s="270"/>
      <c r="D36" s="270"/>
      <c r="E36" s="281" t="s">
        <v>678</v>
      </c>
    </row>
    <row r="37" spans="1:5" x14ac:dyDescent="0.2">
      <c r="A37" s="279"/>
      <c r="B37" s="280"/>
      <c r="C37" s="270"/>
      <c r="D37" s="269" t="s">
        <v>680</v>
      </c>
      <c r="E37" s="281"/>
    </row>
    <row r="38" spans="1:5" x14ac:dyDescent="0.2">
      <c r="A38" s="279"/>
      <c r="B38" s="280"/>
      <c r="C38" s="270"/>
      <c r="D38" s="270"/>
      <c r="E38" s="281" t="s">
        <v>231</v>
      </c>
    </row>
    <row r="39" spans="1:5" x14ac:dyDescent="0.2">
      <c r="A39" s="279"/>
      <c r="B39" s="280"/>
      <c r="C39" s="270"/>
      <c r="D39" s="270"/>
      <c r="E39" s="281" t="s">
        <v>232</v>
      </c>
    </row>
    <row r="40" spans="1:5" x14ac:dyDescent="0.2">
      <c r="A40" s="277"/>
      <c r="B40" s="268"/>
      <c r="C40" s="269"/>
      <c r="D40" s="269" t="s">
        <v>682</v>
      </c>
      <c r="E40" s="278"/>
    </row>
    <row r="41" spans="1:5" x14ac:dyDescent="0.2">
      <c r="A41" s="279"/>
      <c r="B41" s="280"/>
      <c r="C41" s="270"/>
      <c r="D41" s="270"/>
      <c r="E41" s="281" t="s">
        <v>683</v>
      </c>
    </row>
    <row r="42" spans="1:5" x14ac:dyDescent="0.2">
      <c r="A42" s="279"/>
      <c r="B42" s="280"/>
      <c r="C42" s="270"/>
      <c r="D42" s="270"/>
      <c r="E42" s="281" t="s">
        <v>684</v>
      </c>
    </row>
    <row r="43" spans="1:5" x14ac:dyDescent="0.2">
      <c r="A43" s="279"/>
      <c r="B43" s="280"/>
      <c r="C43" s="270"/>
      <c r="D43" s="270"/>
      <c r="E43" s="281" t="s">
        <v>230</v>
      </c>
    </row>
    <row r="44" spans="1:5" x14ac:dyDescent="0.2">
      <c r="A44" s="279"/>
      <c r="B44" s="280"/>
      <c r="C44" s="270"/>
      <c r="D44" s="270"/>
      <c r="E44" s="281" t="s">
        <v>685</v>
      </c>
    </row>
    <row r="45" spans="1:5" x14ac:dyDescent="0.2">
      <c r="A45" s="279"/>
      <c r="B45" s="280"/>
      <c r="C45" s="270"/>
      <c r="D45" s="270"/>
      <c r="E45" s="281" t="s">
        <v>687</v>
      </c>
    </row>
    <row r="46" spans="1:5" x14ac:dyDescent="0.2">
      <c r="A46" s="279"/>
      <c r="B46" s="280"/>
      <c r="C46" s="270"/>
      <c r="D46" s="270"/>
      <c r="E46" s="281" t="s">
        <v>689</v>
      </c>
    </row>
    <row r="47" spans="1:5" x14ac:dyDescent="0.2">
      <c r="A47" s="277"/>
      <c r="B47" s="268"/>
      <c r="C47" s="269"/>
      <c r="D47" s="269" t="s">
        <v>691</v>
      </c>
      <c r="E47" s="278"/>
    </row>
    <row r="48" spans="1:5" x14ac:dyDescent="0.2">
      <c r="A48" s="279"/>
      <c r="B48" s="280"/>
      <c r="C48" s="270"/>
      <c r="D48" s="270"/>
      <c r="E48" s="281" t="s">
        <v>691</v>
      </c>
    </row>
    <row r="49" spans="1:15" x14ac:dyDescent="0.2">
      <c r="A49" s="279"/>
      <c r="B49" s="280"/>
      <c r="C49" s="270"/>
      <c r="D49" s="270"/>
      <c r="E49" s="281" t="s">
        <v>692</v>
      </c>
    </row>
    <row r="50" spans="1:15" x14ac:dyDescent="0.2">
      <c r="A50" s="277"/>
      <c r="B50" s="268"/>
      <c r="C50" s="269"/>
      <c r="D50" s="269" t="s">
        <v>178</v>
      </c>
      <c r="E50" s="278"/>
    </row>
    <row r="51" spans="1:15" x14ac:dyDescent="0.2">
      <c r="A51" s="279"/>
      <c r="B51" s="280"/>
      <c r="C51" s="270"/>
      <c r="D51" s="270"/>
      <c r="E51" s="281" t="s">
        <v>178</v>
      </c>
    </row>
    <row r="52" spans="1:15" x14ac:dyDescent="0.2">
      <c r="A52" s="277"/>
      <c r="B52" s="268"/>
      <c r="C52" s="269"/>
      <c r="D52" s="269" t="s">
        <v>2006</v>
      </c>
      <c r="E52" s="278"/>
    </row>
    <row r="53" spans="1:15" ht="15.75" x14ac:dyDescent="0.25">
      <c r="A53" s="277"/>
      <c r="B53" s="268"/>
      <c r="C53" s="283" t="s">
        <v>1269</v>
      </c>
      <c r="D53" s="269"/>
      <c r="E53" s="278"/>
    </row>
    <row r="54" spans="1:15" x14ac:dyDescent="0.2">
      <c r="A54" s="277"/>
      <c r="B54" s="268"/>
      <c r="C54" s="269"/>
      <c r="D54" s="269" t="s">
        <v>694</v>
      </c>
      <c r="E54" s="278"/>
    </row>
    <row r="55" spans="1:15" x14ac:dyDescent="0.2">
      <c r="A55" s="279"/>
      <c r="B55" s="280"/>
      <c r="C55" s="270"/>
      <c r="D55" s="270"/>
      <c r="E55" s="281" t="s">
        <v>205</v>
      </c>
    </row>
    <row r="56" spans="1:15" x14ac:dyDescent="0.2">
      <c r="A56" s="279"/>
      <c r="B56" s="280"/>
      <c r="C56" s="270"/>
      <c r="D56" s="270"/>
      <c r="E56" s="281" t="s">
        <v>695</v>
      </c>
    </row>
    <row r="57" spans="1:15" x14ac:dyDescent="0.2">
      <c r="A57" s="279"/>
      <c r="B57" s="280"/>
      <c r="C57" s="270"/>
      <c r="D57" s="270"/>
      <c r="E57" s="281" t="s">
        <v>3</v>
      </c>
      <c r="O57" s="8">
        <f>'Sched. fin''l. Position'!F55</f>
        <v>0</v>
      </c>
    </row>
    <row r="58" spans="1:15" x14ac:dyDescent="0.2">
      <c r="A58" s="279"/>
      <c r="B58" s="280"/>
      <c r="C58" s="270"/>
      <c r="D58" s="270"/>
      <c r="E58" s="281" t="s">
        <v>696</v>
      </c>
    </row>
    <row r="59" spans="1:15" x14ac:dyDescent="0.2">
      <c r="A59" s="279"/>
      <c r="B59" s="280"/>
      <c r="C59" s="270"/>
      <c r="D59" s="270"/>
      <c r="E59" s="281" t="s">
        <v>208</v>
      </c>
    </row>
    <row r="60" spans="1:15" x14ac:dyDescent="0.2">
      <c r="A60" s="279"/>
      <c r="B60" s="280"/>
      <c r="C60" s="270"/>
      <c r="D60" s="270"/>
      <c r="E60" s="281" t="s">
        <v>698</v>
      </c>
    </row>
    <row r="61" spans="1:15" x14ac:dyDescent="0.2">
      <c r="A61" s="279"/>
      <c r="B61" s="280"/>
      <c r="C61" s="270"/>
      <c r="D61" s="270"/>
      <c r="E61" s="281" t="s">
        <v>700</v>
      </c>
    </row>
    <row r="62" spans="1:15" x14ac:dyDescent="0.2">
      <c r="A62" s="279"/>
      <c r="B62" s="280"/>
      <c r="C62" s="270"/>
      <c r="D62" s="270"/>
      <c r="E62" s="281" t="s">
        <v>702</v>
      </c>
    </row>
    <row r="63" spans="1:15" x14ac:dyDescent="0.2">
      <c r="A63" s="279"/>
      <c r="B63" s="280"/>
      <c r="C63" s="270"/>
      <c r="D63" s="270"/>
      <c r="E63" s="281" t="s">
        <v>704</v>
      </c>
    </row>
    <row r="64" spans="1:15" x14ac:dyDescent="0.2">
      <c r="A64" s="279"/>
      <c r="B64" s="280"/>
      <c r="C64" s="270"/>
      <c r="D64" s="270"/>
      <c r="E64" s="281" t="s">
        <v>706</v>
      </c>
    </row>
    <row r="65" spans="1:5" x14ac:dyDescent="0.2">
      <c r="A65" s="279"/>
      <c r="B65" s="280"/>
      <c r="C65" s="270"/>
      <c r="D65" s="270"/>
      <c r="E65" s="281" t="s">
        <v>708</v>
      </c>
    </row>
    <row r="66" spans="1:5" x14ac:dyDescent="0.2">
      <c r="A66" s="279"/>
      <c r="B66" s="280"/>
      <c r="C66" s="270"/>
      <c r="D66" s="270"/>
      <c r="E66" s="281" t="s">
        <v>710</v>
      </c>
    </row>
    <row r="67" spans="1:5" x14ac:dyDescent="0.2">
      <c r="A67" s="279"/>
      <c r="B67" s="280"/>
      <c r="C67" s="270"/>
      <c r="D67" s="270"/>
      <c r="E67" s="281" t="s">
        <v>209</v>
      </c>
    </row>
    <row r="68" spans="1:5" x14ac:dyDescent="0.2">
      <c r="A68" s="279"/>
      <c r="B68" s="280"/>
      <c r="C68" s="270"/>
      <c r="D68" s="270"/>
      <c r="E68" s="281" t="s">
        <v>713</v>
      </c>
    </row>
    <row r="69" spans="1:5" x14ac:dyDescent="0.2">
      <c r="A69" s="279"/>
      <c r="B69" s="280"/>
      <c r="C69" s="270"/>
      <c r="D69" s="270"/>
      <c r="E69" s="281" t="s">
        <v>715</v>
      </c>
    </row>
    <row r="70" spans="1:5" x14ac:dyDescent="0.2">
      <c r="A70" s="279"/>
      <c r="B70" s="280"/>
      <c r="C70" s="270"/>
      <c r="D70" s="270"/>
      <c r="E70" s="281" t="s">
        <v>717</v>
      </c>
    </row>
    <row r="71" spans="1:5" x14ac:dyDescent="0.2">
      <c r="A71" s="279"/>
      <c r="B71" s="280"/>
      <c r="C71" s="270"/>
      <c r="D71" s="270"/>
      <c r="E71" s="281" t="s">
        <v>718</v>
      </c>
    </row>
    <row r="72" spans="1:5" x14ac:dyDescent="0.2">
      <c r="A72" s="279"/>
      <c r="B72" s="280"/>
      <c r="C72" s="270"/>
      <c r="D72" s="270"/>
      <c r="E72" s="281" t="s">
        <v>719</v>
      </c>
    </row>
    <row r="73" spans="1:5" x14ac:dyDescent="0.2">
      <c r="A73" s="277"/>
      <c r="B73" s="268"/>
      <c r="C73" s="269"/>
      <c r="D73" s="269" t="s">
        <v>720</v>
      </c>
      <c r="E73" s="278"/>
    </row>
    <row r="74" spans="1:5" x14ac:dyDescent="0.2">
      <c r="A74" s="279"/>
      <c r="B74" s="280"/>
      <c r="C74" s="270"/>
      <c r="D74" s="270"/>
      <c r="E74" s="281" t="s">
        <v>721</v>
      </c>
    </row>
    <row r="75" spans="1:5" x14ac:dyDescent="0.2">
      <c r="A75" s="279"/>
      <c r="B75" s="280"/>
      <c r="C75" s="270"/>
      <c r="D75" s="270"/>
      <c r="E75" s="281" t="s">
        <v>722</v>
      </c>
    </row>
    <row r="76" spans="1:5" x14ac:dyDescent="0.2">
      <c r="A76" s="279"/>
      <c r="B76" s="280"/>
      <c r="C76" s="270"/>
      <c r="D76" s="270"/>
      <c r="E76" s="281" t="s">
        <v>723</v>
      </c>
    </row>
    <row r="77" spans="1:5" x14ac:dyDescent="0.2">
      <c r="A77" s="279"/>
      <c r="B77" s="280"/>
      <c r="C77" s="270"/>
      <c r="D77" s="270"/>
      <c r="E77" s="281" t="s">
        <v>724</v>
      </c>
    </row>
    <row r="78" spans="1:5" x14ac:dyDescent="0.2">
      <c r="A78" s="277"/>
      <c r="B78" s="268"/>
      <c r="C78" s="269"/>
      <c r="D78" s="269" t="s">
        <v>725</v>
      </c>
      <c r="E78" s="278"/>
    </row>
    <row r="79" spans="1:5" x14ac:dyDescent="0.2">
      <c r="A79" s="279"/>
      <c r="B79" s="280"/>
      <c r="C79" s="270"/>
      <c r="D79" s="270"/>
      <c r="E79" s="281" t="s">
        <v>726</v>
      </c>
    </row>
    <row r="80" spans="1:5" x14ac:dyDescent="0.2">
      <c r="A80" s="279"/>
      <c r="B80" s="280"/>
      <c r="C80" s="270"/>
      <c r="D80" s="270"/>
      <c r="E80" s="281" t="s">
        <v>727</v>
      </c>
    </row>
    <row r="81" spans="1:17" x14ac:dyDescent="0.2">
      <c r="A81" s="279"/>
      <c r="B81" s="280"/>
      <c r="C81" s="270"/>
      <c r="D81" s="270"/>
      <c r="E81" s="281" t="s">
        <v>728</v>
      </c>
    </row>
    <row r="82" spans="1:17" x14ac:dyDescent="0.2">
      <c r="A82" s="279"/>
      <c r="B82" s="280"/>
      <c r="C82" s="270"/>
      <c r="D82" s="270"/>
      <c r="E82" s="281" t="s">
        <v>729</v>
      </c>
    </row>
    <row r="83" spans="1:17" x14ac:dyDescent="0.2">
      <c r="A83" s="279"/>
      <c r="B83" s="280"/>
      <c r="C83" s="270"/>
      <c r="D83" s="270"/>
      <c r="E83" s="281" t="s">
        <v>730</v>
      </c>
    </row>
    <row r="84" spans="1:17" x14ac:dyDescent="0.2">
      <c r="A84" s="279"/>
      <c r="B84" s="280"/>
      <c r="C84" s="270"/>
      <c r="D84" s="270"/>
      <c r="E84" s="281" t="s">
        <v>731</v>
      </c>
    </row>
    <row r="85" spans="1:17" x14ac:dyDescent="0.2">
      <c r="A85" s="279"/>
      <c r="B85" s="280"/>
      <c r="C85" s="270"/>
      <c r="D85" s="270"/>
      <c r="E85" s="281" t="s">
        <v>732</v>
      </c>
    </row>
    <row r="86" spans="1:17" x14ac:dyDescent="0.2">
      <c r="A86" s="279"/>
      <c r="B86" s="280"/>
      <c r="C86" s="270"/>
      <c r="D86" s="270"/>
      <c r="E86" s="281" t="s">
        <v>733</v>
      </c>
    </row>
    <row r="87" spans="1:17" x14ac:dyDescent="0.2">
      <c r="A87" s="277"/>
      <c r="B87" s="268"/>
      <c r="C87" s="269"/>
      <c r="D87" s="269" t="s">
        <v>734</v>
      </c>
      <c r="E87" s="278"/>
    </row>
    <row r="88" spans="1:17" x14ac:dyDescent="0.2">
      <c r="A88" s="279"/>
      <c r="B88" s="280"/>
      <c r="C88" s="270"/>
      <c r="D88" s="270"/>
      <c r="E88" s="281" t="s">
        <v>165</v>
      </c>
      <c r="O88" s="8">
        <f>'Sched. fin''l. Position'!F86</f>
        <v>0</v>
      </c>
    </row>
    <row r="89" spans="1:17" x14ac:dyDescent="0.2">
      <c r="A89" s="279"/>
      <c r="B89" s="280"/>
      <c r="C89" s="270"/>
      <c r="D89" s="270"/>
      <c r="E89" s="281" t="s">
        <v>735</v>
      </c>
    </row>
    <row r="90" spans="1:17" x14ac:dyDescent="0.2">
      <c r="A90" s="279"/>
      <c r="B90" s="280"/>
      <c r="C90" s="270"/>
      <c r="D90" s="270"/>
      <c r="E90" s="281" t="s">
        <v>736</v>
      </c>
    </row>
    <row r="91" spans="1:17" x14ac:dyDescent="0.2">
      <c r="A91" s="279"/>
      <c r="B91" s="280"/>
      <c r="C91" s="270"/>
      <c r="D91" s="269" t="s">
        <v>737</v>
      </c>
      <c r="E91" s="281"/>
    </row>
    <row r="92" spans="1:17" x14ac:dyDescent="0.2">
      <c r="A92" s="279"/>
      <c r="B92" s="280"/>
      <c r="C92" s="270"/>
      <c r="D92" s="270"/>
      <c r="E92" s="281" t="s">
        <v>738</v>
      </c>
      <c r="O92" s="8">
        <f>'Sched. fin''l. Position'!F90</f>
        <v>0</v>
      </c>
    </row>
    <row r="93" spans="1:17" x14ac:dyDescent="0.2">
      <c r="A93" s="279"/>
      <c r="B93" s="280"/>
      <c r="C93" s="270"/>
      <c r="D93" s="270"/>
      <c r="E93" s="281" t="s">
        <v>739</v>
      </c>
      <c r="O93" s="8">
        <f>'Sched. fin''l. Position'!F91</f>
        <v>0</v>
      </c>
    </row>
    <row r="94" spans="1:17" x14ac:dyDescent="0.2">
      <c r="A94" s="279"/>
      <c r="B94" s="280"/>
      <c r="C94" s="270"/>
      <c r="D94" s="270"/>
      <c r="E94" s="281" t="s">
        <v>740</v>
      </c>
    </row>
    <row r="95" spans="1:17" x14ac:dyDescent="0.2">
      <c r="A95" s="279"/>
      <c r="B95" s="280"/>
      <c r="C95" s="270"/>
      <c r="D95" s="270"/>
      <c r="E95" s="281" t="s">
        <v>741</v>
      </c>
      <c r="O95" s="8">
        <f>'Sched. fin''l. Position'!F93</f>
        <v>0</v>
      </c>
      <c r="Q95" s="4"/>
    </row>
    <row r="96" spans="1:17" x14ac:dyDescent="0.2">
      <c r="A96" s="279"/>
      <c r="B96" s="280"/>
      <c r="C96" s="270"/>
      <c r="D96" s="269" t="s">
        <v>742</v>
      </c>
      <c r="E96" s="281"/>
    </row>
    <row r="97" spans="1:21" x14ac:dyDescent="0.2">
      <c r="A97" s="279"/>
      <c r="B97" s="280"/>
      <c r="C97" s="270"/>
      <c r="D97" s="270"/>
      <c r="E97" s="281" t="s">
        <v>743</v>
      </c>
      <c r="O97" s="8">
        <f>'Sched. fin''l. Position'!F95</f>
        <v>0</v>
      </c>
    </row>
    <row r="98" spans="1:21" x14ac:dyDescent="0.2">
      <c r="A98" s="279"/>
      <c r="B98" s="280"/>
      <c r="C98" s="270"/>
      <c r="D98" s="270"/>
      <c r="E98" s="281" t="s">
        <v>744</v>
      </c>
    </row>
    <row r="99" spans="1:21" x14ac:dyDescent="0.2">
      <c r="A99" s="279"/>
      <c r="B99" s="280"/>
      <c r="C99" s="270"/>
      <c r="D99" s="270"/>
      <c r="E99" s="281" t="s">
        <v>207</v>
      </c>
      <c r="O99" s="8">
        <f>'Sched. fin''l. Position'!F97</f>
        <v>0</v>
      </c>
    </row>
    <row r="100" spans="1:21" x14ac:dyDescent="0.2">
      <c r="A100" s="279"/>
      <c r="B100" s="280"/>
      <c r="C100" s="270"/>
      <c r="D100" s="270"/>
      <c r="E100" s="281" t="s">
        <v>745</v>
      </c>
    </row>
    <row r="101" spans="1:21" x14ac:dyDescent="0.2">
      <c r="A101" s="279"/>
      <c r="B101" s="280"/>
      <c r="C101" s="270"/>
      <c r="D101" s="270"/>
      <c r="E101" s="281" t="s">
        <v>746</v>
      </c>
    </row>
    <row r="102" spans="1:21" x14ac:dyDescent="0.2">
      <c r="A102" s="279"/>
      <c r="B102" s="280"/>
      <c r="C102" s="270"/>
      <c r="D102" s="270"/>
      <c r="E102" s="281" t="s">
        <v>747</v>
      </c>
    </row>
    <row r="103" spans="1:21" x14ac:dyDescent="0.2">
      <c r="A103" s="279"/>
      <c r="B103" s="280"/>
      <c r="C103" s="270"/>
      <c r="D103" s="270"/>
      <c r="E103" s="281" t="s">
        <v>56</v>
      </c>
      <c r="Q103" s="272"/>
    </row>
    <row r="104" spans="1:21" x14ac:dyDescent="0.2">
      <c r="A104" s="279"/>
      <c r="B104" s="280"/>
      <c r="C104" s="270"/>
      <c r="D104" s="270"/>
      <c r="E104" s="281" t="s">
        <v>748</v>
      </c>
      <c r="Q104" s="272"/>
    </row>
    <row r="105" spans="1:21" ht="15" x14ac:dyDescent="0.35">
      <c r="A105" s="279"/>
      <c r="B105" s="280"/>
      <c r="C105" s="270"/>
      <c r="D105" s="270"/>
      <c r="E105" s="269" t="s">
        <v>120</v>
      </c>
      <c r="Q105" s="308"/>
      <c r="S105" s="311">
        <f>SUM(O57:O105)</f>
        <v>0</v>
      </c>
      <c r="U105" s="310">
        <f>S105-'Stmt. of Fin''l. Position'!D14</f>
        <v>0</v>
      </c>
    </row>
    <row r="106" spans="1:21" ht="15" x14ac:dyDescent="0.35">
      <c r="A106" s="277"/>
      <c r="B106" s="268"/>
      <c r="C106" s="269"/>
      <c r="D106" s="269"/>
      <c r="E106" s="278"/>
      <c r="Q106" s="309"/>
    </row>
    <row r="107" spans="1:21" x14ac:dyDescent="0.2">
      <c r="A107" s="277"/>
      <c r="B107" s="268"/>
      <c r="C107" s="274" t="s">
        <v>1270</v>
      </c>
      <c r="D107" s="269"/>
      <c r="E107" s="278"/>
    </row>
    <row r="108" spans="1:21" ht="15" x14ac:dyDescent="0.25">
      <c r="A108" s="277"/>
      <c r="B108" s="268"/>
      <c r="C108" s="269"/>
      <c r="D108" s="286" t="s">
        <v>749</v>
      </c>
      <c r="E108" s="278"/>
    </row>
    <row r="109" spans="1:21" x14ac:dyDescent="0.2">
      <c r="A109" s="279"/>
      <c r="B109" s="280"/>
      <c r="C109" s="270"/>
      <c r="D109" s="270"/>
      <c r="E109" s="281" t="s">
        <v>213</v>
      </c>
    </row>
    <row r="110" spans="1:21" ht="15" x14ac:dyDescent="0.25">
      <c r="A110" s="277"/>
      <c r="B110" s="268"/>
      <c r="C110" s="269"/>
      <c r="D110" s="286" t="s">
        <v>750</v>
      </c>
      <c r="E110" s="278"/>
    </row>
    <row r="111" spans="1:21" x14ac:dyDescent="0.2">
      <c r="A111" s="279"/>
      <c r="B111" s="280"/>
      <c r="C111" s="270"/>
      <c r="D111" s="270"/>
      <c r="E111" s="281" t="s">
        <v>751</v>
      </c>
    </row>
    <row r="112" spans="1:21" x14ac:dyDescent="0.2">
      <c r="A112" s="279"/>
      <c r="B112" s="280"/>
      <c r="C112" s="270"/>
      <c r="D112" s="270"/>
      <c r="E112" s="281" t="s">
        <v>752</v>
      </c>
    </row>
    <row r="113" spans="1:19" x14ac:dyDescent="0.2">
      <c r="A113" s="279"/>
      <c r="B113" s="280"/>
      <c r="C113" s="270"/>
      <c r="D113" s="270"/>
      <c r="E113" s="281" t="s">
        <v>753</v>
      </c>
    </row>
    <row r="114" spans="1:19" x14ac:dyDescent="0.2">
      <c r="A114" s="279"/>
      <c r="B114" s="280"/>
      <c r="C114" s="270"/>
      <c r="D114" s="270"/>
      <c r="E114" s="281" t="s">
        <v>754</v>
      </c>
    </row>
    <row r="115" spans="1:19" x14ac:dyDescent="0.2">
      <c r="A115" s="279"/>
      <c r="B115" s="280"/>
      <c r="C115" s="270"/>
      <c r="D115" s="270"/>
      <c r="E115" s="281" t="s">
        <v>755</v>
      </c>
    </row>
    <row r="116" spans="1:19" x14ac:dyDescent="0.2">
      <c r="A116" s="279"/>
      <c r="B116" s="280"/>
      <c r="C116" s="270"/>
      <c r="D116" s="270"/>
      <c r="E116" s="281" t="s">
        <v>756</v>
      </c>
    </row>
    <row r="117" spans="1:19" x14ac:dyDescent="0.2">
      <c r="A117" s="279"/>
      <c r="B117" s="280"/>
      <c r="C117" s="270"/>
      <c r="D117" s="270"/>
      <c r="E117" s="281" t="s">
        <v>757</v>
      </c>
    </row>
    <row r="118" spans="1:19" x14ac:dyDescent="0.2">
      <c r="A118" s="279"/>
      <c r="B118" s="280"/>
      <c r="C118" s="270"/>
      <c r="D118" s="270"/>
      <c r="E118" s="281" t="s">
        <v>758</v>
      </c>
    </row>
    <row r="119" spans="1:19" x14ac:dyDescent="0.2">
      <c r="A119" s="279"/>
      <c r="B119" s="280"/>
      <c r="C119" s="270"/>
      <c r="D119" s="270"/>
      <c r="E119" s="281" t="s">
        <v>760</v>
      </c>
      <c r="O119" s="8">
        <f>'Sched. fin''l. Position'!F116</f>
        <v>0</v>
      </c>
    </row>
    <row r="120" spans="1:19" x14ac:dyDescent="0.2">
      <c r="A120" s="279"/>
      <c r="B120" s="280"/>
      <c r="C120" s="270"/>
      <c r="D120" s="270"/>
      <c r="E120" s="281" t="s">
        <v>761</v>
      </c>
    </row>
    <row r="121" spans="1:19" ht="15" x14ac:dyDescent="0.25">
      <c r="A121" s="277"/>
      <c r="B121" s="268"/>
      <c r="C121" s="269"/>
      <c r="D121" s="286" t="s">
        <v>762</v>
      </c>
      <c r="E121" s="278"/>
    </row>
    <row r="122" spans="1:19" x14ac:dyDescent="0.2">
      <c r="A122" s="279"/>
      <c r="B122" s="280"/>
      <c r="C122" s="270"/>
      <c r="D122" s="270"/>
      <c r="E122" s="281" t="s">
        <v>211</v>
      </c>
    </row>
    <row r="123" spans="1:19" x14ac:dyDescent="0.2">
      <c r="A123" s="279"/>
      <c r="B123" s="280"/>
      <c r="C123" s="270"/>
      <c r="D123" s="270"/>
      <c r="E123" s="281" t="s">
        <v>763</v>
      </c>
    </row>
    <row r="124" spans="1:19" x14ac:dyDescent="0.2">
      <c r="A124" s="279"/>
      <c r="B124" s="280"/>
      <c r="C124" s="270"/>
      <c r="D124" s="270"/>
      <c r="E124" s="281" t="s">
        <v>212</v>
      </c>
    </row>
    <row r="125" spans="1:19" x14ac:dyDescent="0.2">
      <c r="A125" s="277"/>
      <c r="B125" s="268"/>
      <c r="C125" s="269"/>
      <c r="D125" s="269" t="s">
        <v>764</v>
      </c>
      <c r="E125" s="278"/>
    </row>
    <row r="126" spans="1:19" x14ac:dyDescent="0.2">
      <c r="A126" s="279"/>
      <c r="B126" s="280"/>
      <c r="C126" s="270"/>
      <c r="D126" s="270"/>
      <c r="E126" s="281" t="s">
        <v>338</v>
      </c>
      <c r="O126" s="8">
        <f>'Sched. fin''l. Position'!F123</f>
        <v>0</v>
      </c>
      <c r="S126" s="27"/>
    </row>
    <row r="127" spans="1:19" x14ac:dyDescent="0.2">
      <c r="A127" s="279"/>
      <c r="B127" s="280"/>
      <c r="C127" s="270"/>
      <c r="D127" s="270"/>
      <c r="E127" s="281" t="s">
        <v>765</v>
      </c>
    </row>
    <row r="128" spans="1:19" x14ac:dyDescent="0.2">
      <c r="A128" s="279"/>
      <c r="B128" s="280"/>
      <c r="C128" s="270"/>
      <c r="D128" s="270"/>
      <c r="E128" s="281" t="s">
        <v>766</v>
      </c>
    </row>
    <row r="129" spans="1:21" x14ac:dyDescent="0.2">
      <c r="A129" s="279"/>
      <c r="B129" s="280"/>
      <c r="C129" s="270"/>
      <c r="D129" s="270"/>
      <c r="E129" s="281" t="s">
        <v>215</v>
      </c>
    </row>
    <row r="130" spans="1:21" x14ac:dyDescent="0.2">
      <c r="A130" s="279"/>
      <c r="B130" s="280"/>
      <c r="C130" s="270"/>
      <c r="D130" s="270"/>
      <c r="E130" s="281" t="s">
        <v>216</v>
      </c>
    </row>
    <row r="131" spans="1:21" x14ac:dyDescent="0.2">
      <c r="A131" s="279"/>
      <c r="B131" s="280"/>
      <c r="C131" s="270"/>
      <c r="D131" s="270"/>
      <c r="E131" s="281" t="s">
        <v>217</v>
      </c>
      <c r="O131" s="8">
        <f>'Sched. fin''l. Position'!F128</f>
        <v>0</v>
      </c>
    </row>
    <row r="132" spans="1:21" x14ac:dyDescent="0.2">
      <c r="A132" s="279"/>
      <c r="B132" s="280"/>
      <c r="C132" s="270"/>
      <c r="D132" s="270"/>
      <c r="E132" s="281" t="s">
        <v>218</v>
      </c>
      <c r="O132" s="8">
        <f>'Sched. fin''l. Position'!F129</f>
        <v>0</v>
      </c>
    </row>
    <row r="133" spans="1:21" x14ac:dyDescent="0.2">
      <c r="A133" s="279"/>
      <c r="B133" s="280"/>
      <c r="C133" s="270"/>
      <c r="D133" s="270"/>
      <c r="E133" s="281" t="s">
        <v>767</v>
      </c>
    </row>
    <row r="134" spans="1:21" x14ac:dyDescent="0.2">
      <c r="A134" s="279"/>
      <c r="B134" s="280"/>
      <c r="C134" s="270"/>
      <c r="D134" s="270"/>
      <c r="E134" s="281" t="s">
        <v>768</v>
      </c>
      <c r="O134" s="8">
        <f>'Sched. fin''l. Position'!F131</f>
        <v>0</v>
      </c>
    </row>
    <row r="135" spans="1:21" x14ac:dyDescent="0.2">
      <c r="A135" s="279"/>
      <c r="B135" s="280"/>
      <c r="C135" s="270"/>
      <c r="D135" s="270"/>
      <c r="E135" s="281" t="s">
        <v>220</v>
      </c>
    </row>
    <row r="136" spans="1:21" x14ac:dyDescent="0.2">
      <c r="A136" s="279"/>
      <c r="B136" s="280"/>
      <c r="C136" s="270"/>
      <c r="D136" s="270"/>
      <c r="E136" s="281" t="s">
        <v>771</v>
      </c>
    </row>
    <row r="137" spans="1:21" x14ac:dyDescent="0.2">
      <c r="A137" s="279"/>
      <c r="B137" s="280"/>
      <c r="C137" s="270"/>
      <c r="D137" s="270"/>
      <c r="E137" s="281" t="s">
        <v>773</v>
      </c>
    </row>
    <row r="138" spans="1:21" x14ac:dyDescent="0.2">
      <c r="A138" s="279"/>
      <c r="B138" s="280"/>
      <c r="C138" s="270"/>
      <c r="D138" s="270"/>
      <c r="E138" s="281" t="s">
        <v>223</v>
      </c>
    </row>
    <row r="139" spans="1:21" x14ac:dyDescent="0.2">
      <c r="A139" s="279"/>
      <c r="B139" s="280"/>
      <c r="C139" s="270"/>
      <c r="D139" s="270"/>
      <c r="E139" s="281" t="s">
        <v>775</v>
      </c>
      <c r="O139" s="8">
        <f>'Sched. fin''l. Position'!F136</f>
        <v>0</v>
      </c>
      <c r="Q139" s="4"/>
      <c r="S139" s="27"/>
    </row>
    <row r="140" spans="1:21" ht="15" x14ac:dyDescent="0.35">
      <c r="A140" s="277"/>
      <c r="B140" s="268"/>
      <c r="C140" s="269"/>
      <c r="D140" s="269" t="s">
        <v>2007</v>
      </c>
      <c r="E140" s="281"/>
      <c r="Q140" s="304"/>
      <c r="S140" s="311">
        <f>SUM(O119:O139)</f>
        <v>0</v>
      </c>
      <c r="U140" s="310">
        <f>S140-'Stmt. of Fin''l. Position'!D15</f>
        <v>0</v>
      </c>
    </row>
    <row r="141" spans="1:21" x14ac:dyDescent="0.2">
      <c r="A141" s="277"/>
      <c r="B141" s="268"/>
      <c r="C141" s="269" t="s">
        <v>1271</v>
      </c>
      <c r="D141" s="269"/>
      <c r="E141" s="278"/>
    </row>
    <row r="142" spans="1:21" x14ac:dyDescent="0.2">
      <c r="A142" s="277"/>
      <c r="B142" s="268"/>
      <c r="C142" s="269"/>
      <c r="D142" s="269" t="s">
        <v>632</v>
      </c>
      <c r="E142" s="278"/>
    </row>
    <row r="143" spans="1:21" x14ac:dyDescent="0.2">
      <c r="A143" s="279"/>
      <c r="B143" s="280"/>
      <c r="C143" s="270"/>
      <c r="D143" s="270"/>
      <c r="E143" s="281" t="s">
        <v>229</v>
      </c>
      <c r="O143" s="8">
        <f>'Sched. fin''l. Position'!F140</f>
        <v>0</v>
      </c>
      <c r="S143" s="273" t="s">
        <v>1994</v>
      </c>
    </row>
    <row r="144" spans="1:21" x14ac:dyDescent="0.2">
      <c r="A144" s="279"/>
      <c r="B144" s="280"/>
      <c r="C144" s="270"/>
      <c r="D144" s="270"/>
      <c r="E144" s="281" t="s">
        <v>226</v>
      </c>
      <c r="Q144" s="4"/>
    </row>
    <row r="145" spans="1:21" x14ac:dyDescent="0.2">
      <c r="A145" s="279"/>
      <c r="B145" s="280"/>
      <c r="C145" s="270"/>
      <c r="D145" s="270"/>
      <c r="E145" s="281" t="s">
        <v>777</v>
      </c>
      <c r="Q145" s="4"/>
    </row>
    <row r="146" spans="1:21" x14ac:dyDescent="0.2">
      <c r="A146" s="279"/>
      <c r="B146" s="280"/>
      <c r="C146" s="270"/>
      <c r="D146" s="270"/>
      <c r="E146" s="281" t="s">
        <v>228</v>
      </c>
      <c r="Q146" s="4"/>
    </row>
    <row r="147" spans="1:21" x14ac:dyDescent="0.2">
      <c r="A147" s="279"/>
      <c r="B147" s="280"/>
      <c r="C147" s="270"/>
      <c r="D147" s="270"/>
      <c r="E147" s="281" t="s">
        <v>227</v>
      </c>
      <c r="O147" s="8">
        <f>'Sched. fin''l. Position'!F144</f>
        <v>0</v>
      </c>
      <c r="Q147" s="4">
        <f>'[3]SCHEDULE OF BS'!G134</f>
        <v>0</v>
      </c>
    </row>
    <row r="148" spans="1:21" x14ac:dyDescent="0.2">
      <c r="A148" s="279"/>
      <c r="B148" s="280"/>
      <c r="C148" s="270"/>
      <c r="D148" s="270"/>
      <c r="E148" s="281" t="s">
        <v>778</v>
      </c>
      <c r="O148" s="8">
        <f>'Sched. fin''l. Position'!F145</f>
        <v>0</v>
      </c>
      <c r="Q148" s="4"/>
      <c r="S148" s="27"/>
    </row>
    <row r="149" spans="1:21" x14ac:dyDescent="0.2">
      <c r="A149" s="279"/>
      <c r="B149" s="280"/>
      <c r="C149" s="270"/>
      <c r="D149" s="269" t="s">
        <v>779</v>
      </c>
      <c r="E149" s="281"/>
    </row>
    <row r="150" spans="1:21" x14ac:dyDescent="0.2">
      <c r="A150" s="279"/>
      <c r="B150" s="280"/>
      <c r="C150" s="270"/>
      <c r="D150" s="269"/>
      <c r="E150" s="281" t="s">
        <v>780</v>
      </c>
    </row>
    <row r="151" spans="1:21" x14ac:dyDescent="0.2">
      <c r="A151" s="277"/>
      <c r="B151" s="268"/>
      <c r="C151" s="269"/>
      <c r="D151" s="269" t="s">
        <v>2008</v>
      </c>
      <c r="E151" s="278"/>
      <c r="Q151" s="305"/>
      <c r="S151" s="312">
        <f>SUM(O143:O149)</f>
        <v>0</v>
      </c>
      <c r="U151" s="310">
        <f>S151-'Stmt. of Fin''l. Position'!D16</f>
        <v>0</v>
      </c>
    </row>
    <row r="152" spans="1:21" x14ac:dyDescent="0.2">
      <c r="A152" s="277"/>
      <c r="B152" s="268"/>
      <c r="C152" s="269"/>
      <c r="D152" s="269"/>
      <c r="E152" s="278"/>
      <c r="Q152" s="21"/>
      <c r="S152" s="312"/>
    </row>
    <row r="153" spans="1:21" ht="15" x14ac:dyDescent="0.35">
      <c r="A153" s="277"/>
      <c r="B153" s="268"/>
      <c r="C153" s="269" t="s">
        <v>2009</v>
      </c>
      <c r="D153" s="269"/>
      <c r="E153" s="278"/>
      <c r="S153" s="317">
        <f>SUM(S15,S105,S140,S151)</f>
        <v>20343197.299999997</v>
      </c>
      <c r="U153" s="310">
        <f>S153-'Stmt. of Fin''l. Position'!D17</f>
        <v>20343197.299999997</v>
      </c>
    </row>
    <row r="154" spans="1:21" x14ac:dyDescent="0.2">
      <c r="A154" s="277"/>
      <c r="B154" s="268" t="s">
        <v>1302</v>
      </c>
      <c r="C154" s="269"/>
      <c r="D154" s="269"/>
      <c r="E154" s="278"/>
    </row>
    <row r="155" spans="1:21" ht="15.75" x14ac:dyDescent="0.25">
      <c r="A155" s="280"/>
      <c r="B155" s="280"/>
      <c r="C155" s="283" t="s">
        <v>357</v>
      </c>
      <c r="D155" s="270"/>
      <c r="E155" s="270"/>
    </row>
    <row r="156" spans="1:21" ht="15.75" x14ac:dyDescent="0.25">
      <c r="A156" s="280"/>
      <c r="B156" s="280"/>
      <c r="C156" s="282"/>
      <c r="D156" s="283" t="s">
        <v>2010</v>
      </c>
      <c r="E156" s="270"/>
    </row>
    <row r="157" spans="1:21" x14ac:dyDescent="0.2">
      <c r="A157" s="279"/>
      <c r="B157" s="280"/>
      <c r="C157" s="270"/>
      <c r="D157" s="270"/>
      <c r="E157" s="281" t="s">
        <v>665</v>
      </c>
    </row>
    <row r="158" spans="1:21" x14ac:dyDescent="0.2">
      <c r="A158" s="279"/>
      <c r="B158" s="280"/>
      <c r="C158" s="270"/>
      <c r="D158" s="270"/>
      <c r="E158" s="281" t="s">
        <v>666</v>
      </c>
    </row>
    <row r="159" spans="1:21" x14ac:dyDescent="0.2">
      <c r="A159" s="279"/>
      <c r="B159" s="280"/>
      <c r="C159" s="270"/>
      <c r="D159" s="270"/>
      <c r="E159" s="281" t="s">
        <v>668</v>
      </c>
    </row>
    <row r="160" spans="1:21" x14ac:dyDescent="0.2">
      <c r="A160" s="277"/>
      <c r="B160" s="268"/>
      <c r="C160" s="269"/>
      <c r="D160" s="269" t="s">
        <v>669</v>
      </c>
      <c r="E160" s="278"/>
    </row>
    <row r="161" spans="1:19" x14ac:dyDescent="0.2">
      <c r="A161" s="279"/>
      <c r="B161" s="280"/>
      <c r="C161" s="270"/>
      <c r="D161" s="270"/>
      <c r="E161" s="281" t="s">
        <v>670</v>
      </c>
    </row>
    <row r="162" spans="1:19" x14ac:dyDescent="0.2">
      <c r="A162" s="279"/>
      <c r="B162" s="280"/>
      <c r="C162" s="270"/>
      <c r="D162" s="270"/>
      <c r="E162" s="281" t="s">
        <v>671</v>
      </c>
    </row>
    <row r="163" spans="1:19" x14ac:dyDescent="0.2">
      <c r="A163" s="279"/>
      <c r="B163" s="280"/>
      <c r="C163" s="270"/>
      <c r="D163" s="269" t="s">
        <v>672</v>
      </c>
      <c r="E163" s="281"/>
    </row>
    <row r="164" spans="1:19" x14ac:dyDescent="0.2">
      <c r="A164" s="279"/>
      <c r="B164" s="280"/>
      <c r="C164" s="270"/>
      <c r="D164" s="270"/>
      <c r="E164" s="281" t="s">
        <v>673</v>
      </c>
    </row>
    <row r="165" spans="1:19" x14ac:dyDescent="0.2">
      <c r="A165" s="279"/>
      <c r="B165" s="280"/>
      <c r="C165" s="270"/>
      <c r="D165" s="270"/>
      <c r="E165" s="281" t="s">
        <v>675</v>
      </c>
    </row>
    <row r="166" spans="1:19" x14ac:dyDescent="0.2">
      <c r="A166" s="279"/>
      <c r="B166" s="280"/>
      <c r="C166" s="270"/>
      <c r="D166" s="270"/>
      <c r="E166" s="281" t="s">
        <v>676</v>
      </c>
    </row>
    <row r="167" spans="1:19" x14ac:dyDescent="0.2">
      <c r="A167" s="279"/>
      <c r="B167" s="280"/>
      <c r="C167" s="270"/>
      <c r="D167" s="270"/>
      <c r="E167" s="281" t="s">
        <v>678</v>
      </c>
    </row>
    <row r="168" spans="1:19" x14ac:dyDescent="0.2">
      <c r="A168" s="279"/>
      <c r="B168" s="280"/>
      <c r="C168" s="270"/>
      <c r="D168" s="269" t="s">
        <v>680</v>
      </c>
      <c r="E168" s="281"/>
    </row>
    <row r="169" spans="1:19" x14ac:dyDescent="0.2">
      <c r="A169" s="279"/>
      <c r="B169" s="280"/>
      <c r="C169" s="270"/>
      <c r="D169" s="270"/>
      <c r="E169" s="281" t="s">
        <v>231</v>
      </c>
    </row>
    <row r="170" spans="1:19" x14ac:dyDescent="0.2">
      <c r="A170" s="279"/>
      <c r="B170" s="280"/>
      <c r="C170" s="270"/>
      <c r="D170" s="270"/>
      <c r="E170" s="281" t="s">
        <v>232</v>
      </c>
    </row>
    <row r="171" spans="1:19" x14ac:dyDescent="0.2">
      <c r="A171" s="277"/>
      <c r="B171" s="268"/>
      <c r="C171" s="269"/>
      <c r="D171" s="269" t="s">
        <v>682</v>
      </c>
      <c r="E171" s="278"/>
    </row>
    <row r="172" spans="1:19" x14ac:dyDescent="0.2">
      <c r="A172" s="279"/>
      <c r="B172" s="280"/>
      <c r="C172" s="270"/>
      <c r="D172" s="270"/>
      <c r="E172" s="281" t="s">
        <v>683</v>
      </c>
    </row>
    <row r="173" spans="1:19" x14ac:dyDescent="0.2">
      <c r="A173" s="279"/>
      <c r="B173" s="280"/>
      <c r="C173" s="270"/>
      <c r="D173" s="270"/>
      <c r="E173" s="281" t="s">
        <v>684</v>
      </c>
    </row>
    <row r="174" spans="1:19" x14ac:dyDescent="0.2">
      <c r="A174" s="279"/>
      <c r="B174" s="280"/>
      <c r="C174" s="270"/>
      <c r="D174" s="270"/>
      <c r="E174" s="281" t="s">
        <v>230</v>
      </c>
    </row>
    <row r="175" spans="1:19" x14ac:dyDescent="0.2">
      <c r="A175" s="279"/>
      <c r="B175" s="280"/>
      <c r="C175" s="270"/>
      <c r="D175" s="270"/>
      <c r="E175" s="281" t="s">
        <v>685</v>
      </c>
    </row>
    <row r="176" spans="1:19" x14ac:dyDescent="0.2">
      <c r="A176" s="279"/>
      <c r="B176" s="280"/>
      <c r="C176" s="270"/>
      <c r="D176" s="270"/>
      <c r="E176" s="281" t="s">
        <v>687</v>
      </c>
      <c r="O176" s="8">
        <f>'Sched. fin''l. Position'!F43</f>
        <v>0</v>
      </c>
      <c r="S176" s="27"/>
    </row>
    <row r="177" spans="1:21" x14ac:dyDescent="0.2">
      <c r="A177" s="279"/>
      <c r="B177" s="280"/>
      <c r="C177" s="270"/>
      <c r="D177" s="270"/>
      <c r="E177" s="281" t="s">
        <v>689</v>
      </c>
    </row>
    <row r="178" spans="1:21" x14ac:dyDescent="0.2">
      <c r="A178" s="277"/>
      <c r="B178" s="268"/>
      <c r="C178" s="269"/>
      <c r="D178" s="269" t="s">
        <v>691</v>
      </c>
      <c r="E178" s="278"/>
    </row>
    <row r="179" spans="1:21" x14ac:dyDescent="0.2">
      <c r="A179" s="279"/>
      <c r="B179" s="280"/>
      <c r="C179" s="270"/>
      <c r="D179" s="270"/>
      <c r="E179" s="281" t="s">
        <v>691</v>
      </c>
    </row>
    <row r="180" spans="1:21" x14ac:dyDescent="0.2">
      <c r="A180" s="279"/>
      <c r="B180" s="280"/>
      <c r="C180" s="270"/>
      <c r="D180" s="270"/>
      <c r="E180" s="281" t="s">
        <v>692</v>
      </c>
    </row>
    <row r="181" spans="1:21" x14ac:dyDescent="0.2">
      <c r="A181" s="277"/>
      <c r="B181" s="268"/>
      <c r="C181" s="269"/>
      <c r="D181" s="269" t="s">
        <v>178</v>
      </c>
      <c r="E181" s="278"/>
    </row>
    <row r="182" spans="1:21" x14ac:dyDescent="0.2">
      <c r="A182" s="279"/>
      <c r="B182" s="280"/>
      <c r="C182" s="270"/>
      <c r="D182" s="270"/>
      <c r="E182" s="281" t="s">
        <v>178</v>
      </c>
    </row>
    <row r="183" spans="1:21" ht="15" x14ac:dyDescent="0.35">
      <c r="A183" s="277"/>
      <c r="B183" s="268"/>
      <c r="C183" s="269"/>
      <c r="D183" s="269" t="s">
        <v>2006</v>
      </c>
      <c r="E183" s="278"/>
      <c r="Q183" s="304"/>
      <c r="S183" s="313">
        <f>SUM(O155:O183)</f>
        <v>0</v>
      </c>
      <c r="U183" s="310">
        <f>S183-'Stmt. of Fin''l. Position'!D19</f>
        <v>0</v>
      </c>
    </row>
    <row r="184" spans="1:21" ht="15.75" x14ac:dyDescent="0.25">
      <c r="A184" s="277"/>
      <c r="B184" s="268"/>
      <c r="C184" s="283" t="s">
        <v>1269</v>
      </c>
      <c r="D184" s="269"/>
      <c r="E184" s="278"/>
    </row>
    <row r="185" spans="1:21" x14ac:dyDescent="0.2">
      <c r="A185" s="277"/>
      <c r="B185" s="268"/>
      <c r="C185" s="269"/>
      <c r="D185" s="269" t="s">
        <v>694</v>
      </c>
      <c r="E185" s="278"/>
    </row>
    <row r="186" spans="1:21" x14ac:dyDescent="0.2">
      <c r="A186" s="279"/>
      <c r="B186" s="280"/>
      <c r="C186" s="270"/>
      <c r="D186" s="270"/>
      <c r="E186" s="281" t="s">
        <v>205</v>
      </c>
    </row>
    <row r="187" spans="1:21" x14ac:dyDescent="0.2">
      <c r="A187" s="279"/>
      <c r="B187" s="280"/>
      <c r="C187" s="270"/>
      <c r="D187" s="270"/>
      <c r="E187" s="281" t="s">
        <v>695</v>
      </c>
    </row>
    <row r="188" spans="1:21" x14ac:dyDescent="0.2">
      <c r="A188" s="279"/>
      <c r="B188" s="280"/>
      <c r="C188" s="270"/>
      <c r="D188" s="270"/>
      <c r="E188" s="281" t="s">
        <v>3</v>
      </c>
    </row>
    <row r="189" spans="1:21" x14ac:dyDescent="0.2">
      <c r="A189" s="279"/>
      <c r="B189" s="280"/>
      <c r="C189" s="270"/>
      <c r="D189" s="270"/>
      <c r="E189" s="281" t="s">
        <v>696</v>
      </c>
    </row>
    <row r="190" spans="1:21" x14ac:dyDescent="0.2">
      <c r="A190" s="279"/>
      <c r="B190" s="280"/>
      <c r="C190" s="270"/>
      <c r="D190" s="270"/>
      <c r="E190" s="281" t="s">
        <v>208</v>
      </c>
    </row>
    <row r="191" spans="1:21" x14ac:dyDescent="0.2">
      <c r="A191" s="279"/>
      <c r="B191" s="280"/>
      <c r="C191" s="270"/>
      <c r="D191" s="270"/>
      <c r="E191" s="281" t="s">
        <v>698</v>
      </c>
    </row>
    <row r="192" spans="1:21" x14ac:dyDescent="0.2">
      <c r="A192" s="279"/>
      <c r="B192" s="280"/>
      <c r="C192" s="270"/>
      <c r="D192" s="270"/>
      <c r="E192" s="281" t="s">
        <v>700</v>
      </c>
    </row>
    <row r="193" spans="1:5" x14ac:dyDescent="0.2">
      <c r="A193" s="279"/>
      <c r="B193" s="280"/>
      <c r="C193" s="270"/>
      <c r="D193" s="270"/>
      <c r="E193" s="281" t="s">
        <v>702</v>
      </c>
    </row>
    <row r="194" spans="1:5" x14ac:dyDescent="0.2">
      <c r="A194" s="279"/>
      <c r="B194" s="280"/>
      <c r="C194" s="270"/>
      <c r="D194" s="270"/>
      <c r="E194" s="281" t="s">
        <v>704</v>
      </c>
    </row>
    <row r="195" spans="1:5" x14ac:dyDescent="0.2">
      <c r="A195" s="279"/>
      <c r="B195" s="280"/>
      <c r="C195" s="270"/>
      <c r="D195" s="270"/>
      <c r="E195" s="281" t="s">
        <v>706</v>
      </c>
    </row>
    <row r="196" spans="1:5" x14ac:dyDescent="0.2">
      <c r="A196" s="279"/>
      <c r="B196" s="280"/>
      <c r="C196" s="270"/>
      <c r="D196" s="270"/>
      <c r="E196" s="281" t="s">
        <v>708</v>
      </c>
    </row>
    <row r="197" spans="1:5" x14ac:dyDescent="0.2">
      <c r="A197" s="279"/>
      <c r="B197" s="280"/>
      <c r="C197" s="270"/>
      <c r="D197" s="270"/>
      <c r="E197" s="281" t="s">
        <v>710</v>
      </c>
    </row>
    <row r="198" spans="1:5" x14ac:dyDescent="0.2">
      <c r="A198" s="279"/>
      <c r="B198" s="280"/>
      <c r="C198" s="270"/>
      <c r="D198" s="270"/>
      <c r="E198" s="281" t="s">
        <v>209</v>
      </c>
    </row>
    <row r="199" spans="1:5" x14ac:dyDescent="0.2">
      <c r="A199" s="279"/>
      <c r="B199" s="280"/>
      <c r="C199" s="270"/>
      <c r="D199" s="270"/>
      <c r="E199" s="281" t="s">
        <v>713</v>
      </c>
    </row>
    <row r="200" spans="1:5" x14ac:dyDescent="0.2">
      <c r="A200" s="279"/>
      <c r="B200" s="280"/>
      <c r="C200" s="270"/>
      <c r="D200" s="270"/>
      <c r="E200" s="281" t="s">
        <v>715</v>
      </c>
    </row>
    <row r="201" spans="1:5" x14ac:dyDescent="0.2">
      <c r="A201" s="279"/>
      <c r="B201" s="280"/>
      <c r="C201" s="270"/>
      <c r="D201" s="270"/>
      <c r="E201" s="281" t="s">
        <v>717</v>
      </c>
    </row>
    <row r="202" spans="1:5" x14ac:dyDescent="0.2">
      <c r="A202" s="279"/>
      <c r="B202" s="280"/>
      <c r="C202" s="270"/>
      <c r="D202" s="270"/>
      <c r="E202" s="281" t="s">
        <v>718</v>
      </c>
    </row>
    <row r="203" spans="1:5" x14ac:dyDescent="0.2">
      <c r="A203" s="279"/>
      <c r="B203" s="280"/>
      <c r="C203" s="270"/>
      <c r="D203" s="270"/>
      <c r="E203" s="281" t="s">
        <v>719</v>
      </c>
    </row>
    <row r="204" spans="1:5" x14ac:dyDescent="0.2">
      <c r="A204" s="277"/>
      <c r="B204" s="268"/>
      <c r="C204" s="269"/>
      <c r="D204" s="269" t="s">
        <v>720</v>
      </c>
      <c r="E204" s="278"/>
    </row>
    <row r="205" spans="1:5" x14ac:dyDescent="0.2">
      <c r="A205" s="279"/>
      <c r="B205" s="280"/>
      <c r="C205" s="270"/>
      <c r="D205" s="270"/>
      <c r="E205" s="281" t="s">
        <v>721</v>
      </c>
    </row>
    <row r="206" spans="1:5" x14ac:dyDescent="0.2">
      <c r="A206" s="279"/>
      <c r="B206" s="280"/>
      <c r="C206" s="270"/>
      <c r="D206" s="270"/>
      <c r="E206" s="281" t="s">
        <v>722</v>
      </c>
    </row>
    <row r="207" spans="1:5" x14ac:dyDescent="0.2">
      <c r="A207" s="279"/>
      <c r="B207" s="280"/>
      <c r="C207" s="270"/>
      <c r="D207" s="270"/>
      <c r="E207" s="281" t="s">
        <v>723</v>
      </c>
    </row>
    <row r="208" spans="1:5" x14ac:dyDescent="0.2">
      <c r="A208" s="279"/>
      <c r="B208" s="280"/>
      <c r="C208" s="270"/>
      <c r="D208" s="270"/>
      <c r="E208" s="281" t="s">
        <v>724</v>
      </c>
    </row>
    <row r="209" spans="1:15" x14ac:dyDescent="0.2">
      <c r="A209" s="277"/>
      <c r="B209" s="268"/>
      <c r="C209" s="269"/>
      <c r="D209" s="269" t="s">
        <v>725</v>
      </c>
      <c r="E209" s="278"/>
    </row>
    <row r="210" spans="1:15" x14ac:dyDescent="0.2">
      <c r="A210" s="279"/>
      <c r="B210" s="280"/>
      <c r="C210" s="270"/>
      <c r="D210" s="270"/>
      <c r="E210" s="281" t="s">
        <v>726</v>
      </c>
      <c r="O210" s="8">
        <f>'Sched. fin''l. Position'!F77</f>
        <v>0</v>
      </c>
    </row>
    <row r="211" spans="1:15" x14ac:dyDescent="0.2">
      <c r="A211" s="279"/>
      <c r="B211" s="280"/>
      <c r="C211" s="270"/>
      <c r="D211" s="270"/>
      <c r="E211" s="281" t="s">
        <v>727</v>
      </c>
    </row>
    <row r="212" spans="1:15" x14ac:dyDescent="0.2">
      <c r="A212" s="279"/>
      <c r="B212" s="280"/>
      <c r="C212" s="270"/>
      <c r="D212" s="270"/>
      <c r="E212" s="281" t="s">
        <v>728</v>
      </c>
      <c r="O212" s="8">
        <f>'Sched. fin''l. Position'!F79</f>
        <v>0</v>
      </c>
    </row>
    <row r="213" spans="1:15" x14ac:dyDescent="0.2">
      <c r="A213" s="279"/>
      <c r="B213" s="280"/>
      <c r="C213" s="270"/>
      <c r="D213" s="270"/>
      <c r="E213" s="281" t="s">
        <v>729</v>
      </c>
    </row>
    <row r="214" spans="1:15" x14ac:dyDescent="0.2">
      <c r="A214" s="279"/>
      <c r="B214" s="280"/>
      <c r="C214" s="270"/>
      <c r="D214" s="270"/>
      <c r="E214" s="281" t="s">
        <v>730</v>
      </c>
      <c r="O214" s="8">
        <f>'Sched. fin''l. Position'!F81</f>
        <v>0</v>
      </c>
    </row>
    <row r="215" spans="1:15" x14ac:dyDescent="0.2">
      <c r="A215" s="279"/>
      <c r="B215" s="280"/>
      <c r="C215" s="270"/>
      <c r="D215" s="270"/>
      <c r="E215" s="281" t="s">
        <v>731</v>
      </c>
    </row>
    <row r="216" spans="1:15" x14ac:dyDescent="0.2">
      <c r="A216" s="279"/>
      <c r="B216" s="280"/>
      <c r="C216" s="270"/>
      <c r="D216" s="270"/>
      <c r="E216" s="281" t="s">
        <v>732</v>
      </c>
    </row>
    <row r="217" spans="1:15" x14ac:dyDescent="0.2">
      <c r="A217" s="279"/>
      <c r="B217" s="280"/>
      <c r="C217" s="270"/>
      <c r="D217" s="270"/>
      <c r="E217" s="281" t="s">
        <v>733</v>
      </c>
      <c r="O217" s="4"/>
    </row>
    <row r="218" spans="1:15" x14ac:dyDescent="0.2">
      <c r="A218" s="277"/>
      <c r="B218" s="268"/>
      <c r="C218" s="269"/>
      <c r="D218" s="269" t="s">
        <v>734</v>
      </c>
      <c r="E218" s="278"/>
      <c r="O218" s="4"/>
    </row>
    <row r="219" spans="1:15" x14ac:dyDescent="0.2">
      <c r="A219" s="279"/>
      <c r="B219" s="280"/>
      <c r="C219" s="270"/>
      <c r="D219" s="270"/>
      <c r="E219" s="281" t="s">
        <v>165</v>
      </c>
    </row>
    <row r="220" spans="1:15" x14ac:dyDescent="0.2">
      <c r="A220" s="279"/>
      <c r="B220" s="280"/>
      <c r="C220" s="270"/>
      <c r="D220" s="270"/>
      <c r="E220" s="281" t="s">
        <v>735</v>
      </c>
    </row>
    <row r="221" spans="1:15" x14ac:dyDescent="0.2">
      <c r="A221" s="279"/>
      <c r="B221" s="280"/>
      <c r="C221" s="270"/>
      <c r="D221" s="270"/>
      <c r="E221" s="281" t="s">
        <v>736</v>
      </c>
    </row>
    <row r="222" spans="1:15" x14ac:dyDescent="0.2">
      <c r="A222" s="279"/>
      <c r="B222" s="280"/>
      <c r="C222" s="270"/>
      <c r="D222" s="269" t="s">
        <v>737</v>
      </c>
      <c r="E222" s="281"/>
    </row>
    <row r="223" spans="1:15" x14ac:dyDescent="0.2">
      <c r="A223" s="279"/>
      <c r="B223" s="280"/>
      <c r="C223" s="270"/>
      <c r="D223" s="270"/>
      <c r="E223" s="281" t="s">
        <v>738</v>
      </c>
    </row>
    <row r="224" spans="1:15" x14ac:dyDescent="0.2">
      <c r="A224" s="279"/>
      <c r="B224" s="280"/>
      <c r="C224" s="270"/>
      <c r="D224" s="270"/>
      <c r="E224" s="281" t="s">
        <v>739</v>
      </c>
    </row>
    <row r="225" spans="1:21" x14ac:dyDescent="0.2">
      <c r="A225" s="279"/>
      <c r="B225" s="280"/>
      <c r="C225" s="270"/>
      <c r="D225" s="270"/>
      <c r="E225" s="281" t="s">
        <v>740</v>
      </c>
    </row>
    <row r="226" spans="1:21" x14ac:dyDescent="0.2">
      <c r="A226" s="279"/>
      <c r="B226" s="280"/>
      <c r="C226" s="270"/>
      <c r="D226" s="270"/>
      <c r="E226" s="281" t="s">
        <v>741</v>
      </c>
      <c r="O226" s="4"/>
    </row>
    <row r="227" spans="1:21" x14ac:dyDescent="0.2">
      <c r="A227" s="279"/>
      <c r="B227" s="280"/>
      <c r="C227" s="270"/>
      <c r="D227" s="269" t="s">
        <v>742</v>
      </c>
      <c r="E227" s="281"/>
    </row>
    <row r="228" spans="1:21" x14ac:dyDescent="0.2">
      <c r="A228" s="279"/>
      <c r="B228" s="280"/>
      <c r="C228" s="270"/>
      <c r="D228" s="270"/>
      <c r="E228" s="281" t="s">
        <v>743</v>
      </c>
      <c r="O228" s="4"/>
    </row>
    <row r="229" spans="1:21" x14ac:dyDescent="0.2">
      <c r="A229" s="279"/>
      <c r="B229" s="280"/>
      <c r="C229" s="270"/>
      <c r="D229" s="270"/>
      <c r="E229" s="281" t="s">
        <v>744</v>
      </c>
      <c r="O229" s="4"/>
    </row>
    <row r="230" spans="1:21" x14ac:dyDescent="0.2">
      <c r="A230" s="279"/>
      <c r="B230" s="280"/>
      <c r="C230" s="270"/>
      <c r="D230" s="270"/>
      <c r="E230" s="281" t="s">
        <v>207</v>
      </c>
      <c r="O230" s="4"/>
    </row>
    <row r="231" spans="1:21" x14ac:dyDescent="0.2">
      <c r="A231" s="279"/>
      <c r="B231" s="280"/>
      <c r="C231" s="270"/>
      <c r="D231" s="270"/>
      <c r="E231" s="281" t="s">
        <v>745</v>
      </c>
      <c r="O231" s="4"/>
    </row>
    <row r="232" spans="1:21" x14ac:dyDescent="0.2">
      <c r="A232" s="279"/>
      <c r="B232" s="280"/>
      <c r="C232" s="270"/>
      <c r="D232" s="270"/>
      <c r="E232" s="281" t="s">
        <v>746</v>
      </c>
      <c r="O232" s="4"/>
    </row>
    <row r="233" spans="1:21" x14ac:dyDescent="0.2">
      <c r="A233" s="279"/>
      <c r="B233" s="280"/>
      <c r="C233" s="270"/>
      <c r="D233" s="270"/>
      <c r="E233" s="281" t="s">
        <v>747</v>
      </c>
      <c r="O233" s="4"/>
    </row>
    <row r="234" spans="1:21" x14ac:dyDescent="0.2">
      <c r="A234" s="279"/>
      <c r="B234" s="280"/>
      <c r="C234" s="270"/>
      <c r="D234" s="270"/>
      <c r="E234" s="281" t="s">
        <v>56</v>
      </c>
      <c r="O234" s="4">
        <f>'Sched. fin''l. Position'!F101</f>
        <v>0</v>
      </c>
      <c r="S234" s="27"/>
    </row>
    <row r="235" spans="1:21" x14ac:dyDescent="0.2">
      <c r="A235" s="279"/>
      <c r="B235" s="280"/>
      <c r="C235" s="270"/>
      <c r="D235" s="270"/>
      <c r="E235" s="281" t="s">
        <v>748</v>
      </c>
      <c r="O235" s="4"/>
      <c r="Q235" s="4"/>
      <c r="S235" s="27"/>
    </row>
    <row r="236" spans="1:21" ht="15" x14ac:dyDescent="0.35">
      <c r="A236" s="277"/>
      <c r="B236" s="268"/>
      <c r="C236" s="269"/>
      <c r="D236" s="269" t="s">
        <v>120</v>
      </c>
      <c r="E236" s="278"/>
      <c r="Q236" s="304"/>
      <c r="S236" s="313">
        <f>SUM(O185:O236)</f>
        <v>0</v>
      </c>
      <c r="U236" s="310">
        <f>S236-'Stmt. of Fin''l. Position'!D20</f>
        <v>0</v>
      </c>
    </row>
    <row r="237" spans="1:21" x14ac:dyDescent="0.2">
      <c r="A237" s="277"/>
      <c r="B237" s="268"/>
      <c r="C237" s="269" t="s">
        <v>1272</v>
      </c>
      <c r="D237" s="269"/>
      <c r="E237" s="278"/>
    </row>
    <row r="238" spans="1:21" ht="15" x14ac:dyDescent="0.25">
      <c r="A238" s="277"/>
      <c r="B238" s="268"/>
      <c r="C238" s="269"/>
      <c r="D238" s="286" t="s">
        <v>782</v>
      </c>
      <c r="E238" s="278"/>
    </row>
    <row r="239" spans="1:21" x14ac:dyDescent="0.2">
      <c r="A239" s="277"/>
      <c r="B239" s="268"/>
      <c r="C239" s="269"/>
      <c r="D239" s="269"/>
      <c r="E239" s="281" t="s">
        <v>783</v>
      </c>
    </row>
    <row r="240" spans="1:21" x14ac:dyDescent="0.2">
      <c r="A240" s="279"/>
      <c r="B240" s="280"/>
      <c r="C240" s="270"/>
      <c r="D240" s="270"/>
      <c r="E240" s="281" t="s">
        <v>784</v>
      </c>
    </row>
    <row r="241" spans="1:21" x14ac:dyDescent="0.2">
      <c r="A241" s="279"/>
      <c r="B241" s="280"/>
      <c r="C241" s="270"/>
      <c r="D241" s="270"/>
      <c r="E241" s="281" t="s">
        <v>785</v>
      </c>
    </row>
    <row r="242" spans="1:21" x14ac:dyDescent="0.2">
      <c r="A242" s="279"/>
      <c r="B242" s="280"/>
      <c r="C242" s="270"/>
      <c r="D242" s="270"/>
      <c r="E242" s="281" t="s">
        <v>786</v>
      </c>
    </row>
    <row r="243" spans="1:21" x14ac:dyDescent="0.2">
      <c r="A243" s="279"/>
      <c r="B243" s="280"/>
      <c r="C243" s="270"/>
      <c r="D243" s="270"/>
      <c r="E243" s="281" t="s">
        <v>788</v>
      </c>
    </row>
    <row r="244" spans="1:21" x14ac:dyDescent="0.2">
      <c r="A244" s="279"/>
      <c r="B244" s="280"/>
      <c r="C244" s="270"/>
      <c r="D244" s="270"/>
      <c r="E244" s="281" t="s">
        <v>789</v>
      </c>
      <c r="O244" s="8">
        <f>'Sched. fin''l. Position'!F156</f>
        <v>0</v>
      </c>
    </row>
    <row r="245" spans="1:21" ht="15" x14ac:dyDescent="0.35">
      <c r="A245" s="277"/>
      <c r="B245" s="268"/>
      <c r="C245" s="269"/>
      <c r="D245" s="269" t="s">
        <v>2011</v>
      </c>
      <c r="E245" s="278"/>
      <c r="Q245" s="314"/>
      <c r="R245" s="307"/>
      <c r="S245" s="313">
        <f>SUM(O238:O245)</f>
        <v>0</v>
      </c>
      <c r="U245" s="310">
        <f>S245-'Stmt. of Fin''l. Position'!D21</f>
        <v>0</v>
      </c>
    </row>
    <row r="246" spans="1:21" x14ac:dyDescent="0.2">
      <c r="A246" s="287"/>
      <c r="B246" s="268"/>
      <c r="C246" s="268" t="s">
        <v>1273</v>
      </c>
      <c r="D246" s="269"/>
      <c r="E246" s="278"/>
      <c r="Q246" s="310"/>
      <c r="R246" s="307"/>
      <c r="S246" s="315"/>
    </row>
    <row r="247" spans="1:21" x14ac:dyDescent="0.2">
      <c r="A247" s="277"/>
      <c r="B247" s="268"/>
      <c r="C247" s="269"/>
      <c r="D247" s="269" t="s">
        <v>8</v>
      </c>
      <c r="E247" s="278"/>
    </row>
    <row r="248" spans="1:21" x14ac:dyDescent="0.2">
      <c r="A248" s="279"/>
      <c r="B248" s="280"/>
      <c r="C248" s="270"/>
      <c r="D248" s="282"/>
      <c r="E248" s="270" t="s">
        <v>8</v>
      </c>
      <c r="O248" s="8">
        <f>'Sched. fin''l. Position'!F160</f>
        <v>0</v>
      </c>
    </row>
    <row r="249" spans="1:21" x14ac:dyDescent="0.2">
      <c r="A249" s="279"/>
      <c r="B249" s="280"/>
      <c r="C249" s="270"/>
      <c r="D249" s="270"/>
      <c r="E249" s="270" t="s">
        <v>790</v>
      </c>
    </row>
    <row r="250" spans="1:21" x14ac:dyDescent="0.2">
      <c r="A250" s="279"/>
      <c r="B250" s="280"/>
      <c r="C250" s="270"/>
      <c r="D250" s="269" t="s">
        <v>99</v>
      </c>
      <c r="E250" s="281"/>
    </row>
    <row r="251" spans="1:21" x14ac:dyDescent="0.2">
      <c r="A251" s="279"/>
      <c r="B251" s="280"/>
      <c r="C251" s="270"/>
      <c r="D251" s="269"/>
      <c r="E251" s="270" t="s">
        <v>791</v>
      </c>
      <c r="O251" s="8">
        <f>'Sched. fin''l. Position'!F163</f>
        <v>0</v>
      </c>
    </row>
    <row r="252" spans="1:21" x14ac:dyDescent="0.2">
      <c r="A252" s="279"/>
      <c r="B252" s="280"/>
      <c r="C252" s="270"/>
      <c r="D252" s="269"/>
      <c r="E252" s="270" t="s">
        <v>792</v>
      </c>
    </row>
    <row r="253" spans="1:21" x14ac:dyDescent="0.2">
      <c r="A253" s="279"/>
      <c r="B253" s="280"/>
      <c r="C253" s="270"/>
      <c r="D253" s="269"/>
      <c r="E253" s="270" t="s">
        <v>794</v>
      </c>
    </row>
    <row r="254" spans="1:21" x14ac:dyDescent="0.2">
      <c r="A254" s="279"/>
      <c r="B254" s="280"/>
      <c r="C254" s="270"/>
      <c r="D254" s="269"/>
      <c r="E254" s="270" t="s">
        <v>795</v>
      </c>
    </row>
    <row r="255" spans="1:21" x14ac:dyDescent="0.2">
      <c r="A255" s="279"/>
      <c r="B255" s="280"/>
      <c r="C255" s="270"/>
      <c r="D255" s="269"/>
      <c r="E255" s="270" t="s">
        <v>796</v>
      </c>
    </row>
    <row r="256" spans="1:21" x14ac:dyDescent="0.2">
      <c r="A256" s="279"/>
      <c r="B256" s="280"/>
      <c r="C256" s="270"/>
      <c r="D256" s="270"/>
      <c r="E256" s="270" t="s">
        <v>798</v>
      </c>
    </row>
    <row r="257" spans="1:17" x14ac:dyDescent="0.2">
      <c r="A257" s="279"/>
      <c r="B257" s="280"/>
      <c r="C257" s="270"/>
      <c r="D257" s="269" t="s">
        <v>799</v>
      </c>
      <c r="E257" s="270"/>
    </row>
    <row r="258" spans="1:17" x14ac:dyDescent="0.2">
      <c r="A258" s="279"/>
      <c r="B258" s="280"/>
      <c r="C258" s="270"/>
      <c r="D258" s="270"/>
      <c r="E258" s="270" t="s">
        <v>800</v>
      </c>
      <c r="O258" s="8">
        <f>'Sched. fin''l. Position'!F170</f>
        <v>0</v>
      </c>
    </row>
    <row r="259" spans="1:17" x14ac:dyDescent="0.2">
      <c r="A259" s="279"/>
      <c r="B259" s="280"/>
      <c r="C259" s="270"/>
      <c r="D259" s="270"/>
      <c r="E259" s="270" t="s">
        <v>801</v>
      </c>
    </row>
    <row r="260" spans="1:17" x14ac:dyDescent="0.2">
      <c r="A260" s="279"/>
      <c r="B260" s="280"/>
      <c r="C260" s="270"/>
      <c r="D260" s="270"/>
      <c r="E260" s="270" t="s">
        <v>802</v>
      </c>
    </row>
    <row r="261" spans="1:17" x14ac:dyDescent="0.2">
      <c r="A261" s="279"/>
      <c r="B261" s="280"/>
      <c r="C261" s="270"/>
      <c r="D261" s="270"/>
      <c r="E261" s="270" t="s">
        <v>803</v>
      </c>
      <c r="O261" s="8">
        <f>'Sched. fin''l. Position'!F173</f>
        <v>0</v>
      </c>
    </row>
    <row r="262" spans="1:17" x14ac:dyDescent="0.2">
      <c r="A262" s="279"/>
      <c r="B262" s="280"/>
      <c r="C262" s="270"/>
      <c r="D262" s="270"/>
      <c r="E262" s="270" t="s">
        <v>804</v>
      </c>
    </row>
    <row r="263" spans="1:17" x14ac:dyDescent="0.2">
      <c r="A263" s="279"/>
      <c r="B263" s="280"/>
      <c r="C263" s="270"/>
      <c r="D263" s="270"/>
      <c r="E263" s="270" t="s">
        <v>805</v>
      </c>
    </row>
    <row r="264" spans="1:17" x14ac:dyDescent="0.2">
      <c r="A264" s="279"/>
      <c r="B264" s="280"/>
      <c r="C264" s="270"/>
      <c r="D264" s="270"/>
      <c r="E264" s="270" t="s">
        <v>806</v>
      </c>
    </row>
    <row r="265" spans="1:17" x14ac:dyDescent="0.2">
      <c r="A265" s="279"/>
      <c r="B265" s="280"/>
      <c r="C265" s="270"/>
      <c r="D265" s="270"/>
      <c r="E265" s="270" t="s">
        <v>807</v>
      </c>
    </row>
    <row r="266" spans="1:17" x14ac:dyDescent="0.2">
      <c r="A266" s="279"/>
      <c r="B266" s="280"/>
      <c r="C266" s="270"/>
      <c r="D266" s="270"/>
      <c r="E266" s="270" t="s">
        <v>809</v>
      </c>
    </row>
    <row r="267" spans="1:17" x14ac:dyDescent="0.2">
      <c r="A267" s="279"/>
      <c r="B267" s="280"/>
      <c r="C267" s="270"/>
      <c r="D267" s="270"/>
      <c r="E267" s="270" t="s">
        <v>810</v>
      </c>
      <c r="O267" s="8">
        <f>'Sched. fin''l. Position'!F179</f>
        <v>0</v>
      </c>
    </row>
    <row r="268" spans="1:17" x14ac:dyDescent="0.2">
      <c r="A268" s="279"/>
      <c r="B268" s="280"/>
      <c r="C268" s="270"/>
      <c r="D268" s="270"/>
      <c r="E268" s="270" t="s">
        <v>811</v>
      </c>
    </row>
    <row r="269" spans="1:17" x14ac:dyDescent="0.2">
      <c r="A269" s="279"/>
      <c r="B269" s="280"/>
      <c r="C269" s="270"/>
      <c r="D269" s="270"/>
      <c r="E269" s="270" t="s">
        <v>813</v>
      </c>
    </row>
    <row r="270" spans="1:17" x14ac:dyDescent="0.2">
      <c r="A270" s="279"/>
      <c r="B270" s="280"/>
      <c r="C270" s="270"/>
      <c r="D270" s="270"/>
      <c r="E270" s="270" t="s">
        <v>814</v>
      </c>
      <c r="O270" s="288">
        <f>'Sched. fin''l. Position'!F182</f>
        <v>0</v>
      </c>
    </row>
    <row r="271" spans="1:17" x14ac:dyDescent="0.2">
      <c r="A271" s="279"/>
      <c r="B271" s="280"/>
      <c r="C271" s="270"/>
      <c r="D271" s="270"/>
      <c r="E271" s="270" t="s">
        <v>815</v>
      </c>
      <c r="O271" s="288"/>
      <c r="Q271" s="8">
        <f>'Sched. fin''l. Position'!F183</f>
        <v>0</v>
      </c>
    </row>
    <row r="272" spans="1:17" x14ac:dyDescent="0.2">
      <c r="A272" s="279"/>
      <c r="B272" s="280"/>
      <c r="C272" s="270"/>
      <c r="D272" s="270"/>
      <c r="E272" s="270" t="s">
        <v>817</v>
      </c>
      <c r="O272" s="4"/>
    </row>
    <row r="273" spans="1:5" x14ac:dyDescent="0.2">
      <c r="A273" s="279"/>
      <c r="B273" s="280"/>
      <c r="C273" s="270"/>
      <c r="D273" s="270"/>
      <c r="E273" s="270" t="s">
        <v>818</v>
      </c>
    </row>
    <row r="274" spans="1:5" x14ac:dyDescent="0.2">
      <c r="A274" s="279"/>
      <c r="B274" s="280"/>
      <c r="C274" s="270"/>
      <c r="D274" s="270"/>
      <c r="E274" s="270" t="s">
        <v>819</v>
      </c>
    </row>
    <row r="275" spans="1:5" x14ac:dyDescent="0.2">
      <c r="A275" s="279"/>
      <c r="B275" s="280"/>
      <c r="C275" s="270"/>
      <c r="D275" s="270"/>
      <c r="E275" s="270" t="s">
        <v>821</v>
      </c>
    </row>
    <row r="276" spans="1:5" x14ac:dyDescent="0.2">
      <c r="A276" s="279"/>
      <c r="B276" s="280"/>
      <c r="C276" s="270"/>
      <c r="D276" s="270"/>
      <c r="E276" s="270" t="s">
        <v>822</v>
      </c>
    </row>
    <row r="277" spans="1:5" x14ac:dyDescent="0.2">
      <c r="A277" s="279"/>
      <c r="B277" s="280"/>
      <c r="C277" s="270"/>
      <c r="D277" s="270"/>
      <c r="E277" s="270" t="s">
        <v>823</v>
      </c>
    </row>
    <row r="278" spans="1:5" x14ac:dyDescent="0.2">
      <c r="A278" s="279"/>
      <c r="B278" s="280"/>
      <c r="C278" s="270"/>
      <c r="D278" s="270"/>
      <c r="E278" s="270" t="s">
        <v>825</v>
      </c>
    </row>
    <row r="279" spans="1:5" x14ac:dyDescent="0.2">
      <c r="A279" s="279"/>
      <c r="B279" s="280"/>
      <c r="C279" s="270"/>
      <c r="D279" s="270"/>
      <c r="E279" s="270" t="s">
        <v>826</v>
      </c>
    </row>
    <row r="280" spans="1:5" x14ac:dyDescent="0.2">
      <c r="A280" s="279"/>
      <c r="B280" s="280"/>
      <c r="C280" s="270"/>
      <c r="D280" s="270"/>
      <c r="E280" s="270" t="s">
        <v>827</v>
      </c>
    </row>
    <row r="281" spans="1:5" x14ac:dyDescent="0.2">
      <c r="A281" s="279"/>
      <c r="B281" s="280"/>
      <c r="C281" s="270"/>
      <c r="D281" s="270"/>
      <c r="E281" s="270" t="s">
        <v>829</v>
      </c>
    </row>
    <row r="282" spans="1:5" x14ac:dyDescent="0.2">
      <c r="A282" s="279"/>
      <c r="B282" s="280"/>
      <c r="C282" s="270"/>
      <c r="D282" s="270"/>
      <c r="E282" s="270" t="s">
        <v>242</v>
      </c>
    </row>
    <row r="283" spans="1:5" x14ac:dyDescent="0.2">
      <c r="A283" s="279"/>
      <c r="B283" s="280"/>
      <c r="C283" s="270"/>
      <c r="D283" s="270"/>
      <c r="E283" s="270" t="s">
        <v>831</v>
      </c>
    </row>
    <row r="284" spans="1:5" x14ac:dyDescent="0.2">
      <c r="A284" s="279"/>
      <c r="B284" s="280"/>
      <c r="C284" s="270"/>
      <c r="D284" s="270"/>
      <c r="E284" s="270" t="s">
        <v>833</v>
      </c>
    </row>
    <row r="285" spans="1:5" x14ac:dyDescent="0.2">
      <c r="A285" s="279"/>
      <c r="B285" s="280"/>
      <c r="C285" s="270"/>
      <c r="D285" s="270"/>
      <c r="E285" s="270" t="s">
        <v>834</v>
      </c>
    </row>
    <row r="286" spans="1:5" x14ac:dyDescent="0.2">
      <c r="A286" s="279"/>
      <c r="B286" s="280"/>
      <c r="C286" s="270"/>
      <c r="D286" s="270"/>
      <c r="E286" s="270" t="s">
        <v>835</v>
      </c>
    </row>
    <row r="287" spans="1:5" x14ac:dyDescent="0.2">
      <c r="A287" s="279"/>
      <c r="B287" s="280"/>
      <c r="C287" s="270"/>
      <c r="D287" s="270"/>
      <c r="E287" s="270" t="s">
        <v>836</v>
      </c>
    </row>
    <row r="288" spans="1:5" ht="15" x14ac:dyDescent="0.25">
      <c r="A288" s="277"/>
      <c r="B288" s="268"/>
      <c r="C288" s="287"/>
      <c r="D288" s="177" t="s">
        <v>837</v>
      </c>
      <c r="E288" s="278"/>
    </row>
    <row r="289" spans="1:15" x14ac:dyDescent="0.2">
      <c r="A289" s="279"/>
      <c r="B289" s="280"/>
      <c r="C289" s="270"/>
      <c r="D289" s="270"/>
      <c r="E289" s="270" t="s">
        <v>89</v>
      </c>
      <c r="O289" s="8">
        <f>'Sched. fin''l. Position'!F201</f>
        <v>0</v>
      </c>
    </row>
    <row r="290" spans="1:15" x14ac:dyDescent="0.2">
      <c r="A290" s="279"/>
      <c r="B290" s="280"/>
      <c r="C290" s="270"/>
      <c r="D290" s="270"/>
      <c r="E290" s="270" t="s">
        <v>838</v>
      </c>
    </row>
    <row r="291" spans="1:15" x14ac:dyDescent="0.2">
      <c r="A291" s="279"/>
      <c r="B291" s="280"/>
      <c r="C291" s="270"/>
      <c r="D291" s="270"/>
      <c r="E291" s="270" t="s">
        <v>839</v>
      </c>
    </row>
    <row r="292" spans="1:15" x14ac:dyDescent="0.2">
      <c r="A292" s="279"/>
      <c r="B292" s="280"/>
      <c r="C292" s="270"/>
      <c r="D292" s="270"/>
      <c r="E292" s="270" t="s">
        <v>840</v>
      </c>
      <c r="O292" s="8">
        <f>'Sched. fin''l. Position'!F204</f>
        <v>0</v>
      </c>
    </row>
    <row r="293" spans="1:15" x14ac:dyDescent="0.2">
      <c r="A293" s="279"/>
      <c r="B293" s="280"/>
      <c r="C293" s="270"/>
      <c r="D293" s="270"/>
      <c r="E293" s="270" t="s">
        <v>841</v>
      </c>
    </row>
    <row r="294" spans="1:15" x14ac:dyDescent="0.2">
      <c r="A294" s="279"/>
      <c r="B294" s="280"/>
      <c r="C294" s="270"/>
      <c r="D294" s="270"/>
      <c r="E294" s="270" t="s">
        <v>842</v>
      </c>
    </row>
    <row r="295" spans="1:15" x14ac:dyDescent="0.2">
      <c r="A295" s="279"/>
      <c r="B295" s="280"/>
      <c r="C295" s="270"/>
      <c r="D295" s="270"/>
      <c r="E295" s="270" t="s">
        <v>234</v>
      </c>
    </row>
    <row r="296" spans="1:15" x14ac:dyDescent="0.2">
      <c r="A296" s="279"/>
      <c r="B296" s="280"/>
      <c r="C296" s="270"/>
      <c r="D296" s="270"/>
      <c r="E296" s="270" t="s">
        <v>843</v>
      </c>
    </row>
    <row r="297" spans="1:15" x14ac:dyDescent="0.2">
      <c r="A297" s="279"/>
      <c r="B297" s="280"/>
      <c r="C297" s="270"/>
      <c r="D297" s="270"/>
      <c r="E297" s="270" t="s">
        <v>844</v>
      </c>
    </row>
    <row r="298" spans="1:15" x14ac:dyDescent="0.2">
      <c r="A298" s="279"/>
      <c r="B298" s="280"/>
      <c r="C298" s="270"/>
      <c r="D298" s="270"/>
      <c r="E298" s="270" t="s">
        <v>845</v>
      </c>
      <c r="O298" s="8">
        <f>'Sched. fin''l. Position'!F210</f>
        <v>0</v>
      </c>
    </row>
    <row r="299" spans="1:15" x14ac:dyDescent="0.2">
      <c r="A299" s="279"/>
      <c r="B299" s="280"/>
      <c r="C299" s="270"/>
      <c r="D299" s="270"/>
      <c r="E299" s="270" t="s">
        <v>846</v>
      </c>
    </row>
    <row r="300" spans="1:15" x14ac:dyDescent="0.2">
      <c r="A300" s="279"/>
      <c r="B300" s="280"/>
      <c r="C300" s="270"/>
      <c r="D300" s="270"/>
      <c r="E300" s="270" t="s">
        <v>847</v>
      </c>
    </row>
    <row r="301" spans="1:15" x14ac:dyDescent="0.2">
      <c r="A301" s="279"/>
      <c r="B301" s="280"/>
      <c r="C301" s="270"/>
      <c r="D301" s="270"/>
      <c r="E301" s="270" t="s">
        <v>76</v>
      </c>
      <c r="O301" s="8">
        <f>'Sched. fin''l. Position'!F213</f>
        <v>0</v>
      </c>
    </row>
    <row r="302" spans="1:15" x14ac:dyDescent="0.2">
      <c r="A302" s="279"/>
      <c r="B302" s="280"/>
      <c r="C302" s="270"/>
      <c r="D302" s="270"/>
      <c r="E302" s="270" t="s">
        <v>848</v>
      </c>
    </row>
    <row r="303" spans="1:15" x14ac:dyDescent="0.2">
      <c r="A303" s="279"/>
      <c r="B303" s="280"/>
      <c r="C303" s="270"/>
      <c r="D303" s="270"/>
      <c r="E303" s="270" t="s">
        <v>849</v>
      </c>
    </row>
    <row r="304" spans="1:15" x14ac:dyDescent="0.2">
      <c r="A304" s="279"/>
      <c r="B304" s="280"/>
      <c r="C304" s="270"/>
      <c r="D304" s="270"/>
      <c r="E304" s="270" t="s">
        <v>850</v>
      </c>
    </row>
    <row r="305" spans="1:17" x14ac:dyDescent="0.2">
      <c r="A305" s="279"/>
      <c r="B305" s="280"/>
      <c r="C305" s="270"/>
      <c r="D305" s="270"/>
      <c r="E305" s="270" t="s">
        <v>851</v>
      </c>
    </row>
    <row r="306" spans="1:17" x14ac:dyDescent="0.2">
      <c r="A306" s="279"/>
      <c r="B306" s="280"/>
      <c r="C306" s="270"/>
      <c r="D306" s="270"/>
      <c r="E306" s="270" t="s">
        <v>852</v>
      </c>
    </row>
    <row r="307" spans="1:17" x14ac:dyDescent="0.2">
      <c r="A307" s="279"/>
      <c r="B307" s="280"/>
      <c r="C307" s="270"/>
      <c r="D307" s="270"/>
      <c r="E307" s="270" t="s">
        <v>235</v>
      </c>
      <c r="O307" s="8">
        <f>'Sched. fin''l. Position'!F219</f>
        <v>0</v>
      </c>
    </row>
    <row r="308" spans="1:17" x14ac:dyDescent="0.2">
      <c r="A308" s="279"/>
      <c r="B308" s="280"/>
      <c r="C308" s="270"/>
      <c r="D308" s="270"/>
      <c r="E308" s="270" t="s">
        <v>853</v>
      </c>
    </row>
    <row r="309" spans="1:17" x14ac:dyDescent="0.2">
      <c r="A309" s="279"/>
      <c r="B309" s="280"/>
      <c r="C309" s="270"/>
      <c r="D309" s="270"/>
      <c r="E309" s="270" t="s">
        <v>854</v>
      </c>
    </row>
    <row r="310" spans="1:17" x14ac:dyDescent="0.2">
      <c r="A310" s="277"/>
      <c r="B310" s="268"/>
      <c r="C310" s="287"/>
      <c r="D310" s="269" t="s">
        <v>855</v>
      </c>
      <c r="E310" s="278"/>
    </row>
    <row r="311" spans="1:17" x14ac:dyDescent="0.2">
      <c r="A311" s="277"/>
      <c r="B311" s="268"/>
      <c r="C311" s="269"/>
      <c r="D311" s="269"/>
      <c r="E311" s="281" t="s">
        <v>153</v>
      </c>
      <c r="O311" s="8">
        <f>'Sched. fin''l. Position'!F223</f>
        <v>0</v>
      </c>
    </row>
    <row r="312" spans="1:17" x14ac:dyDescent="0.2">
      <c r="A312" s="277"/>
      <c r="B312" s="268"/>
      <c r="C312" s="269"/>
      <c r="D312" s="269"/>
      <c r="E312" s="281" t="s">
        <v>856</v>
      </c>
      <c r="O312" s="4"/>
      <c r="Q312" s="8">
        <f>'Sched. fin''l. Position'!F224</f>
        <v>0</v>
      </c>
    </row>
    <row r="313" spans="1:17" x14ac:dyDescent="0.2">
      <c r="A313" s="277"/>
      <c r="B313" s="268"/>
      <c r="C313" s="269"/>
      <c r="D313" s="269"/>
      <c r="E313" s="281" t="s">
        <v>857</v>
      </c>
      <c r="O313" s="4"/>
    </row>
    <row r="314" spans="1:17" x14ac:dyDescent="0.2">
      <c r="A314" s="277"/>
      <c r="B314" s="268"/>
      <c r="C314" s="269"/>
      <c r="D314" s="269"/>
      <c r="E314" s="281" t="s">
        <v>9</v>
      </c>
      <c r="O314" s="4">
        <f>'Sched. fin''l. Position'!F226</f>
        <v>0</v>
      </c>
    </row>
    <row r="315" spans="1:17" x14ac:dyDescent="0.2">
      <c r="A315" s="277"/>
      <c r="B315" s="268"/>
      <c r="C315" s="269"/>
      <c r="D315" s="269"/>
      <c r="E315" s="281" t="s">
        <v>858</v>
      </c>
      <c r="O315" s="4"/>
      <c r="Q315" s="8">
        <f>'Sched. fin''l. Position'!F227</f>
        <v>0</v>
      </c>
    </row>
    <row r="316" spans="1:17" x14ac:dyDescent="0.2">
      <c r="A316" s="277"/>
      <c r="B316" s="268"/>
      <c r="C316" s="269"/>
      <c r="D316" s="269"/>
      <c r="E316" s="281" t="s">
        <v>859</v>
      </c>
      <c r="O316" s="4"/>
    </row>
    <row r="317" spans="1:17" x14ac:dyDescent="0.2">
      <c r="A317" s="277"/>
      <c r="B317" s="268"/>
      <c r="C317" s="269"/>
      <c r="D317" s="269"/>
      <c r="E317" s="281" t="s">
        <v>860</v>
      </c>
      <c r="O317" s="4">
        <f>'Sched. fin''l. Position'!F229</f>
        <v>0</v>
      </c>
    </row>
    <row r="318" spans="1:17" x14ac:dyDescent="0.2">
      <c r="A318" s="277"/>
      <c r="B318" s="268"/>
      <c r="C318" s="269"/>
      <c r="D318" s="269"/>
      <c r="E318" s="281" t="s">
        <v>861</v>
      </c>
      <c r="O318" s="4"/>
      <c r="Q318" s="8">
        <f>'Sched. fin''l. Position'!F230</f>
        <v>0</v>
      </c>
    </row>
    <row r="319" spans="1:17" x14ac:dyDescent="0.2">
      <c r="A319" s="277"/>
      <c r="B319" s="268"/>
      <c r="C319" s="269"/>
      <c r="D319" s="269"/>
      <c r="E319" s="281" t="s">
        <v>862</v>
      </c>
      <c r="O319" s="4"/>
    </row>
    <row r="320" spans="1:17" x14ac:dyDescent="0.2">
      <c r="A320" s="277"/>
      <c r="B320" s="268"/>
      <c r="C320" s="269"/>
      <c r="D320" s="269"/>
      <c r="E320" s="281" t="s">
        <v>863</v>
      </c>
      <c r="O320" s="4">
        <f>'Sched. fin''l. Position'!F232</f>
        <v>0</v>
      </c>
    </row>
    <row r="321" spans="1:17" x14ac:dyDescent="0.2">
      <c r="A321" s="277"/>
      <c r="B321" s="268"/>
      <c r="C321" s="269"/>
      <c r="D321" s="269"/>
      <c r="E321" s="281" t="s">
        <v>864</v>
      </c>
      <c r="O321" s="4"/>
      <c r="Q321" s="8">
        <f>'Sched. fin''l. Position'!F233</f>
        <v>0</v>
      </c>
    </row>
    <row r="322" spans="1:17" x14ac:dyDescent="0.2">
      <c r="A322" s="277"/>
      <c r="B322" s="268"/>
      <c r="C322" s="269"/>
      <c r="D322" s="269"/>
      <c r="E322" s="281" t="s">
        <v>865</v>
      </c>
    </row>
    <row r="323" spans="1:17" x14ac:dyDescent="0.2">
      <c r="A323" s="277"/>
      <c r="B323" s="268"/>
      <c r="C323" s="269"/>
      <c r="D323" s="269"/>
      <c r="E323" s="281" t="s">
        <v>866</v>
      </c>
    </row>
    <row r="324" spans="1:17" x14ac:dyDescent="0.2">
      <c r="A324" s="277"/>
      <c r="B324" s="268"/>
      <c r="C324" s="269"/>
      <c r="D324" s="269"/>
      <c r="E324" s="281" t="s">
        <v>867</v>
      </c>
    </row>
    <row r="325" spans="1:17" x14ac:dyDescent="0.2">
      <c r="A325" s="277"/>
      <c r="B325" s="268"/>
      <c r="C325" s="269"/>
      <c r="D325" s="269"/>
      <c r="E325" s="281" t="s">
        <v>868</v>
      </c>
    </row>
    <row r="326" spans="1:17" x14ac:dyDescent="0.2">
      <c r="A326" s="277"/>
      <c r="B326" s="268"/>
      <c r="C326" s="269"/>
      <c r="D326" s="269"/>
      <c r="E326" s="281" t="s">
        <v>869</v>
      </c>
    </row>
    <row r="327" spans="1:17" x14ac:dyDescent="0.2">
      <c r="A327" s="277"/>
      <c r="B327" s="268"/>
      <c r="C327" s="269"/>
      <c r="D327" s="269"/>
      <c r="E327" s="281" t="s">
        <v>870</v>
      </c>
    </row>
    <row r="328" spans="1:17" x14ac:dyDescent="0.2">
      <c r="A328" s="277"/>
      <c r="B328" s="268"/>
      <c r="C328" s="269"/>
      <c r="D328" s="269"/>
      <c r="E328" s="281" t="s">
        <v>871</v>
      </c>
    </row>
    <row r="329" spans="1:17" x14ac:dyDescent="0.2">
      <c r="A329" s="277"/>
      <c r="B329" s="268"/>
      <c r="C329" s="269"/>
      <c r="D329" s="269"/>
      <c r="E329" s="281" t="s">
        <v>12</v>
      </c>
      <c r="O329" s="8">
        <f>'Sched. fin''l. Position'!F241</f>
        <v>0</v>
      </c>
    </row>
    <row r="330" spans="1:17" x14ac:dyDescent="0.2">
      <c r="A330" s="277"/>
      <c r="B330" s="268"/>
      <c r="C330" s="269"/>
      <c r="D330" s="269"/>
      <c r="E330" s="281" t="s">
        <v>872</v>
      </c>
      <c r="O330" s="4"/>
      <c r="Q330" s="8">
        <f>'Sched. fin''l. Position'!F242</f>
        <v>0</v>
      </c>
    </row>
    <row r="331" spans="1:17" x14ac:dyDescent="0.2">
      <c r="A331" s="277"/>
      <c r="B331" s="268"/>
      <c r="C331" s="269"/>
      <c r="D331" s="269"/>
      <c r="E331" s="281" t="s">
        <v>873</v>
      </c>
    </row>
    <row r="332" spans="1:17" x14ac:dyDescent="0.2">
      <c r="A332" s="277"/>
      <c r="B332" s="268"/>
      <c r="C332" s="269"/>
      <c r="D332" s="269"/>
      <c r="E332" s="281" t="s">
        <v>194</v>
      </c>
      <c r="O332" s="8">
        <f>'Sched. fin''l. Position'!F244</f>
        <v>0</v>
      </c>
    </row>
    <row r="333" spans="1:17" x14ac:dyDescent="0.2">
      <c r="A333" s="277"/>
      <c r="B333" s="268"/>
      <c r="C333" s="269"/>
      <c r="D333" s="269"/>
      <c r="E333" s="281" t="s">
        <v>874</v>
      </c>
      <c r="O333" s="4"/>
      <c r="P333" s="4"/>
      <c r="Q333" s="4">
        <f>'Sched. fin''l. Position'!F245</f>
        <v>0</v>
      </c>
    </row>
    <row r="334" spans="1:17" x14ac:dyDescent="0.2">
      <c r="A334" s="277"/>
      <c r="B334" s="268"/>
      <c r="C334" s="269"/>
      <c r="D334" s="269"/>
      <c r="E334" s="281" t="s">
        <v>875</v>
      </c>
      <c r="O334" s="4"/>
      <c r="P334" s="4"/>
      <c r="Q334" s="4"/>
    </row>
    <row r="335" spans="1:17" x14ac:dyDescent="0.2">
      <c r="A335" s="277"/>
      <c r="B335" s="268"/>
      <c r="C335" s="269"/>
      <c r="D335" s="269"/>
      <c r="E335" s="281" t="s">
        <v>876</v>
      </c>
      <c r="O335" s="4">
        <f>'Sched. fin''l. Position'!F247</f>
        <v>0</v>
      </c>
      <c r="P335" s="4"/>
      <c r="Q335" s="4"/>
    </row>
    <row r="336" spans="1:17" ht="15" x14ac:dyDescent="0.35">
      <c r="A336" s="277"/>
      <c r="B336" s="268"/>
      <c r="C336" s="269"/>
      <c r="D336" s="269"/>
      <c r="E336" s="281" t="s">
        <v>877</v>
      </c>
      <c r="O336" s="105"/>
      <c r="P336" s="4"/>
      <c r="Q336" s="4">
        <f>'Sched. fin''l. Position'!F248</f>
        <v>0</v>
      </c>
    </row>
    <row r="337" spans="1:17" x14ac:dyDescent="0.2">
      <c r="A337" s="277"/>
      <c r="B337" s="268"/>
      <c r="C337" s="269"/>
      <c r="D337" s="269"/>
      <c r="E337" s="281" t="s">
        <v>878</v>
      </c>
    </row>
    <row r="338" spans="1:17" x14ac:dyDescent="0.2">
      <c r="A338" s="277"/>
      <c r="B338" s="268"/>
      <c r="C338" s="269"/>
      <c r="D338" s="269"/>
      <c r="E338" s="281" t="s">
        <v>879</v>
      </c>
      <c r="O338" s="8">
        <f>'Sched. fin''l. Position'!F250</f>
        <v>0</v>
      </c>
    </row>
    <row r="339" spans="1:17" x14ac:dyDescent="0.2">
      <c r="A339" s="277"/>
      <c r="B339" s="268"/>
      <c r="C339" s="269"/>
      <c r="D339" s="269"/>
      <c r="E339" s="281" t="s">
        <v>881</v>
      </c>
      <c r="Q339" s="8">
        <f>'Sched. fin''l. Position'!F251</f>
        <v>0</v>
      </c>
    </row>
    <row r="340" spans="1:17" x14ac:dyDescent="0.2">
      <c r="A340" s="277"/>
      <c r="B340" s="268"/>
      <c r="C340" s="269"/>
      <c r="D340" s="269"/>
      <c r="E340" s="281" t="s">
        <v>883</v>
      </c>
    </row>
    <row r="341" spans="1:17" x14ac:dyDescent="0.2">
      <c r="A341" s="277"/>
      <c r="B341" s="268"/>
      <c r="C341" s="269"/>
      <c r="D341" s="269"/>
      <c r="E341" s="281" t="s">
        <v>884</v>
      </c>
      <c r="O341" s="8">
        <f>'Sched. fin''l. Position'!F253</f>
        <v>0</v>
      </c>
    </row>
    <row r="342" spans="1:17" x14ac:dyDescent="0.2">
      <c r="A342" s="277"/>
      <c r="B342" s="268"/>
      <c r="C342" s="269"/>
      <c r="D342" s="269"/>
      <c r="E342" s="281" t="s">
        <v>886</v>
      </c>
      <c r="O342" s="4"/>
      <c r="Q342" s="4">
        <f>'Sched. fin''l. Position'!F254</f>
        <v>0</v>
      </c>
    </row>
    <row r="343" spans="1:17" x14ac:dyDescent="0.2">
      <c r="A343" s="277"/>
      <c r="B343" s="268"/>
      <c r="C343" s="269"/>
      <c r="D343" s="269"/>
      <c r="E343" s="281" t="s">
        <v>888</v>
      </c>
    </row>
    <row r="344" spans="1:17" x14ac:dyDescent="0.2">
      <c r="A344" s="277"/>
      <c r="B344" s="268"/>
      <c r="C344" s="269"/>
      <c r="D344" s="269"/>
      <c r="E344" s="281" t="s">
        <v>889</v>
      </c>
    </row>
    <row r="345" spans="1:17" x14ac:dyDescent="0.2">
      <c r="A345" s="277"/>
      <c r="B345" s="268"/>
      <c r="C345" s="269"/>
      <c r="D345" s="269"/>
      <c r="E345" s="281" t="s">
        <v>891</v>
      </c>
    </row>
    <row r="346" spans="1:17" x14ac:dyDescent="0.2">
      <c r="A346" s="277"/>
      <c r="B346" s="268"/>
      <c r="C346" s="269"/>
      <c r="D346" s="269"/>
      <c r="E346" s="281" t="s">
        <v>893</v>
      </c>
    </row>
    <row r="347" spans="1:17" x14ac:dyDescent="0.2">
      <c r="A347" s="277"/>
      <c r="B347" s="268"/>
      <c r="C347" s="269"/>
      <c r="D347" s="269"/>
      <c r="E347" s="281" t="s">
        <v>13</v>
      </c>
      <c r="O347" s="8">
        <f>'Sched. fin''l. Position'!F259</f>
        <v>0</v>
      </c>
    </row>
    <row r="348" spans="1:17" x14ac:dyDescent="0.2">
      <c r="A348" s="277"/>
      <c r="B348" s="268"/>
      <c r="C348" s="269"/>
      <c r="D348" s="269"/>
      <c r="E348" s="281" t="s">
        <v>895</v>
      </c>
    </row>
    <row r="349" spans="1:17" x14ac:dyDescent="0.2">
      <c r="A349" s="277"/>
      <c r="B349" s="268"/>
      <c r="C349" s="269"/>
      <c r="D349" s="269"/>
      <c r="E349" s="281" t="s">
        <v>897</v>
      </c>
    </row>
    <row r="350" spans="1:17" x14ac:dyDescent="0.2">
      <c r="A350" s="277"/>
      <c r="B350" s="268"/>
      <c r="C350" s="269"/>
      <c r="D350" s="269"/>
      <c r="E350" s="281" t="s">
        <v>899</v>
      </c>
      <c r="O350" s="8">
        <f>'Sched. fin''l. Position'!F262</f>
        <v>0</v>
      </c>
    </row>
    <row r="351" spans="1:17" x14ac:dyDescent="0.2">
      <c r="A351" s="277"/>
      <c r="B351" s="268"/>
      <c r="C351" s="269"/>
      <c r="D351" s="269"/>
      <c r="E351" s="281" t="s">
        <v>901</v>
      </c>
    </row>
    <row r="352" spans="1:17" x14ac:dyDescent="0.2">
      <c r="A352" s="277"/>
      <c r="B352" s="268"/>
      <c r="C352" s="269"/>
      <c r="D352" s="269"/>
      <c r="E352" s="281" t="s">
        <v>903</v>
      </c>
    </row>
    <row r="353" spans="1:17" x14ac:dyDescent="0.2">
      <c r="A353" s="277"/>
      <c r="B353" s="268"/>
      <c r="C353" s="269"/>
      <c r="D353" s="269"/>
      <c r="E353" s="281" t="s">
        <v>904</v>
      </c>
      <c r="O353" s="8">
        <f>'Sched. fin''l. Position'!F265</f>
        <v>0</v>
      </c>
    </row>
    <row r="354" spans="1:17" x14ac:dyDescent="0.2">
      <c r="A354" s="277"/>
      <c r="B354" s="268"/>
      <c r="C354" s="269"/>
      <c r="D354" s="269"/>
      <c r="E354" s="281" t="s">
        <v>905</v>
      </c>
      <c r="O354" s="4"/>
      <c r="Q354" s="8">
        <f>'Sched. fin''l. Position'!F266</f>
        <v>0</v>
      </c>
    </row>
    <row r="355" spans="1:17" x14ac:dyDescent="0.2">
      <c r="A355" s="277"/>
      <c r="B355" s="268"/>
      <c r="C355" s="269"/>
      <c r="D355" s="269"/>
      <c r="E355" s="281" t="s">
        <v>906</v>
      </c>
      <c r="O355" s="4"/>
    </row>
    <row r="356" spans="1:17" x14ac:dyDescent="0.2">
      <c r="A356" s="277"/>
      <c r="B356" s="268"/>
      <c r="C356" s="269"/>
      <c r="D356" s="269" t="s">
        <v>175</v>
      </c>
      <c r="E356" s="278"/>
      <c r="O356" s="4"/>
    </row>
    <row r="357" spans="1:17" x14ac:dyDescent="0.2">
      <c r="A357" s="279"/>
      <c r="B357" s="280"/>
      <c r="C357" s="270"/>
      <c r="D357" s="270"/>
      <c r="E357" s="281" t="s">
        <v>15</v>
      </c>
      <c r="O357" s="4">
        <f>'Sched. fin''l. Position'!F269</f>
        <v>0</v>
      </c>
    </row>
    <row r="358" spans="1:17" x14ac:dyDescent="0.2">
      <c r="A358" s="279"/>
      <c r="B358" s="280"/>
      <c r="C358" s="270"/>
      <c r="D358" s="270"/>
      <c r="E358" s="281" t="s">
        <v>907</v>
      </c>
      <c r="O358" s="4"/>
      <c r="Q358" s="8">
        <f>'Sched. fin''l. Position'!F270</f>
        <v>0</v>
      </c>
    </row>
    <row r="359" spans="1:17" x14ac:dyDescent="0.2">
      <c r="A359" s="279"/>
      <c r="B359" s="280"/>
      <c r="C359" s="270"/>
      <c r="D359" s="270"/>
      <c r="E359" s="281" t="s">
        <v>908</v>
      </c>
      <c r="O359" s="4"/>
    </row>
    <row r="360" spans="1:17" x14ac:dyDescent="0.2">
      <c r="A360" s="279"/>
      <c r="B360" s="280"/>
      <c r="C360" s="270"/>
      <c r="D360" s="270"/>
      <c r="E360" s="281" t="s">
        <v>909</v>
      </c>
    </row>
    <row r="361" spans="1:17" x14ac:dyDescent="0.2">
      <c r="A361" s="279"/>
      <c r="B361" s="280"/>
      <c r="C361" s="270"/>
      <c r="D361" s="270"/>
      <c r="E361" s="281" t="s">
        <v>910</v>
      </c>
    </row>
    <row r="362" spans="1:17" x14ac:dyDescent="0.2">
      <c r="A362" s="279"/>
      <c r="B362" s="280"/>
      <c r="C362" s="270"/>
      <c r="D362" s="270"/>
      <c r="E362" s="281" t="s">
        <v>911</v>
      </c>
    </row>
    <row r="363" spans="1:17" x14ac:dyDescent="0.2">
      <c r="A363" s="279"/>
      <c r="B363" s="280"/>
      <c r="C363" s="270"/>
      <c r="D363" s="270"/>
      <c r="E363" s="281" t="s">
        <v>912</v>
      </c>
    </row>
    <row r="364" spans="1:17" x14ac:dyDescent="0.2">
      <c r="A364" s="279"/>
      <c r="B364" s="280"/>
      <c r="C364" s="270"/>
      <c r="D364" s="270"/>
      <c r="E364" s="281" t="s">
        <v>913</v>
      </c>
    </row>
    <row r="365" spans="1:17" x14ac:dyDescent="0.2">
      <c r="A365" s="279"/>
      <c r="B365" s="280"/>
      <c r="C365" s="270"/>
      <c r="D365" s="270"/>
      <c r="E365" s="281" t="s">
        <v>914</v>
      </c>
    </row>
    <row r="366" spans="1:17" x14ac:dyDescent="0.2">
      <c r="A366" s="279"/>
      <c r="B366" s="280"/>
      <c r="C366" s="270"/>
      <c r="D366" s="270"/>
      <c r="E366" s="281" t="s">
        <v>394</v>
      </c>
    </row>
    <row r="367" spans="1:17" x14ac:dyDescent="0.2">
      <c r="A367" s="279"/>
      <c r="B367" s="280"/>
      <c r="C367" s="270"/>
      <c r="D367" s="270"/>
      <c r="E367" s="281" t="s">
        <v>915</v>
      </c>
    </row>
    <row r="368" spans="1:17" x14ac:dyDescent="0.2">
      <c r="A368" s="279"/>
      <c r="B368" s="280"/>
      <c r="C368" s="270"/>
      <c r="D368" s="270"/>
      <c r="E368" s="281" t="s">
        <v>916</v>
      </c>
    </row>
    <row r="369" spans="1:17" x14ac:dyDescent="0.2">
      <c r="A369" s="279"/>
      <c r="B369" s="280"/>
      <c r="C369" s="270"/>
      <c r="D369" s="270"/>
      <c r="E369" s="281" t="s">
        <v>240</v>
      </c>
    </row>
    <row r="370" spans="1:17" x14ac:dyDescent="0.2">
      <c r="A370" s="279"/>
      <c r="B370" s="280"/>
      <c r="C370" s="270"/>
      <c r="D370" s="270"/>
      <c r="E370" s="281" t="s">
        <v>917</v>
      </c>
    </row>
    <row r="371" spans="1:17" x14ac:dyDescent="0.2">
      <c r="A371" s="279"/>
      <c r="B371" s="280"/>
      <c r="C371" s="270"/>
      <c r="D371" s="270"/>
      <c r="E371" s="281" t="s">
        <v>918</v>
      </c>
    </row>
    <row r="372" spans="1:17" x14ac:dyDescent="0.2">
      <c r="A372" s="277"/>
      <c r="B372" s="268"/>
      <c r="C372" s="287"/>
      <c r="D372" s="269" t="s">
        <v>919</v>
      </c>
      <c r="E372" s="278"/>
    </row>
    <row r="373" spans="1:17" ht="15" x14ac:dyDescent="0.25">
      <c r="A373" s="277"/>
      <c r="B373" s="268"/>
      <c r="C373" s="177"/>
      <c r="D373" s="269"/>
      <c r="E373" s="281" t="s">
        <v>920</v>
      </c>
      <c r="O373" s="8">
        <f>'[3]SCHEDULE OF BS'!G273</f>
        <v>0</v>
      </c>
    </row>
    <row r="374" spans="1:17" ht="15" x14ac:dyDescent="0.25">
      <c r="A374" s="277"/>
      <c r="B374" s="268"/>
      <c r="C374" s="177"/>
      <c r="D374" s="269"/>
      <c r="E374" s="281" t="s">
        <v>921</v>
      </c>
      <c r="O374" s="4">
        <f>'Sched. fin''l. Position'!F285</f>
        <v>0</v>
      </c>
    </row>
    <row r="375" spans="1:17" ht="15" x14ac:dyDescent="0.25">
      <c r="A375" s="277"/>
      <c r="B375" s="268"/>
      <c r="C375" s="177"/>
      <c r="D375" s="269"/>
      <c r="E375" s="281" t="s">
        <v>922</v>
      </c>
      <c r="Q375" s="8">
        <f>'Sched. fin''l. Position'!F286</f>
        <v>0</v>
      </c>
    </row>
    <row r="376" spans="1:17" ht="15" x14ac:dyDescent="0.25">
      <c r="A376" s="277"/>
      <c r="B376" s="268"/>
      <c r="C376" s="177"/>
      <c r="D376" s="269"/>
      <c r="E376" s="281" t="s">
        <v>923</v>
      </c>
      <c r="O376" s="8">
        <f>'Sched. fin''l. Position'!F288</f>
        <v>0</v>
      </c>
    </row>
    <row r="377" spans="1:17" ht="15" x14ac:dyDescent="0.25">
      <c r="A377" s="277"/>
      <c r="B377" s="268"/>
      <c r="C377" s="177"/>
      <c r="D377" s="269"/>
      <c r="E377" s="281" t="s">
        <v>924</v>
      </c>
      <c r="Q377" s="8">
        <f>'Sched. fin''l. Position'!F289</f>
        <v>0</v>
      </c>
    </row>
    <row r="378" spans="1:17" x14ac:dyDescent="0.2">
      <c r="A378" s="279"/>
      <c r="B378" s="280"/>
      <c r="C378" s="270"/>
      <c r="D378" s="270"/>
      <c r="E378" s="281" t="s">
        <v>925</v>
      </c>
    </row>
    <row r="379" spans="1:17" x14ac:dyDescent="0.2">
      <c r="A379" s="277"/>
      <c r="B379" s="268"/>
      <c r="C379" s="269"/>
      <c r="D379" s="269" t="s">
        <v>927</v>
      </c>
      <c r="E379" s="278"/>
    </row>
    <row r="380" spans="1:17" x14ac:dyDescent="0.2">
      <c r="A380" s="279"/>
      <c r="B380" s="280"/>
      <c r="C380" s="270"/>
      <c r="D380" s="270"/>
      <c r="E380" s="281" t="s">
        <v>928</v>
      </c>
    </row>
    <row r="381" spans="1:17" x14ac:dyDescent="0.2">
      <c r="A381" s="279"/>
      <c r="B381" s="280"/>
      <c r="C381" s="270"/>
      <c r="D381" s="270"/>
      <c r="E381" s="281" t="s">
        <v>929</v>
      </c>
    </row>
    <row r="382" spans="1:17" x14ac:dyDescent="0.2">
      <c r="A382" s="279"/>
      <c r="B382" s="280"/>
      <c r="C382" s="270"/>
      <c r="D382" s="270"/>
      <c r="E382" s="281" t="s">
        <v>930</v>
      </c>
    </row>
    <row r="383" spans="1:17" x14ac:dyDescent="0.2">
      <c r="A383" s="279"/>
      <c r="B383" s="280"/>
      <c r="C383" s="270"/>
      <c r="D383" s="270"/>
      <c r="E383" s="281" t="s">
        <v>931</v>
      </c>
    </row>
    <row r="384" spans="1:17" x14ac:dyDescent="0.2">
      <c r="A384" s="279"/>
      <c r="B384" s="280"/>
      <c r="C384" s="270"/>
      <c r="D384" s="270"/>
      <c r="E384" s="281" t="s">
        <v>932</v>
      </c>
    </row>
    <row r="385" spans="1:5" x14ac:dyDescent="0.2">
      <c r="A385" s="279"/>
      <c r="B385" s="280"/>
      <c r="C385" s="270"/>
      <c r="D385" s="270"/>
      <c r="E385" s="281" t="s">
        <v>933</v>
      </c>
    </row>
    <row r="386" spans="1:5" x14ac:dyDescent="0.2">
      <c r="A386" s="279"/>
      <c r="B386" s="280"/>
      <c r="C386" s="270"/>
      <c r="D386" s="270"/>
      <c r="E386" s="281" t="s">
        <v>934</v>
      </c>
    </row>
    <row r="387" spans="1:5" x14ac:dyDescent="0.2">
      <c r="A387" s="279"/>
      <c r="B387" s="280"/>
      <c r="C387" s="270"/>
      <c r="D387" s="270"/>
      <c r="E387" s="281" t="s">
        <v>935</v>
      </c>
    </row>
    <row r="388" spans="1:5" x14ac:dyDescent="0.2">
      <c r="A388" s="279"/>
      <c r="B388" s="280"/>
      <c r="C388" s="270"/>
      <c r="D388" s="270"/>
      <c r="E388" s="281" t="s">
        <v>936</v>
      </c>
    </row>
    <row r="389" spans="1:5" x14ac:dyDescent="0.2">
      <c r="A389" s="279"/>
      <c r="B389" s="280"/>
      <c r="C389" s="270"/>
      <c r="D389" s="270"/>
      <c r="E389" s="281" t="s">
        <v>937</v>
      </c>
    </row>
    <row r="390" spans="1:5" x14ac:dyDescent="0.2">
      <c r="A390" s="279"/>
      <c r="B390" s="280"/>
      <c r="C390" s="270"/>
      <c r="D390" s="270"/>
      <c r="E390" s="281" t="s">
        <v>938</v>
      </c>
    </row>
    <row r="391" spans="1:5" x14ac:dyDescent="0.2">
      <c r="A391" s="279"/>
      <c r="B391" s="280"/>
      <c r="C391" s="270"/>
      <c r="D391" s="270"/>
      <c r="E391" s="281" t="s">
        <v>939</v>
      </c>
    </row>
    <row r="392" spans="1:5" x14ac:dyDescent="0.2">
      <c r="A392" s="279"/>
      <c r="B392" s="280"/>
      <c r="C392" s="270"/>
      <c r="D392" s="270"/>
      <c r="E392" s="281" t="s">
        <v>940</v>
      </c>
    </row>
    <row r="393" spans="1:5" x14ac:dyDescent="0.2">
      <c r="A393" s="279"/>
      <c r="B393" s="280"/>
      <c r="C393" s="270"/>
      <c r="D393" s="270"/>
      <c r="E393" s="281" t="s">
        <v>941</v>
      </c>
    </row>
    <row r="394" spans="1:5" x14ac:dyDescent="0.2">
      <c r="A394" s="277"/>
      <c r="B394" s="268"/>
      <c r="C394" s="269"/>
      <c r="D394" s="269" t="s">
        <v>943</v>
      </c>
      <c r="E394" s="278"/>
    </row>
    <row r="395" spans="1:5" x14ac:dyDescent="0.2">
      <c r="A395" s="279"/>
      <c r="B395" s="280"/>
      <c r="C395" s="270"/>
      <c r="D395" s="270"/>
      <c r="E395" s="281" t="s">
        <v>944</v>
      </c>
    </row>
    <row r="396" spans="1:5" x14ac:dyDescent="0.2">
      <c r="A396" s="279"/>
      <c r="B396" s="280"/>
      <c r="C396" s="270"/>
      <c r="D396" s="270"/>
      <c r="E396" s="281" t="s">
        <v>945</v>
      </c>
    </row>
    <row r="397" spans="1:5" x14ac:dyDescent="0.2">
      <c r="A397" s="279"/>
      <c r="B397" s="280"/>
      <c r="C397" s="270"/>
      <c r="D397" s="270"/>
      <c r="E397" s="281" t="s">
        <v>946</v>
      </c>
    </row>
    <row r="398" spans="1:5" x14ac:dyDescent="0.2">
      <c r="A398" s="279"/>
      <c r="B398" s="280"/>
      <c r="C398" s="270"/>
      <c r="D398" s="270"/>
      <c r="E398" s="281" t="s">
        <v>947</v>
      </c>
    </row>
    <row r="399" spans="1:5" x14ac:dyDescent="0.2">
      <c r="A399" s="279"/>
      <c r="B399" s="280"/>
      <c r="C399" s="270"/>
      <c r="D399" s="270"/>
      <c r="E399" s="281" t="s">
        <v>948</v>
      </c>
    </row>
    <row r="400" spans="1:5" x14ac:dyDescent="0.2">
      <c r="A400" s="279"/>
      <c r="B400" s="280"/>
      <c r="C400" s="270"/>
      <c r="D400" s="270"/>
      <c r="E400" s="281" t="s">
        <v>949</v>
      </c>
    </row>
    <row r="401" spans="1:15" x14ac:dyDescent="0.2">
      <c r="A401" s="279"/>
      <c r="B401" s="280"/>
      <c r="C401" s="270"/>
      <c r="D401" s="270"/>
      <c r="E401" s="281" t="s">
        <v>950</v>
      </c>
    </row>
    <row r="402" spans="1:15" x14ac:dyDescent="0.2">
      <c r="A402" s="279"/>
      <c r="B402" s="280"/>
      <c r="C402" s="270"/>
      <c r="D402" s="270"/>
      <c r="E402" s="281" t="s">
        <v>951</v>
      </c>
    </row>
    <row r="403" spans="1:15" x14ac:dyDescent="0.2">
      <c r="A403" s="279"/>
      <c r="B403" s="280"/>
      <c r="C403" s="270"/>
      <c r="D403" s="270"/>
      <c r="E403" s="281" t="s">
        <v>952</v>
      </c>
    </row>
    <row r="404" spans="1:15" x14ac:dyDescent="0.2">
      <c r="A404" s="277"/>
      <c r="B404" s="268"/>
      <c r="C404" s="269"/>
      <c r="D404" s="269" t="s">
        <v>604</v>
      </c>
      <c r="E404" s="278"/>
    </row>
    <row r="405" spans="1:15" x14ac:dyDescent="0.2">
      <c r="A405" s="279"/>
      <c r="B405" s="280"/>
      <c r="C405" s="270"/>
      <c r="D405" s="270"/>
      <c r="E405" s="281" t="s">
        <v>954</v>
      </c>
      <c r="O405" s="8">
        <f>'Sched. fin''l. Position'!F317</f>
        <v>0</v>
      </c>
    </row>
    <row r="406" spans="1:15" x14ac:dyDescent="0.2">
      <c r="A406" s="279"/>
      <c r="B406" s="280"/>
      <c r="C406" s="270"/>
      <c r="D406" s="270"/>
      <c r="E406" s="281" t="s">
        <v>955</v>
      </c>
      <c r="O406" s="8">
        <f>'Sched. fin''l. Position'!F318</f>
        <v>0</v>
      </c>
    </row>
    <row r="407" spans="1:15" x14ac:dyDescent="0.2">
      <c r="A407" s="279"/>
      <c r="B407" s="280"/>
      <c r="C407" s="270"/>
      <c r="D407" s="270"/>
      <c r="E407" s="281" t="s">
        <v>956</v>
      </c>
      <c r="O407" s="8">
        <f>'Sched. fin''l. Position'!F319</f>
        <v>0</v>
      </c>
    </row>
    <row r="408" spans="1:15" x14ac:dyDescent="0.2">
      <c r="A408" s="279"/>
      <c r="B408" s="280"/>
      <c r="C408" s="270"/>
      <c r="D408" s="270"/>
      <c r="E408" s="281" t="s">
        <v>957</v>
      </c>
    </row>
    <row r="409" spans="1:15" x14ac:dyDescent="0.2">
      <c r="A409" s="279"/>
      <c r="B409" s="280"/>
      <c r="C409" s="270"/>
      <c r="D409" s="270"/>
      <c r="E409" s="281" t="s">
        <v>958</v>
      </c>
    </row>
    <row r="410" spans="1:15" x14ac:dyDescent="0.2">
      <c r="A410" s="279"/>
      <c r="B410" s="280"/>
      <c r="C410" s="270"/>
      <c r="D410" s="269" t="s">
        <v>960</v>
      </c>
      <c r="E410" s="281"/>
    </row>
    <row r="411" spans="1:15" x14ac:dyDescent="0.2">
      <c r="A411" s="279"/>
      <c r="B411" s="280"/>
      <c r="C411" s="270"/>
      <c r="D411" s="270"/>
      <c r="E411" s="281" t="s">
        <v>960</v>
      </c>
    </row>
    <row r="412" spans="1:15" x14ac:dyDescent="0.2">
      <c r="A412" s="279"/>
      <c r="B412" s="280"/>
      <c r="C412" s="270"/>
      <c r="D412" s="270"/>
      <c r="E412" s="281" t="s">
        <v>961</v>
      </c>
    </row>
    <row r="413" spans="1:15" x14ac:dyDescent="0.2">
      <c r="A413" s="279"/>
      <c r="B413" s="280"/>
      <c r="C413" s="270"/>
      <c r="D413" s="270"/>
      <c r="E413" s="281" t="s">
        <v>962</v>
      </c>
    </row>
    <row r="414" spans="1:15" x14ac:dyDescent="0.2">
      <c r="A414" s="279"/>
      <c r="B414" s="280"/>
      <c r="C414" s="270"/>
      <c r="D414" s="269" t="s">
        <v>70</v>
      </c>
      <c r="E414" s="281"/>
    </row>
    <row r="415" spans="1:15" x14ac:dyDescent="0.2">
      <c r="A415" s="279"/>
      <c r="B415" s="280"/>
      <c r="C415" s="270"/>
      <c r="D415" s="270"/>
      <c r="E415" s="281" t="s">
        <v>964</v>
      </c>
    </row>
    <row r="416" spans="1:15" x14ac:dyDescent="0.2">
      <c r="A416" s="279"/>
      <c r="B416" s="280"/>
      <c r="C416" s="270"/>
      <c r="D416" s="270"/>
      <c r="E416" s="281" t="s">
        <v>965</v>
      </c>
    </row>
    <row r="417" spans="1:23" x14ac:dyDescent="0.2">
      <c r="A417" s="279"/>
      <c r="B417" s="280"/>
      <c r="C417" s="270"/>
      <c r="D417" s="270"/>
      <c r="E417" s="281" t="s">
        <v>966</v>
      </c>
    </row>
    <row r="418" spans="1:23" x14ac:dyDescent="0.2">
      <c r="A418" s="279"/>
      <c r="B418" s="280"/>
      <c r="C418" s="270"/>
      <c r="D418" s="270"/>
      <c r="E418" s="281" t="s">
        <v>70</v>
      </c>
      <c r="O418" s="8">
        <f>'Sched. fin''l. Position'!F330</f>
        <v>0</v>
      </c>
      <c r="Q418" s="8" t="s">
        <v>1994</v>
      </c>
    </row>
    <row r="419" spans="1:23" x14ac:dyDescent="0.2">
      <c r="A419" s="279"/>
      <c r="B419" s="280"/>
      <c r="C419" s="270"/>
      <c r="D419" s="270"/>
      <c r="E419" s="281" t="s">
        <v>967</v>
      </c>
      <c r="O419" s="4">
        <f>-'[3]SCHEDULE OF BS'!G319</f>
        <v>0</v>
      </c>
      <c r="Q419" s="8">
        <f>'Sched. fin''l. Position'!F331</f>
        <v>0</v>
      </c>
    </row>
    <row r="420" spans="1:23" x14ac:dyDescent="0.2">
      <c r="A420" s="279"/>
      <c r="B420" s="280"/>
      <c r="C420" s="270"/>
      <c r="D420" s="270"/>
      <c r="E420" s="281" t="s">
        <v>968</v>
      </c>
      <c r="Q420" s="4"/>
      <c r="S420" s="27"/>
    </row>
    <row r="421" spans="1:23" ht="15" x14ac:dyDescent="0.35">
      <c r="A421" s="277"/>
      <c r="B421" s="268"/>
      <c r="C421" s="269" t="s">
        <v>2012</v>
      </c>
      <c r="D421" s="269"/>
      <c r="E421" s="278"/>
      <c r="O421" s="304">
        <f>SUM(O248:O420)</f>
        <v>0</v>
      </c>
      <c r="Q421" s="304">
        <f>SUM(Q246:Q420)</f>
        <v>0</v>
      </c>
      <c r="S421" s="311">
        <f>O421+Q421</f>
        <v>0</v>
      </c>
      <c r="U421" s="310">
        <f>S421-'Stmt. of Fin''l. Position'!D22</f>
        <v>0</v>
      </c>
      <c r="W421" s="7"/>
    </row>
    <row r="422" spans="1:23" x14ac:dyDescent="0.2">
      <c r="A422" s="277"/>
      <c r="B422" s="268"/>
      <c r="C422" s="269" t="s">
        <v>1274</v>
      </c>
      <c r="D422" s="269"/>
      <c r="E422" s="278"/>
    </row>
    <row r="423" spans="1:23" x14ac:dyDescent="0.2">
      <c r="A423" s="277"/>
      <c r="B423" s="268"/>
      <c r="C423" s="269"/>
      <c r="D423" s="269" t="s">
        <v>970</v>
      </c>
      <c r="E423" s="278"/>
    </row>
    <row r="424" spans="1:23" x14ac:dyDescent="0.2">
      <c r="A424" s="279"/>
      <c r="B424" s="280"/>
      <c r="C424" s="270"/>
      <c r="D424" s="270"/>
      <c r="E424" s="281" t="s">
        <v>250</v>
      </c>
    </row>
    <row r="425" spans="1:23" x14ac:dyDescent="0.2">
      <c r="A425" s="279"/>
      <c r="B425" s="280"/>
      <c r="C425" s="270"/>
      <c r="D425" s="270"/>
      <c r="E425" s="281" t="s">
        <v>971</v>
      </c>
    </row>
    <row r="426" spans="1:23" x14ac:dyDescent="0.2">
      <c r="A426" s="279"/>
      <c r="B426" s="280"/>
      <c r="C426" s="270"/>
      <c r="D426" s="270"/>
      <c r="E426" s="281" t="s">
        <v>972</v>
      </c>
    </row>
    <row r="427" spans="1:23" x14ac:dyDescent="0.2">
      <c r="A427" s="279"/>
      <c r="B427" s="280"/>
      <c r="C427" s="270"/>
      <c r="D427" s="270"/>
      <c r="E427" s="281" t="s">
        <v>973</v>
      </c>
    </row>
    <row r="428" spans="1:23" x14ac:dyDescent="0.2">
      <c r="A428" s="279"/>
      <c r="B428" s="280"/>
      <c r="C428" s="282"/>
      <c r="D428" s="269" t="s">
        <v>2013</v>
      </c>
      <c r="E428" s="281"/>
    </row>
    <row r="429" spans="1:23" x14ac:dyDescent="0.2">
      <c r="A429" s="279"/>
      <c r="B429" s="280"/>
      <c r="C429" s="269" t="s">
        <v>1275</v>
      </c>
      <c r="D429" s="270"/>
      <c r="E429" s="281"/>
    </row>
    <row r="430" spans="1:23" x14ac:dyDescent="0.2">
      <c r="A430" s="279"/>
      <c r="B430" s="280"/>
      <c r="C430" s="269"/>
      <c r="D430" s="269" t="s">
        <v>974</v>
      </c>
      <c r="E430" s="281"/>
    </row>
    <row r="431" spans="1:23" x14ac:dyDescent="0.2">
      <c r="A431" s="279"/>
      <c r="B431" s="280"/>
      <c r="C431" s="269"/>
      <c r="D431" s="270"/>
      <c r="E431" s="281" t="s">
        <v>975</v>
      </c>
    </row>
    <row r="432" spans="1:23" x14ac:dyDescent="0.2">
      <c r="A432" s="279"/>
      <c r="B432" s="280"/>
      <c r="C432" s="269"/>
      <c r="D432" s="270"/>
      <c r="E432" s="281" t="s">
        <v>976</v>
      </c>
    </row>
    <row r="433" spans="1:24" x14ac:dyDescent="0.2">
      <c r="A433" s="279"/>
      <c r="B433" s="280"/>
      <c r="C433" s="269"/>
      <c r="D433" s="270"/>
      <c r="E433" s="281" t="s">
        <v>977</v>
      </c>
    </row>
    <row r="434" spans="1:24" x14ac:dyDescent="0.2">
      <c r="A434" s="279"/>
      <c r="B434" s="280"/>
      <c r="C434" s="269"/>
      <c r="D434" s="270"/>
      <c r="E434" s="281" t="s">
        <v>978</v>
      </c>
      <c r="O434" s="8">
        <f>'Sched. fin''l. Position'!F346</f>
        <v>0</v>
      </c>
    </row>
    <row r="435" spans="1:24" x14ac:dyDescent="0.2">
      <c r="A435" s="279"/>
      <c r="B435" s="280"/>
      <c r="C435" s="269"/>
      <c r="D435" s="270"/>
      <c r="E435" s="281" t="s">
        <v>979</v>
      </c>
    </row>
    <row r="436" spans="1:24" x14ac:dyDescent="0.2">
      <c r="A436" s="279"/>
      <c r="B436" s="280"/>
      <c r="C436" s="269"/>
      <c r="D436" s="270"/>
      <c r="E436" s="281" t="s">
        <v>980</v>
      </c>
    </row>
    <row r="437" spans="1:24" x14ac:dyDescent="0.2">
      <c r="A437" s="279"/>
      <c r="B437" s="280"/>
      <c r="C437" s="269"/>
      <c r="D437" s="270"/>
      <c r="E437" s="281" t="s">
        <v>981</v>
      </c>
      <c r="O437" s="8">
        <f>'Sched. fin''l. Position'!F349</f>
        <v>0</v>
      </c>
    </row>
    <row r="438" spans="1:24" x14ac:dyDescent="0.2">
      <c r="A438" s="279"/>
      <c r="B438" s="280"/>
      <c r="C438" s="269"/>
      <c r="D438" s="270"/>
      <c r="E438" s="281" t="s">
        <v>982</v>
      </c>
    </row>
    <row r="439" spans="1:24" x14ac:dyDescent="0.2">
      <c r="A439" s="279"/>
      <c r="B439" s="280"/>
      <c r="C439" s="269"/>
      <c r="D439" s="270"/>
      <c r="E439" s="281" t="s">
        <v>983</v>
      </c>
    </row>
    <row r="440" spans="1:24" x14ac:dyDescent="0.2">
      <c r="A440" s="279"/>
      <c r="B440" s="280"/>
      <c r="C440" s="269"/>
      <c r="D440" s="269" t="s">
        <v>960</v>
      </c>
      <c r="E440" s="281"/>
    </row>
    <row r="441" spans="1:24" x14ac:dyDescent="0.2">
      <c r="A441" s="279"/>
      <c r="B441" s="280"/>
      <c r="C441" s="269"/>
      <c r="D441" s="270"/>
      <c r="E441" s="281" t="s">
        <v>984</v>
      </c>
    </row>
    <row r="442" spans="1:24" ht="15" x14ac:dyDescent="0.35">
      <c r="A442" s="277"/>
      <c r="B442" s="268"/>
      <c r="C442" s="269"/>
      <c r="D442" s="269" t="s">
        <v>2014</v>
      </c>
      <c r="E442" s="278"/>
      <c r="S442" s="316">
        <f>SUM(O431:O442)</f>
        <v>0</v>
      </c>
      <c r="U442" s="310">
        <f>S442-'Stmt. of Fin''l. Position'!D24</f>
        <v>0</v>
      </c>
    </row>
    <row r="443" spans="1:24" ht="15" x14ac:dyDescent="0.35">
      <c r="A443" s="277"/>
      <c r="B443" s="268"/>
      <c r="C443" s="269"/>
      <c r="D443" s="269"/>
      <c r="E443" s="278"/>
      <c r="S443" s="316"/>
    </row>
    <row r="444" spans="1:24" ht="15" x14ac:dyDescent="0.35">
      <c r="A444" s="277"/>
      <c r="B444" s="268"/>
      <c r="C444" s="269" t="s">
        <v>2015</v>
      </c>
      <c r="D444" s="269"/>
      <c r="E444" s="278"/>
      <c r="S444" s="324">
        <f>SUM(S183,S236,S245,S421,S442)</f>
        <v>0</v>
      </c>
      <c r="U444" s="319">
        <f>S444-'Stmt. of Fin''l. Position'!D26</f>
        <v>0</v>
      </c>
    </row>
    <row r="445" spans="1:24" ht="15" x14ac:dyDescent="0.35">
      <c r="A445" s="268"/>
      <c r="B445" s="268"/>
      <c r="C445" s="269"/>
      <c r="D445" s="269"/>
      <c r="E445" s="269"/>
      <c r="S445" s="325"/>
      <c r="T445" s="315"/>
      <c r="U445" s="319"/>
    </row>
    <row r="446" spans="1:24" x14ac:dyDescent="0.2">
      <c r="A446" s="268" t="s">
        <v>91</v>
      </c>
      <c r="B446" s="268"/>
      <c r="C446" s="269"/>
      <c r="D446" s="269"/>
      <c r="E446" s="269"/>
      <c r="S446" s="326">
        <f>SUM(S444,S153)</f>
        <v>20343197.299999997</v>
      </c>
      <c r="U446" s="327">
        <f>S446-'Stmt. of Fin''l. Position'!D27</f>
        <v>20343197.299999997</v>
      </c>
      <c r="W446" s="27"/>
      <c r="X446" s="27"/>
    </row>
    <row r="447" spans="1:24" x14ac:dyDescent="0.2">
      <c r="A447" s="268"/>
      <c r="B447" s="268"/>
      <c r="C447" s="269"/>
      <c r="D447" s="269"/>
      <c r="E447" s="269"/>
    </row>
    <row r="448" spans="1:24" x14ac:dyDescent="0.2">
      <c r="A448" s="268" t="s">
        <v>92</v>
      </c>
      <c r="B448" s="268"/>
      <c r="C448" s="269"/>
      <c r="D448" s="269"/>
      <c r="E448" s="269"/>
    </row>
    <row r="449" spans="1:15" x14ac:dyDescent="0.2">
      <c r="A449" s="277"/>
      <c r="B449" s="277" t="s">
        <v>1305</v>
      </c>
      <c r="C449" s="269"/>
      <c r="D449" s="269"/>
      <c r="E449" s="278"/>
    </row>
    <row r="450" spans="1:15" x14ac:dyDescent="0.2">
      <c r="A450" s="277"/>
      <c r="B450" s="268"/>
      <c r="C450" s="269" t="s">
        <v>1277</v>
      </c>
      <c r="D450" s="269"/>
      <c r="E450" s="278"/>
    </row>
    <row r="451" spans="1:15" x14ac:dyDescent="0.2">
      <c r="A451" s="277"/>
      <c r="B451" s="268"/>
      <c r="C451" s="269"/>
      <c r="D451" s="269" t="s">
        <v>985</v>
      </c>
      <c r="E451" s="278"/>
    </row>
    <row r="452" spans="1:15" x14ac:dyDescent="0.2">
      <c r="A452" s="279"/>
      <c r="B452" s="280"/>
      <c r="C452" s="270"/>
      <c r="D452" s="270"/>
      <c r="E452" s="281" t="s">
        <v>33</v>
      </c>
    </row>
    <row r="453" spans="1:15" x14ac:dyDescent="0.2">
      <c r="A453" s="279"/>
      <c r="B453" s="280"/>
      <c r="C453" s="270"/>
      <c r="D453" s="270"/>
      <c r="E453" s="281" t="s">
        <v>78</v>
      </c>
      <c r="O453" s="8">
        <f>'Sched. fin''l. Position'!F360</f>
        <v>0</v>
      </c>
    </row>
    <row r="454" spans="1:15" x14ac:dyDescent="0.2">
      <c r="A454" s="279"/>
      <c r="B454" s="280"/>
      <c r="C454" s="270"/>
      <c r="D454" s="270"/>
      <c r="E454" s="281" t="s">
        <v>251</v>
      </c>
    </row>
    <row r="455" spans="1:15" x14ac:dyDescent="0.2">
      <c r="A455" s="279"/>
      <c r="B455" s="280"/>
      <c r="C455" s="270"/>
      <c r="D455" s="270"/>
      <c r="E455" s="281" t="s">
        <v>252</v>
      </c>
    </row>
    <row r="456" spans="1:15" x14ac:dyDescent="0.2">
      <c r="A456" s="277"/>
      <c r="B456" s="268"/>
      <c r="C456" s="269"/>
      <c r="D456" s="269"/>
      <c r="E456" s="281" t="s">
        <v>986</v>
      </c>
    </row>
    <row r="457" spans="1:15" x14ac:dyDescent="0.2">
      <c r="A457" s="279"/>
      <c r="B457" s="280"/>
      <c r="C457" s="270"/>
      <c r="D457" s="270"/>
      <c r="E457" s="281" t="s">
        <v>987</v>
      </c>
    </row>
    <row r="458" spans="1:15" x14ac:dyDescent="0.2">
      <c r="A458" s="279"/>
      <c r="B458" s="280"/>
      <c r="C458" s="270"/>
      <c r="D458" s="270"/>
      <c r="E458" s="281" t="s">
        <v>988</v>
      </c>
    </row>
    <row r="459" spans="1:15" x14ac:dyDescent="0.2">
      <c r="A459" s="279"/>
      <c r="B459" s="280"/>
      <c r="C459" s="270"/>
      <c r="D459" s="270"/>
      <c r="E459" s="281" t="s">
        <v>990</v>
      </c>
    </row>
    <row r="460" spans="1:15" x14ac:dyDescent="0.2">
      <c r="A460" s="279"/>
      <c r="B460" s="280"/>
      <c r="C460" s="270"/>
      <c r="D460" s="270"/>
      <c r="E460" s="281" t="s">
        <v>991</v>
      </c>
    </row>
    <row r="461" spans="1:15" x14ac:dyDescent="0.2">
      <c r="A461" s="279"/>
      <c r="B461" s="280"/>
      <c r="C461" s="270"/>
      <c r="D461" s="270"/>
      <c r="E461" s="281" t="s">
        <v>992</v>
      </c>
    </row>
    <row r="462" spans="1:15" x14ac:dyDescent="0.2">
      <c r="A462" s="279"/>
      <c r="B462" s="280"/>
      <c r="C462" s="270"/>
      <c r="D462" s="270"/>
      <c r="E462" s="281" t="s">
        <v>993</v>
      </c>
      <c r="O462" s="4"/>
    </row>
    <row r="463" spans="1:15" x14ac:dyDescent="0.2">
      <c r="A463" s="279"/>
      <c r="B463" s="280"/>
      <c r="C463" s="270"/>
      <c r="D463" s="270"/>
      <c r="E463" s="269" t="s">
        <v>2016</v>
      </c>
    </row>
    <row r="464" spans="1:15" x14ac:dyDescent="0.2">
      <c r="A464" s="279"/>
      <c r="B464" s="280"/>
      <c r="C464" s="270"/>
      <c r="D464" s="269" t="s">
        <v>994</v>
      </c>
      <c r="E464" s="281"/>
    </row>
    <row r="465" spans="1:23" x14ac:dyDescent="0.2">
      <c r="A465" s="290"/>
      <c r="B465" s="173"/>
      <c r="C465" s="291"/>
      <c r="D465" s="291"/>
      <c r="E465" s="292" t="s">
        <v>435</v>
      </c>
    </row>
    <row r="466" spans="1:23" x14ac:dyDescent="0.2">
      <c r="A466" s="279"/>
      <c r="B466" s="280"/>
      <c r="C466" s="270"/>
      <c r="D466" s="270"/>
      <c r="E466" s="281" t="s">
        <v>995</v>
      </c>
    </row>
    <row r="467" spans="1:23" x14ac:dyDescent="0.2">
      <c r="A467" s="277"/>
      <c r="B467" s="268"/>
      <c r="C467" s="269"/>
      <c r="D467" s="269"/>
      <c r="E467" s="281" t="s">
        <v>996</v>
      </c>
      <c r="W467" s="231"/>
    </row>
    <row r="468" spans="1:23" x14ac:dyDescent="0.2">
      <c r="A468" s="279"/>
      <c r="B468" s="280"/>
      <c r="C468" s="270"/>
      <c r="D468" s="270"/>
      <c r="E468" s="281" t="s">
        <v>109</v>
      </c>
      <c r="W468" s="231"/>
    </row>
    <row r="469" spans="1:23" x14ac:dyDescent="0.2">
      <c r="A469" s="279"/>
      <c r="B469" s="280"/>
      <c r="C469" s="270"/>
      <c r="D469" s="270"/>
      <c r="E469" s="281" t="s">
        <v>437</v>
      </c>
      <c r="W469" s="231"/>
    </row>
    <row r="470" spans="1:23" ht="15" x14ac:dyDescent="0.35">
      <c r="A470" s="279"/>
      <c r="B470" s="280"/>
      <c r="C470" s="270"/>
      <c r="D470" s="270"/>
      <c r="E470" s="269" t="s">
        <v>2017</v>
      </c>
      <c r="S470" s="316">
        <f>SUM(O450:O468)</f>
        <v>0</v>
      </c>
      <c r="U470" s="310">
        <f>S470-'Stmt. of Fin''l. Position'!D30</f>
        <v>0</v>
      </c>
    </row>
    <row r="471" spans="1:23" x14ac:dyDescent="0.2">
      <c r="A471" s="279"/>
      <c r="B471" s="280"/>
      <c r="C471" s="270"/>
      <c r="D471" s="269" t="s">
        <v>2018</v>
      </c>
      <c r="E471" s="269"/>
    </row>
    <row r="472" spans="1:23" x14ac:dyDescent="0.2">
      <c r="A472" s="279"/>
      <c r="B472" s="280"/>
      <c r="C472" s="270"/>
      <c r="D472" s="269" t="s">
        <v>997</v>
      </c>
      <c r="E472" s="281"/>
    </row>
    <row r="473" spans="1:23" x14ac:dyDescent="0.2">
      <c r="A473" s="277"/>
      <c r="B473" s="268"/>
      <c r="C473" s="269"/>
      <c r="D473" s="269"/>
      <c r="E473" s="281" t="s">
        <v>17</v>
      </c>
      <c r="O473" s="4">
        <f>'Sched. fin''l. Position'!F387</f>
        <v>0</v>
      </c>
      <c r="P473" s="4"/>
      <c r="Q473" s="4"/>
    </row>
    <row r="474" spans="1:23" x14ac:dyDescent="0.2">
      <c r="A474" s="277"/>
      <c r="B474" s="268"/>
      <c r="C474" s="268"/>
      <c r="D474" s="268"/>
      <c r="E474" s="281" t="s">
        <v>18</v>
      </c>
      <c r="O474" s="4">
        <f>'Sched. fin''l. Position'!F380</f>
        <v>0</v>
      </c>
      <c r="P474" s="4"/>
      <c r="Q474" s="4"/>
    </row>
    <row r="475" spans="1:23" x14ac:dyDescent="0.2">
      <c r="A475" s="279"/>
      <c r="B475" s="280"/>
      <c r="C475" s="270"/>
      <c r="D475" s="270"/>
      <c r="E475" s="281" t="s">
        <v>998</v>
      </c>
      <c r="O475" s="4">
        <f>'Sched. fin''l. Position'!F381</f>
        <v>0</v>
      </c>
      <c r="P475" s="4"/>
      <c r="Q475" s="4"/>
    </row>
    <row r="476" spans="1:23" x14ac:dyDescent="0.2">
      <c r="A476" s="279"/>
      <c r="B476" s="280"/>
      <c r="C476" s="270"/>
      <c r="D476" s="270"/>
      <c r="E476" s="281" t="s">
        <v>173</v>
      </c>
      <c r="O476" s="4">
        <f>'Sched. fin''l. Position'!F382</f>
        <v>0</v>
      </c>
      <c r="P476" s="4"/>
      <c r="Q476" s="4"/>
    </row>
    <row r="477" spans="1:23" x14ac:dyDescent="0.2">
      <c r="A477" s="279"/>
      <c r="B477" s="280"/>
      <c r="C477" s="270"/>
      <c r="D477" s="270"/>
      <c r="E477" s="281" t="s">
        <v>999</v>
      </c>
      <c r="O477" s="4">
        <f>'Sched. fin''l. Position'!F383</f>
        <v>0</v>
      </c>
      <c r="P477" s="4"/>
      <c r="Q477" s="4"/>
    </row>
    <row r="478" spans="1:23" x14ac:dyDescent="0.2">
      <c r="A478" s="279"/>
      <c r="B478" s="280"/>
      <c r="C478" s="270"/>
      <c r="D478" s="270"/>
      <c r="E478" s="281" t="s">
        <v>1000</v>
      </c>
      <c r="O478" s="4">
        <f>'Sched. fin''l. Position'!F384</f>
        <v>0</v>
      </c>
      <c r="P478" s="4"/>
      <c r="Q478" s="4"/>
    </row>
    <row r="479" spans="1:23" x14ac:dyDescent="0.2">
      <c r="A479" s="279"/>
      <c r="B479" s="280"/>
      <c r="C479" s="270"/>
      <c r="D479" s="270"/>
      <c r="E479" s="281" t="s">
        <v>35</v>
      </c>
      <c r="O479" s="4">
        <f>'Sched. fin''l. Position'!F385</f>
        <v>0</v>
      </c>
      <c r="P479" s="4"/>
      <c r="Q479" s="4"/>
    </row>
    <row r="480" spans="1:23" x14ac:dyDescent="0.2">
      <c r="A480" s="279"/>
      <c r="B480" s="280"/>
      <c r="C480" s="270"/>
      <c r="D480" s="270"/>
      <c r="E480" s="292" t="s">
        <v>1001</v>
      </c>
      <c r="O480" s="4"/>
      <c r="P480" s="4"/>
      <c r="Q480" s="4"/>
    </row>
    <row r="481" spans="1:21" ht="15" x14ac:dyDescent="0.35">
      <c r="A481" s="279"/>
      <c r="B481" s="280"/>
      <c r="C481" s="270"/>
      <c r="D481" s="269" t="s">
        <v>2019</v>
      </c>
      <c r="E481" s="292"/>
      <c r="O481" s="4"/>
      <c r="P481" s="4"/>
      <c r="Q481" s="4"/>
      <c r="S481" s="316">
        <f>SUM(O473:O481)</f>
        <v>0</v>
      </c>
      <c r="U481" s="310">
        <f>S481-'Stmt. of Fin''l. Position'!D31</f>
        <v>0</v>
      </c>
    </row>
    <row r="482" spans="1:21" x14ac:dyDescent="0.2">
      <c r="A482" s="279"/>
      <c r="B482" s="280"/>
      <c r="C482" s="269"/>
      <c r="D482" s="269" t="s">
        <v>1002</v>
      </c>
      <c r="E482" s="281"/>
    </row>
    <row r="483" spans="1:21" x14ac:dyDescent="0.2">
      <c r="A483" s="279"/>
      <c r="B483" s="280"/>
      <c r="C483" s="269"/>
      <c r="D483" s="269"/>
      <c r="E483" s="281" t="s">
        <v>79</v>
      </c>
      <c r="O483" s="8">
        <f>'Sched. fin''l. Position'!F390</f>
        <v>0</v>
      </c>
    </row>
    <row r="484" spans="1:21" x14ac:dyDescent="0.2">
      <c r="A484" s="279"/>
      <c r="B484" s="280"/>
      <c r="C484" s="269"/>
      <c r="D484" s="269"/>
      <c r="E484" s="281" t="s">
        <v>1003</v>
      </c>
    </row>
    <row r="485" spans="1:21" x14ac:dyDescent="0.2">
      <c r="A485" s="279"/>
      <c r="B485" s="280"/>
      <c r="C485" s="269"/>
      <c r="D485" s="269"/>
      <c r="E485" s="281" t="s">
        <v>1004</v>
      </c>
    </row>
    <row r="486" spans="1:21" ht="15" x14ac:dyDescent="0.35">
      <c r="A486" s="279"/>
      <c r="B486" s="280"/>
      <c r="C486" s="269"/>
      <c r="D486" s="269" t="s">
        <v>2020</v>
      </c>
      <c r="E486" s="281"/>
      <c r="S486" s="316">
        <f>SUM(O483:O485)</f>
        <v>0</v>
      </c>
      <c r="U486" s="310">
        <f>S486-'Stmt. of Fin''l. Position'!D32</f>
        <v>0</v>
      </c>
    </row>
    <row r="487" spans="1:21" x14ac:dyDescent="0.2">
      <c r="A487" s="279"/>
      <c r="B487" s="280"/>
      <c r="C487" s="269"/>
      <c r="D487" s="269" t="s">
        <v>1005</v>
      </c>
      <c r="E487" s="281"/>
    </row>
    <row r="488" spans="1:21" x14ac:dyDescent="0.2">
      <c r="A488" s="279"/>
      <c r="B488" s="280"/>
      <c r="C488" s="269"/>
      <c r="D488" s="269"/>
      <c r="E488" s="281" t="s">
        <v>1005</v>
      </c>
    </row>
    <row r="489" spans="1:21" x14ac:dyDescent="0.2">
      <c r="A489" s="279"/>
      <c r="B489" s="280"/>
      <c r="C489" s="269"/>
      <c r="D489" s="269"/>
      <c r="E489" s="281" t="s">
        <v>1006</v>
      </c>
      <c r="O489" s="4"/>
      <c r="P489" s="4"/>
      <c r="Q489" s="4"/>
    </row>
    <row r="490" spans="1:21" x14ac:dyDescent="0.2">
      <c r="A490" s="279"/>
      <c r="B490" s="280"/>
      <c r="C490" s="269"/>
      <c r="D490" s="269"/>
      <c r="E490" s="281" t="s">
        <v>1007</v>
      </c>
      <c r="O490" s="4"/>
      <c r="P490" s="4"/>
      <c r="Q490" s="4"/>
    </row>
    <row r="491" spans="1:21" x14ac:dyDescent="0.2">
      <c r="A491" s="279"/>
      <c r="B491" s="280"/>
      <c r="C491" s="269"/>
      <c r="D491" s="269"/>
      <c r="E491" s="281" t="s">
        <v>1008</v>
      </c>
      <c r="O491" s="4">
        <f>'Sched. fin''l. Position'!F399</f>
        <v>0</v>
      </c>
      <c r="P491" s="4"/>
      <c r="Q491" s="4"/>
    </row>
    <row r="492" spans="1:21" x14ac:dyDescent="0.2">
      <c r="A492" s="279"/>
      <c r="B492" s="280"/>
      <c r="C492" s="269"/>
      <c r="D492" s="269"/>
      <c r="E492" s="281" t="s">
        <v>1009</v>
      </c>
      <c r="O492" s="4"/>
      <c r="P492" s="4"/>
      <c r="Q492" s="4"/>
    </row>
    <row r="493" spans="1:21" ht="15" x14ac:dyDescent="0.35">
      <c r="A493" s="279"/>
      <c r="B493" s="280"/>
      <c r="C493" s="269"/>
      <c r="D493" s="269" t="s">
        <v>2021</v>
      </c>
      <c r="E493" s="281"/>
      <c r="O493" s="4"/>
      <c r="P493" s="4"/>
      <c r="Q493" s="4"/>
      <c r="S493" s="316">
        <f>SUM(O488:O492)</f>
        <v>0</v>
      </c>
      <c r="U493" s="310">
        <f>S493-'Stmt. of Fin''l. Position'!D33</f>
        <v>0</v>
      </c>
    </row>
    <row r="494" spans="1:21" x14ac:dyDescent="0.2">
      <c r="A494" s="279"/>
      <c r="B494" s="280"/>
      <c r="C494" s="269"/>
      <c r="D494" s="269" t="s">
        <v>1010</v>
      </c>
      <c r="E494" s="281"/>
    </row>
    <row r="495" spans="1:21" x14ac:dyDescent="0.2">
      <c r="A495" s="279"/>
      <c r="B495" s="280"/>
      <c r="C495" s="269"/>
      <c r="D495" s="269"/>
      <c r="E495" s="281" t="s">
        <v>1012</v>
      </c>
      <c r="O495" s="8">
        <f>'Sched. fin''l. Position'!F404</f>
        <v>0</v>
      </c>
    </row>
    <row r="496" spans="1:21" x14ac:dyDescent="0.2">
      <c r="A496" s="279"/>
      <c r="B496" s="280"/>
      <c r="C496" s="269"/>
      <c r="D496" s="269"/>
      <c r="E496" s="281" t="s">
        <v>1013</v>
      </c>
    </row>
    <row r="497" spans="1:21" x14ac:dyDescent="0.2">
      <c r="A497" s="279"/>
      <c r="B497" s="280"/>
      <c r="C497" s="269"/>
      <c r="D497" s="269"/>
      <c r="E497" s="281" t="s">
        <v>1014</v>
      </c>
    </row>
    <row r="498" spans="1:21" x14ac:dyDescent="0.2">
      <c r="A498" s="279"/>
      <c r="B498" s="280"/>
      <c r="C498" s="269"/>
      <c r="D498" s="269"/>
      <c r="E498" s="281" t="s">
        <v>1015</v>
      </c>
    </row>
    <row r="499" spans="1:21" x14ac:dyDescent="0.2">
      <c r="A499" s="279"/>
      <c r="B499" s="280"/>
      <c r="C499" s="269"/>
      <c r="D499" s="269"/>
      <c r="E499" s="281" t="s">
        <v>1016</v>
      </c>
    </row>
    <row r="500" spans="1:21" x14ac:dyDescent="0.2">
      <c r="A500" s="279"/>
      <c r="B500" s="280"/>
      <c r="C500" s="269"/>
      <c r="D500" s="269"/>
      <c r="E500" s="281" t="s">
        <v>1017</v>
      </c>
    </row>
    <row r="501" spans="1:21" x14ac:dyDescent="0.2">
      <c r="A501" s="279"/>
      <c r="B501" s="280"/>
      <c r="C501" s="269"/>
      <c r="D501" s="269" t="s">
        <v>2022</v>
      </c>
      <c r="E501" s="281"/>
    </row>
    <row r="502" spans="1:21" x14ac:dyDescent="0.2">
      <c r="A502" s="277"/>
      <c r="B502" s="268"/>
      <c r="C502" s="282"/>
      <c r="D502" s="269" t="s">
        <v>1018</v>
      </c>
      <c r="E502" s="269"/>
    </row>
    <row r="503" spans="1:21" x14ac:dyDescent="0.2">
      <c r="A503" s="279"/>
      <c r="B503" s="280"/>
      <c r="C503" s="282"/>
      <c r="D503" s="269"/>
      <c r="E503" s="281" t="s">
        <v>2023</v>
      </c>
    </row>
    <row r="504" spans="1:21" x14ac:dyDescent="0.2">
      <c r="A504" s="279"/>
      <c r="B504" s="280"/>
      <c r="C504" s="282"/>
      <c r="D504" s="269"/>
      <c r="E504" s="281" t="s">
        <v>1020</v>
      </c>
    </row>
    <row r="505" spans="1:21" x14ac:dyDescent="0.2">
      <c r="A505" s="279"/>
      <c r="B505" s="280"/>
      <c r="C505" s="282"/>
      <c r="D505" s="291" t="s">
        <v>55</v>
      </c>
      <c r="E505" s="109"/>
      <c r="Q505" s="4"/>
    </row>
    <row r="506" spans="1:21" x14ac:dyDescent="0.2">
      <c r="A506" s="279"/>
      <c r="B506" s="280"/>
      <c r="C506" s="282"/>
      <c r="D506" s="269"/>
      <c r="E506" s="281" t="s">
        <v>55</v>
      </c>
      <c r="Q506" s="4"/>
      <c r="S506" s="27"/>
    </row>
    <row r="507" spans="1:21" ht="15" x14ac:dyDescent="0.35">
      <c r="A507" s="277"/>
      <c r="B507" s="268" t="s">
        <v>1306</v>
      </c>
      <c r="C507" s="277"/>
      <c r="D507" s="269"/>
      <c r="E507" s="278"/>
      <c r="Q507" s="4"/>
      <c r="S507" s="317">
        <f>SUM(S470,S481,S486,S493)</f>
        <v>0</v>
      </c>
      <c r="U507" s="310">
        <f>S507-'Stmt. of Fin''l. Position'!D35</f>
        <v>0</v>
      </c>
    </row>
    <row r="508" spans="1:21" ht="15" x14ac:dyDescent="0.35">
      <c r="A508" s="268"/>
      <c r="B508" s="268"/>
      <c r="C508" s="268"/>
      <c r="D508" s="269"/>
      <c r="E508" s="278"/>
      <c r="Q508" s="4"/>
      <c r="S508" s="329"/>
    </row>
    <row r="509" spans="1:21" x14ac:dyDescent="0.2">
      <c r="A509" s="280"/>
      <c r="B509" s="268" t="s">
        <v>1307</v>
      </c>
      <c r="C509" s="269"/>
      <c r="D509" s="269"/>
      <c r="E509" s="281"/>
    </row>
    <row r="510" spans="1:21" x14ac:dyDescent="0.2">
      <c r="A510" s="277"/>
      <c r="B510" s="268"/>
      <c r="C510" s="269" t="s">
        <v>1277</v>
      </c>
      <c r="D510" s="269"/>
      <c r="E510" s="278"/>
    </row>
    <row r="511" spans="1:21" x14ac:dyDescent="0.2">
      <c r="A511" s="277"/>
      <c r="B511" s="268"/>
      <c r="C511" s="269"/>
      <c r="D511" s="269" t="s">
        <v>985</v>
      </c>
      <c r="E511" s="278"/>
    </row>
    <row r="512" spans="1:21" x14ac:dyDescent="0.2">
      <c r="A512" s="279"/>
      <c r="B512" s="280"/>
      <c r="C512" s="270"/>
      <c r="D512" s="270"/>
      <c r="E512" s="281" t="s">
        <v>33</v>
      </c>
    </row>
    <row r="513" spans="1:15" x14ac:dyDescent="0.2">
      <c r="A513" s="279"/>
      <c r="B513" s="280"/>
      <c r="C513" s="270"/>
      <c r="D513" s="270"/>
      <c r="E513" s="281" t="s">
        <v>78</v>
      </c>
    </row>
    <row r="514" spans="1:15" x14ac:dyDescent="0.2">
      <c r="A514" s="279"/>
      <c r="B514" s="280"/>
      <c r="C514" s="270"/>
      <c r="D514" s="270"/>
      <c r="E514" s="281" t="s">
        <v>251</v>
      </c>
    </row>
    <row r="515" spans="1:15" x14ac:dyDescent="0.2">
      <c r="A515" s="279"/>
      <c r="B515" s="280"/>
      <c r="C515" s="270"/>
      <c r="D515" s="270"/>
      <c r="E515" s="281" t="s">
        <v>252</v>
      </c>
    </row>
    <row r="516" spans="1:15" x14ac:dyDescent="0.2">
      <c r="A516" s="277"/>
      <c r="B516" s="268"/>
      <c r="C516" s="269"/>
      <c r="D516" s="269"/>
      <c r="E516" s="281" t="s">
        <v>986</v>
      </c>
    </row>
    <row r="517" spans="1:15" x14ac:dyDescent="0.2">
      <c r="A517" s="279"/>
      <c r="B517" s="280"/>
      <c r="C517" s="270"/>
      <c r="D517" s="270"/>
      <c r="E517" s="281" t="s">
        <v>987</v>
      </c>
    </row>
    <row r="518" spans="1:15" x14ac:dyDescent="0.2">
      <c r="A518" s="279"/>
      <c r="B518" s="280"/>
      <c r="C518" s="270"/>
      <c r="D518" s="270"/>
      <c r="E518" s="281" t="s">
        <v>988</v>
      </c>
    </row>
    <row r="519" spans="1:15" x14ac:dyDescent="0.2">
      <c r="A519" s="279"/>
      <c r="B519" s="280"/>
      <c r="C519" s="270"/>
      <c r="D519" s="270"/>
      <c r="E519" s="281" t="s">
        <v>990</v>
      </c>
    </row>
    <row r="520" spans="1:15" x14ac:dyDescent="0.2">
      <c r="A520" s="279"/>
      <c r="B520" s="280"/>
      <c r="C520" s="270"/>
      <c r="D520" s="270"/>
      <c r="E520" s="281" t="s">
        <v>991</v>
      </c>
    </row>
    <row r="521" spans="1:15" x14ac:dyDescent="0.2">
      <c r="A521" s="279"/>
      <c r="B521" s="280"/>
      <c r="C521" s="270"/>
      <c r="D521" s="270"/>
      <c r="E521" s="281" t="s">
        <v>992</v>
      </c>
    </row>
    <row r="522" spans="1:15" x14ac:dyDescent="0.2">
      <c r="A522" s="279"/>
      <c r="B522" s="280"/>
      <c r="C522" s="270"/>
      <c r="D522" s="270"/>
      <c r="E522" s="281" t="s">
        <v>993</v>
      </c>
    </row>
    <row r="523" spans="1:15" x14ac:dyDescent="0.2">
      <c r="A523" s="279"/>
      <c r="B523" s="280"/>
      <c r="C523" s="270"/>
      <c r="D523" s="270"/>
      <c r="E523" s="269" t="s">
        <v>2016</v>
      </c>
    </row>
    <row r="524" spans="1:15" x14ac:dyDescent="0.2">
      <c r="A524" s="279"/>
      <c r="B524" s="280"/>
      <c r="C524" s="270"/>
      <c r="D524" s="269" t="s">
        <v>994</v>
      </c>
      <c r="E524" s="281"/>
    </row>
    <row r="525" spans="1:15" x14ac:dyDescent="0.2">
      <c r="A525" s="290"/>
      <c r="B525" s="173"/>
      <c r="C525" s="291"/>
      <c r="D525" s="291"/>
      <c r="E525" s="292" t="s">
        <v>435</v>
      </c>
    </row>
    <row r="526" spans="1:15" x14ac:dyDescent="0.2">
      <c r="A526" s="279"/>
      <c r="B526" s="280"/>
      <c r="C526" s="270"/>
      <c r="D526" s="270"/>
      <c r="E526" s="281" t="s">
        <v>995</v>
      </c>
    </row>
    <row r="527" spans="1:15" x14ac:dyDescent="0.2">
      <c r="A527" s="277"/>
      <c r="B527" s="268"/>
      <c r="C527" s="269"/>
      <c r="D527" s="269"/>
      <c r="E527" s="281" t="s">
        <v>996</v>
      </c>
    </row>
    <row r="528" spans="1:15" x14ac:dyDescent="0.2">
      <c r="A528" s="279"/>
      <c r="B528" s="280"/>
      <c r="C528" s="270"/>
      <c r="D528" s="270"/>
      <c r="E528" s="281" t="s">
        <v>109</v>
      </c>
      <c r="O528" s="8">
        <f>'Sched. fin''l. Position'!F374</f>
        <v>0</v>
      </c>
    </row>
    <row r="529" spans="1:21" x14ac:dyDescent="0.2">
      <c r="A529" s="279"/>
      <c r="B529" s="280"/>
      <c r="C529" s="270"/>
      <c r="D529" s="270"/>
      <c r="E529" s="281" t="s">
        <v>437</v>
      </c>
    </row>
    <row r="530" spans="1:21" ht="15" x14ac:dyDescent="0.35">
      <c r="A530" s="279"/>
      <c r="B530" s="280"/>
      <c r="C530" s="270"/>
      <c r="D530" s="270"/>
      <c r="E530" s="269" t="s">
        <v>2017</v>
      </c>
      <c r="S530" s="318"/>
      <c r="T530" s="315"/>
      <c r="U530" s="319"/>
    </row>
    <row r="531" spans="1:21" ht="15" x14ac:dyDescent="0.35">
      <c r="A531" s="279"/>
      <c r="B531" s="280"/>
      <c r="C531" s="270"/>
      <c r="D531" s="269" t="s">
        <v>2018</v>
      </c>
      <c r="E531" s="269"/>
      <c r="S531" s="316">
        <f>SUM(O512:O531)</f>
        <v>0</v>
      </c>
      <c r="U531" s="310">
        <f>S531-'Stmt. of Fin''l. Position'!D37</f>
        <v>0</v>
      </c>
    </row>
    <row r="532" spans="1:21" x14ac:dyDescent="0.2">
      <c r="A532" s="279"/>
      <c r="B532" s="280"/>
      <c r="C532" s="282"/>
      <c r="D532" s="269" t="s">
        <v>1010</v>
      </c>
      <c r="E532" s="269"/>
    </row>
    <row r="533" spans="1:21" x14ac:dyDescent="0.2">
      <c r="A533" s="279"/>
      <c r="B533" s="280"/>
      <c r="C533" s="282"/>
      <c r="D533" s="269"/>
      <c r="E533" s="281" t="s">
        <v>1012</v>
      </c>
      <c r="O533" s="8">
        <f>'Sched. fin''l. Position'!F404</f>
        <v>0</v>
      </c>
    </row>
    <row r="534" spans="1:21" x14ac:dyDescent="0.2">
      <c r="A534" s="279"/>
      <c r="B534" s="280"/>
      <c r="C534" s="282"/>
      <c r="D534" s="269"/>
      <c r="E534" s="281" t="s">
        <v>1013</v>
      </c>
    </row>
    <row r="535" spans="1:21" x14ac:dyDescent="0.2">
      <c r="A535" s="279"/>
      <c r="B535" s="280"/>
      <c r="C535" s="282"/>
      <c r="D535" s="269"/>
      <c r="E535" s="281" t="s">
        <v>1014</v>
      </c>
    </row>
    <row r="536" spans="1:21" x14ac:dyDescent="0.2">
      <c r="A536" s="279"/>
      <c r="B536" s="280"/>
      <c r="C536" s="282"/>
      <c r="D536" s="269"/>
      <c r="E536" s="281" t="s">
        <v>1015</v>
      </c>
    </row>
    <row r="537" spans="1:21" x14ac:dyDescent="0.2">
      <c r="A537" s="279"/>
      <c r="B537" s="280"/>
      <c r="C537" s="282"/>
      <c r="D537" s="269"/>
      <c r="E537" s="281" t="s">
        <v>1016</v>
      </c>
    </row>
    <row r="538" spans="1:21" x14ac:dyDescent="0.2">
      <c r="A538" s="279"/>
      <c r="B538" s="280"/>
      <c r="C538" s="282"/>
      <c r="D538" s="269"/>
      <c r="E538" s="281" t="s">
        <v>1017</v>
      </c>
    </row>
    <row r="539" spans="1:21" ht="15" x14ac:dyDescent="0.35">
      <c r="A539" s="279"/>
      <c r="B539" s="280"/>
      <c r="C539" s="282"/>
      <c r="D539" s="269"/>
      <c r="E539" s="269" t="s">
        <v>2022</v>
      </c>
      <c r="S539" s="316">
        <f>SUM(O533:O539)</f>
        <v>0</v>
      </c>
      <c r="U539" s="310">
        <f>S539-'Stmt. of Fin''l. Position'!D38</f>
        <v>0</v>
      </c>
    </row>
    <row r="540" spans="1:21" x14ac:dyDescent="0.2">
      <c r="A540" s="279"/>
      <c r="B540" s="280"/>
      <c r="C540" s="269"/>
      <c r="D540" s="269" t="s">
        <v>1018</v>
      </c>
      <c r="E540" s="281"/>
    </row>
    <row r="541" spans="1:21" x14ac:dyDescent="0.2">
      <c r="A541" s="279"/>
      <c r="B541" s="280"/>
      <c r="C541" s="269"/>
      <c r="D541" s="269"/>
      <c r="E541" s="281" t="s">
        <v>1019</v>
      </c>
    </row>
    <row r="542" spans="1:21" x14ac:dyDescent="0.2">
      <c r="A542" s="279"/>
      <c r="B542" s="280"/>
      <c r="C542" s="269"/>
      <c r="D542" s="269"/>
      <c r="E542" s="281" t="s">
        <v>1020</v>
      </c>
    </row>
    <row r="543" spans="1:21" x14ac:dyDescent="0.2">
      <c r="A543" s="279"/>
      <c r="B543" s="280"/>
      <c r="C543" s="269"/>
      <c r="D543" s="269" t="s">
        <v>55</v>
      </c>
      <c r="E543" s="281"/>
      <c r="Q543" s="4"/>
    </row>
    <row r="544" spans="1:21" x14ac:dyDescent="0.2">
      <c r="A544" s="279"/>
      <c r="B544" s="280"/>
      <c r="C544" s="269"/>
      <c r="D544" s="269"/>
      <c r="E544" s="281" t="s">
        <v>55</v>
      </c>
      <c r="O544" s="8">
        <f>'Sched. fin''l. Position'!F418</f>
        <v>0</v>
      </c>
      <c r="Q544" s="4"/>
      <c r="S544" s="27"/>
    </row>
    <row r="545" spans="1:22" x14ac:dyDescent="0.2">
      <c r="A545" s="279"/>
      <c r="B545" s="280"/>
      <c r="C545" s="269"/>
      <c r="D545" s="269"/>
      <c r="E545" s="281"/>
      <c r="Q545" s="4"/>
      <c r="S545" s="320">
        <f>SUM(O541:O545)</f>
        <v>0</v>
      </c>
      <c r="U545" s="310">
        <f>S545-'Stmt. of Fin''l. Position'!D40</f>
        <v>0</v>
      </c>
    </row>
    <row r="546" spans="1:22" x14ac:dyDescent="0.2">
      <c r="A546" s="279"/>
      <c r="B546" s="280"/>
      <c r="C546" s="269"/>
      <c r="D546" s="269"/>
      <c r="E546" s="281"/>
      <c r="Q546" s="4"/>
      <c r="S546" s="320"/>
    </row>
    <row r="547" spans="1:22" x14ac:dyDescent="0.2">
      <c r="A547" s="277"/>
      <c r="B547" s="268" t="s">
        <v>2024</v>
      </c>
      <c r="C547" s="277"/>
      <c r="D547" s="269"/>
      <c r="E547" s="278"/>
      <c r="Q547" s="4"/>
      <c r="S547" s="322">
        <f>SUM(S531,S539,S545)</f>
        <v>0</v>
      </c>
      <c r="U547" s="310">
        <f>S547-'Stmt. of Fin''l. Position'!D41</f>
        <v>0</v>
      </c>
    </row>
    <row r="548" spans="1:22" x14ac:dyDescent="0.2">
      <c r="A548" s="268"/>
      <c r="B548" s="268"/>
      <c r="C548" s="268"/>
      <c r="D548" s="269"/>
      <c r="E548" s="269"/>
      <c r="Q548" s="4"/>
      <c r="S548" s="27"/>
    </row>
    <row r="549" spans="1:22" x14ac:dyDescent="0.2">
      <c r="A549" s="268"/>
      <c r="B549" s="268" t="s">
        <v>2025</v>
      </c>
      <c r="C549" s="268"/>
      <c r="D549" s="269"/>
      <c r="E549" s="269"/>
      <c r="S549" s="321">
        <f>SUM(S547,S507)</f>
        <v>0</v>
      </c>
      <c r="U549" s="328">
        <f>S549-'Stmt. of Fin''l. Position'!D42</f>
        <v>0</v>
      </c>
      <c r="V549" s="9"/>
    </row>
    <row r="550" spans="1:22" x14ac:dyDescent="0.2">
      <c r="A550" s="268"/>
      <c r="B550" s="268"/>
      <c r="C550" s="268"/>
      <c r="D550" s="269"/>
      <c r="E550" s="269"/>
      <c r="S550" s="27"/>
    </row>
    <row r="551" spans="1:22" x14ac:dyDescent="0.2">
      <c r="A551" s="279"/>
      <c r="B551" s="269" t="s">
        <v>1256</v>
      </c>
      <c r="C551" s="282"/>
      <c r="D551" s="270"/>
      <c r="E551" s="281"/>
      <c r="U551" s="319"/>
    </row>
    <row r="552" spans="1:22" x14ac:dyDescent="0.2">
      <c r="A552" s="279"/>
      <c r="B552" s="174"/>
      <c r="C552" s="109" t="s">
        <v>2026</v>
      </c>
      <c r="D552" s="270"/>
      <c r="E552" s="270"/>
      <c r="O552" s="8" t="e">
        <f>#REF!</f>
        <v>#REF!</v>
      </c>
      <c r="U552" s="327"/>
    </row>
    <row r="553" spans="1:22" x14ac:dyDescent="0.2">
      <c r="A553" s="279"/>
      <c r="B553" s="174"/>
      <c r="C553" s="281" t="s">
        <v>1024</v>
      </c>
      <c r="D553" s="270"/>
      <c r="E553" s="270"/>
      <c r="U553" s="319"/>
    </row>
    <row r="554" spans="1:22" x14ac:dyDescent="0.2">
      <c r="A554" s="277"/>
      <c r="B554" s="268"/>
      <c r="C554" s="269" t="s">
        <v>2027</v>
      </c>
      <c r="D554" s="287"/>
      <c r="E554" s="287"/>
      <c r="S554" s="323"/>
      <c r="U554" s="327" t="e">
        <f>S554-'Stmt. of Fin''l. Position'!D44</f>
        <v>#REF!</v>
      </c>
    </row>
    <row r="555" spans="1:22" x14ac:dyDescent="0.2">
      <c r="A555" s="293" t="s">
        <v>2028</v>
      </c>
      <c r="B555" s="294"/>
      <c r="C555" s="282"/>
      <c r="D555" s="295"/>
      <c r="E555" s="296"/>
      <c r="U555" s="319"/>
    </row>
    <row r="556" spans="1:22" x14ac:dyDescent="0.2">
      <c r="U556" s="319"/>
    </row>
    <row r="557" spans="1:22" x14ac:dyDescent="0.2">
      <c r="U557" s="319"/>
    </row>
    <row r="560" spans="1:22" x14ac:dyDescent="0.2">
      <c r="S560" s="330">
        <f>SUM(S446-S549-S554)</f>
        <v>20343197.299999997</v>
      </c>
      <c r="T560" s="6"/>
      <c r="U560" s="328" t="s">
        <v>2031</v>
      </c>
    </row>
    <row r="561" spans="19:21" x14ac:dyDescent="0.2">
      <c r="S561" s="6"/>
      <c r="T561" s="6"/>
      <c r="U561" s="328"/>
    </row>
  </sheetData>
  <pageMargins left="0.7" right="0.7" top="0.75" bottom="0.75" header="0.3" footer="0.3"/>
  <pageSetup paperSize="9" scale="54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J51"/>
  <sheetViews>
    <sheetView zoomScale="80" zoomScaleNormal="80" workbookViewId="0">
      <pane ySplit="9" topLeftCell="A10" activePane="bottomLeft" state="frozen"/>
      <selection activeCell="E47" sqref="E47"/>
      <selection pane="bottomLeft" activeCell="D16" sqref="D16"/>
    </sheetView>
  </sheetViews>
  <sheetFormatPr defaultRowHeight="15" x14ac:dyDescent="0.25"/>
  <cols>
    <col min="1" max="1" width="5.7109375" style="194" customWidth="1"/>
    <col min="2" max="2" width="6.140625" style="194" customWidth="1"/>
    <col min="3" max="3" width="67.42578125" style="194" customWidth="1"/>
    <col min="4" max="4" width="23.7109375" style="195" customWidth="1"/>
    <col min="5" max="5" width="5.140625" style="106" hidden="1" customWidth="1"/>
    <col min="6" max="6" width="22.5703125" style="254" hidden="1" customWidth="1"/>
    <col min="7" max="7" width="19.28515625" style="106" customWidth="1"/>
    <col min="8" max="8" width="19.42578125" style="106" customWidth="1"/>
    <col min="9" max="9" width="9.140625" style="106"/>
    <col min="10" max="10" width="12.85546875" style="389" bestFit="1" customWidth="1"/>
    <col min="11" max="16384" width="9.140625" style="106"/>
  </cols>
  <sheetData>
    <row r="1" spans="1:10" ht="18.75" x14ac:dyDescent="0.25">
      <c r="A1" s="424" t="s">
        <v>198</v>
      </c>
      <c r="B1" s="424"/>
      <c r="C1" s="424"/>
      <c r="D1" s="424"/>
      <c r="H1" s="198" t="e">
        <f>H45</f>
        <v>#REF!</v>
      </c>
    </row>
    <row r="2" spans="1:10" ht="18.75" x14ac:dyDescent="0.25">
      <c r="A2" s="424" t="s">
        <v>608</v>
      </c>
      <c r="B2" s="424"/>
      <c r="C2" s="424"/>
      <c r="D2" s="424"/>
    </row>
    <row r="3" spans="1:10" ht="18.75" x14ac:dyDescent="0.25">
      <c r="A3" s="425" t="s">
        <v>1293</v>
      </c>
      <c r="B3" s="425"/>
      <c r="C3" s="425"/>
      <c r="D3" s="425"/>
    </row>
    <row r="4" spans="1:10" ht="18.75" x14ac:dyDescent="0.25">
      <c r="A4" s="178"/>
      <c r="B4" s="178"/>
      <c r="C4" s="178"/>
      <c r="D4" s="179"/>
    </row>
    <row r="5" spans="1:10" x14ac:dyDescent="0.25">
      <c r="A5" s="426" t="s">
        <v>1300</v>
      </c>
      <c r="B5" s="426"/>
      <c r="C5" s="426"/>
      <c r="D5" s="426"/>
    </row>
    <row r="6" spans="1:10" ht="18.75" x14ac:dyDescent="0.25">
      <c r="A6" s="425" t="s">
        <v>2076</v>
      </c>
      <c r="B6" s="425"/>
      <c r="C6" s="425"/>
      <c r="D6" s="425"/>
    </row>
    <row r="7" spans="1:10" ht="18.75" x14ac:dyDescent="0.25">
      <c r="A7" s="427" t="s">
        <v>171</v>
      </c>
      <c r="B7" s="427"/>
      <c r="C7" s="427"/>
      <c r="D7" s="427"/>
    </row>
    <row r="8" spans="1:10" ht="18.75" x14ac:dyDescent="0.25">
      <c r="A8" s="180"/>
      <c r="B8" s="180"/>
      <c r="C8" s="180"/>
      <c r="D8" s="180"/>
    </row>
    <row r="9" spans="1:10" ht="18.75" x14ac:dyDescent="0.25">
      <c r="A9" s="447" t="s">
        <v>1295</v>
      </c>
      <c r="B9" s="447"/>
      <c r="C9" s="448"/>
      <c r="D9" s="220">
        <v>2019</v>
      </c>
      <c r="F9" s="255">
        <v>2020</v>
      </c>
    </row>
    <row r="10" spans="1:10" s="151" customFormat="1" ht="15.75" x14ac:dyDescent="0.25">
      <c r="A10" s="441" t="s">
        <v>87</v>
      </c>
      <c r="B10" s="441"/>
      <c r="C10" s="441"/>
      <c r="D10" s="441"/>
      <c r="F10" s="256"/>
      <c r="J10" s="390"/>
    </row>
    <row r="11" spans="1:10" s="151" customFormat="1" ht="15.75" x14ac:dyDescent="0.25">
      <c r="A11" s="181"/>
      <c r="B11" s="182" t="s">
        <v>593</v>
      </c>
      <c r="C11" s="183"/>
      <c r="D11" s="184"/>
      <c r="F11" s="256"/>
      <c r="J11" s="390"/>
    </row>
    <row r="12" spans="1:10" s="151" customFormat="1" ht="15.75" x14ac:dyDescent="0.25">
      <c r="A12" s="185"/>
      <c r="B12" s="186"/>
      <c r="C12" s="187" t="s">
        <v>1257</v>
      </c>
      <c r="D12" s="184">
        <f>'Sched. fin''l. Position'!F21</f>
        <v>0</v>
      </c>
      <c r="F12" s="265">
        <v>134582814.80000001</v>
      </c>
      <c r="G12" s="239"/>
      <c r="H12" s="239"/>
      <c r="J12" s="390"/>
    </row>
    <row r="13" spans="1:10" s="151" customFormat="1" ht="15.75" x14ac:dyDescent="0.25">
      <c r="A13" s="185"/>
      <c r="B13" s="186"/>
      <c r="C13" s="187" t="s">
        <v>663</v>
      </c>
      <c r="D13" s="184"/>
      <c r="F13" s="265"/>
      <c r="G13" s="239"/>
      <c r="H13" s="239"/>
      <c r="J13" s="390"/>
    </row>
    <row r="14" spans="1:10" s="151" customFormat="1" ht="15.75" x14ac:dyDescent="0.25">
      <c r="A14" s="185"/>
      <c r="B14" s="186"/>
      <c r="C14" s="187" t="s">
        <v>96</v>
      </c>
      <c r="D14" s="184"/>
      <c r="F14" s="265">
        <v>42773138.799999997</v>
      </c>
      <c r="G14" s="239"/>
      <c r="H14" s="239"/>
      <c r="J14" s="390"/>
    </row>
    <row r="15" spans="1:10" s="151" customFormat="1" ht="15.75" x14ac:dyDescent="0.25">
      <c r="A15" s="185"/>
      <c r="B15" s="186"/>
      <c r="C15" s="187" t="s">
        <v>129</v>
      </c>
      <c r="D15" s="184">
        <f>'Sched. fin''l. Position'!F157</f>
        <v>0</v>
      </c>
      <c r="F15" s="265">
        <v>6523268.8099999996</v>
      </c>
      <c r="G15" s="239"/>
      <c r="H15" s="239"/>
      <c r="J15" s="390"/>
    </row>
    <row r="16" spans="1:10" s="151" customFormat="1" ht="15.75" x14ac:dyDescent="0.25">
      <c r="A16" s="185"/>
      <c r="B16" s="186"/>
      <c r="C16" s="187" t="s">
        <v>1258</v>
      </c>
      <c r="D16" s="184"/>
      <c r="F16" s="265">
        <v>855449.75</v>
      </c>
      <c r="G16" s="239"/>
      <c r="H16" s="239"/>
      <c r="J16" s="390"/>
    </row>
    <row r="17" spans="1:10" s="151" customFormat="1" ht="15.75" x14ac:dyDescent="0.25">
      <c r="A17" s="446" t="s">
        <v>1301</v>
      </c>
      <c r="B17" s="446"/>
      <c r="C17" s="446"/>
      <c r="D17" s="223">
        <f>SUM(D12:D16)</f>
        <v>0</v>
      </c>
      <c r="F17" s="258">
        <f>SUM(F12:F16)</f>
        <v>184734672.16000003</v>
      </c>
      <c r="G17" s="239"/>
      <c r="H17" s="239"/>
      <c r="J17" s="390"/>
    </row>
    <row r="18" spans="1:10" s="151" customFormat="1" ht="15.75" x14ac:dyDescent="0.25">
      <c r="A18" s="181"/>
      <c r="B18" s="182" t="s">
        <v>1302</v>
      </c>
      <c r="C18" s="183"/>
      <c r="D18" s="184"/>
      <c r="F18" s="257"/>
      <c r="G18" s="239"/>
      <c r="H18" s="239"/>
      <c r="J18" s="390"/>
    </row>
    <row r="19" spans="1:10" s="151" customFormat="1" ht="15.75" x14ac:dyDescent="0.25">
      <c r="A19" s="185"/>
      <c r="B19" s="186"/>
      <c r="C19" s="187" t="s">
        <v>663</v>
      </c>
      <c r="D19" s="184"/>
      <c r="F19" s="265">
        <f>[4]DECEMBER!$J$14</f>
        <v>72000</v>
      </c>
      <c r="G19" s="239"/>
      <c r="H19" s="239"/>
      <c r="J19" s="390"/>
    </row>
    <row r="20" spans="1:10" s="151" customFormat="1" ht="15.75" x14ac:dyDescent="0.25">
      <c r="A20" s="185"/>
      <c r="B20" s="186"/>
      <c r="C20" s="187" t="s">
        <v>96</v>
      </c>
      <c r="D20" s="184"/>
      <c r="F20" s="265">
        <v>168842.18</v>
      </c>
      <c r="G20" s="239"/>
      <c r="H20" s="239"/>
      <c r="J20" s="390"/>
    </row>
    <row r="21" spans="1:10" s="151" customFormat="1" ht="15.75" x14ac:dyDescent="0.25">
      <c r="A21" s="185"/>
      <c r="B21" s="186"/>
      <c r="C21" s="187" t="s">
        <v>781</v>
      </c>
      <c r="D21" s="184"/>
      <c r="F21" s="265">
        <v>2175110</v>
      </c>
      <c r="G21" s="239"/>
      <c r="H21" s="239"/>
      <c r="J21" s="390"/>
    </row>
    <row r="22" spans="1:10" s="151" customFormat="1" ht="15.75" x14ac:dyDescent="0.25">
      <c r="A22" s="185"/>
      <c r="B22" s="186"/>
      <c r="C22" s="187" t="s">
        <v>1259</v>
      </c>
      <c r="D22" s="184"/>
      <c r="F22" s="265">
        <v>234720365.63999999</v>
      </c>
      <c r="G22" s="239"/>
      <c r="H22" s="239"/>
      <c r="J22" s="390"/>
    </row>
    <row r="23" spans="1:10" s="151" customFormat="1" ht="15.75" x14ac:dyDescent="0.25">
      <c r="A23" s="185"/>
      <c r="B23" s="186"/>
      <c r="C23" s="187" t="s">
        <v>969</v>
      </c>
      <c r="D23" s="184"/>
      <c r="F23" s="265"/>
      <c r="G23" s="239"/>
      <c r="H23" s="239"/>
      <c r="J23" s="390"/>
    </row>
    <row r="24" spans="1:10" s="151" customFormat="1" ht="15.75" x14ac:dyDescent="0.25">
      <c r="A24" s="185"/>
      <c r="B24" s="186"/>
      <c r="C24" s="187" t="s">
        <v>974</v>
      </c>
      <c r="D24" s="184"/>
      <c r="F24" s="265">
        <v>328599</v>
      </c>
      <c r="G24" s="239"/>
      <c r="H24" s="239"/>
      <c r="J24" s="390"/>
    </row>
    <row r="25" spans="1:10" s="151" customFormat="1" ht="15.75" x14ac:dyDescent="0.25">
      <c r="A25" s="384"/>
      <c r="B25" s="385"/>
      <c r="C25" s="386"/>
      <c r="D25" s="387"/>
      <c r="F25" s="388"/>
      <c r="G25" s="239"/>
      <c r="H25" s="239"/>
      <c r="J25" s="390"/>
    </row>
    <row r="26" spans="1:10" s="151" customFormat="1" ht="16.5" thickBot="1" x14ac:dyDescent="0.3">
      <c r="A26" s="449" t="s">
        <v>1303</v>
      </c>
      <c r="B26" s="449"/>
      <c r="C26" s="449"/>
      <c r="D26" s="224"/>
      <c r="F26" s="262">
        <f>SUM(F19:F24)</f>
        <v>237464916.81999999</v>
      </c>
      <c r="G26" s="239"/>
      <c r="H26" s="239"/>
      <c r="J26" s="390"/>
    </row>
    <row r="27" spans="1:10" s="151" customFormat="1" ht="16.5" thickBot="1" x14ac:dyDescent="0.3">
      <c r="A27" s="450" t="s">
        <v>1304</v>
      </c>
      <c r="B27" s="451"/>
      <c r="C27" s="452"/>
      <c r="D27" s="222">
        <f>D17+D26</f>
        <v>0</v>
      </c>
      <c r="F27" s="264">
        <f>SUM(F17+F26)</f>
        <v>422199588.98000002</v>
      </c>
      <c r="G27" s="239"/>
      <c r="H27" s="239"/>
      <c r="J27" s="390"/>
    </row>
    <row r="28" spans="1:10" s="151" customFormat="1" ht="15.75" customHeight="1" x14ac:dyDescent="0.25">
      <c r="A28" s="441" t="s">
        <v>92</v>
      </c>
      <c r="B28" s="441"/>
      <c r="C28" s="441"/>
      <c r="D28" s="441"/>
      <c r="F28" s="263"/>
      <c r="G28" s="239"/>
      <c r="H28" s="239"/>
      <c r="J28" s="390"/>
    </row>
    <row r="29" spans="1:10" s="151" customFormat="1" ht="15.75" x14ac:dyDescent="0.25">
      <c r="A29" s="181"/>
      <c r="B29" s="182" t="s">
        <v>1305</v>
      </c>
      <c r="C29" s="183"/>
      <c r="D29" s="184"/>
      <c r="F29" s="257"/>
      <c r="G29" s="239"/>
      <c r="H29" s="239"/>
      <c r="J29" s="390"/>
    </row>
    <row r="30" spans="1:10" s="151" customFormat="1" ht="15.75" x14ac:dyDescent="0.25">
      <c r="A30" s="185"/>
      <c r="B30" s="186"/>
      <c r="C30" s="187" t="s">
        <v>1260</v>
      </c>
      <c r="D30" s="184">
        <f>SUM('Sched. fin''l. Position'!F360)</f>
        <v>0</v>
      </c>
      <c r="F30" s="265">
        <v>67694.710000000006</v>
      </c>
      <c r="G30" s="239"/>
      <c r="H30" s="239"/>
      <c r="J30" s="390"/>
    </row>
    <row r="31" spans="1:10" s="151" customFormat="1" ht="15.75" x14ac:dyDescent="0.25">
      <c r="A31" s="185"/>
      <c r="B31" s="186"/>
      <c r="C31" s="187" t="s">
        <v>997</v>
      </c>
      <c r="D31" s="184">
        <f>'Sched. fin''l. Position'!F387</f>
        <v>0</v>
      </c>
      <c r="F31" s="265">
        <v>14264606.029999999</v>
      </c>
      <c r="G31" s="239"/>
      <c r="H31" s="239"/>
      <c r="J31" s="390"/>
    </row>
    <row r="32" spans="1:10" s="151" customFormat="1" ht="15.75" x14ac:dyDescent="0.25">
      <c r="A32" s="185"/>
      <c r="B32" s="186"/>
      <c r="C32" s="187" t="s">
        <v>1002</v>
      </c>
      <c r="D32" s="184">
        <f>SUM('Sched. fin''l. Position'!F393)</f>
        <v>0</v>
      </c>
      <c r="F32" s="265">
        <v>5734628.4000000004</v>
      </c>
      <c r="G32" s="239"/>
      <c r="H32" s="239"/>
      <c r="J32" s="390"/>
    </row>
    <row r="33" spans="1:10" s="151" customFormat="1" ht="15.75" x14ac:dyDescent="0.25">
      <c r="A33" s="185"/>
      <c r="B33" s="186"/>
      <c r="C33" s="187" t="s">
        <v>1261</v>
      </c>
      <c r="D33" s="184">
        <f>SUM('Sched. fin''l. Position'!F401)</f>
        <v>0</v>
      </c>
      <c r="F33" s="265">
        <v>1608601.65</v>
      </c>
      <c r="G33" s="239"/>
      <c r="H33" s="239"/>
      <c r="J33" s="390"/>
    </row>
    <row r="34" spans="1:10" s="151" customFormat="1" ht="15.75" x14ac:dyDescent="0.25">
      <c r="A34" s="185"/>
      <c r="B34" s="186"/>
      <c r="C34" s="187" t="s">
        <v>1010</v>
      </c>
      <c r="D34" s="266"/>
      <c r="F34" s="265" t="s">
        <v>1617</v>
      </c>
      <c r="G34" s="239"/>
      <c r="H34" s="239"/>
      <c r="J34" s="390"/>
    </row>
    <row r="35" spans="1:10" s="151" customFormat="1" ht="15.75" x14ac:dyDescent="0.25">
      <c r="A35" s="446" t="s">
        <v>1306</v>
      </c>
      <c r="B35" s="446"/>
      <c r="C35" s="446"/>
      <c r="D35" s="223">
        <f>SUM(D30:D34)</f>
        <v>0</v>
      </c>
      <c r="F35" s="260">
        <f>SUM(F30:F34)</f>
        <v>21675530.789999999</v>
      </c>
      <c r="G35" s="239"/>
      <c r="H35" s="239"/>
      <c r="J35" s="390"/>
    </row>
    <row r="36" spans="1:10" s="151" customFormat="1" ht="17.25" customHeight="1" x14ac:dyDescent="0.25">
      <c r="A36" s="181"/>
      <c r="B36" s="182" t="s">
        <v>1307</v>
      </c>
      <c r="C36" s="183"/>
      <c r="D36" s="184"/>
      <c r="F36" s="257"/>
      <c r="G36" s="239"/>
      <c r="H36" s="239"/>
      <c r="J36" s="390"/>
    </row>
    <row r="37" spans="1:10" s="151" customFormat="1" ht="15.75" x14ac:dyDescent="0.25">
      <c r="A37" s="185"/>
      <c r="B37" s="186"/>
      <c r="C37" s="187" t="s">
        <v>1262</v>
      </c>
      <c r="D37" s="184">
        <f>SUM('Sched. fin''l. Position'!F374)</f>
        <v>0</v>
      </c>
      <c r="F37" s="265">
        <v>464169.2</v>
      </c>
      <c r="G37" s="253"/>
      <c r="H37" s="239"/>
      <c r="J37" s="390"/>
    </row>
    <row r="38" spans="1:10" s="151" customFormat="1" ht="15.75" x14ac:dyDescent="0.25">
      <c r="A38" s="185"/>
      <c r="B38" s="186"/>
      <c r="C38" s="187" t="s">
        <v>1010</v>
      </c>
      <c r="D38" s="184">
        <f>SUM('Sched. fin''l. Position'!F410)</f>
        <v>0</v>
      </c>
      <c r="F38" s="265">
        <v>16156052.939999999</v>
      </c>
      <c r="G38" s="239"/>
      <c r="H38" s="239"/>
      <c r="J38" s="390"/>
    </row>
    <row r="39" spans="1:10" s="151" customFormat="1" ht="15.75" x14ac:dyDescent="0.25">
      <c r="A39" s="185"/>
      <c r="B39" s="186"/>
      <c r="C39" s="187" t="s">
        <v>1018</v>
      </c>
      <c r="D39" s="184">
        <f>'Sched. fin''l. Position'!F415</f>
        <v>0</v>
      </c>
      <c r="F39" s="265"/>
      <c r="G39" s="239"/>
      <c r="H39" s="239"/>
      <c r="J39" s="390"/>
    </row>
    <row r="40" spans="1:10" s="151" customFormat="1" ht="15.75" x14ac:dyDescent="0.25">
      <c r="A40" s="185"/>
      <c r="B40" s="186"/>
      <c r="C40" s="187" t="s">
        <v>55</v>
      </c>
      <c r="D40" s="184">
        <f>SUM('Sched. fin''l. Position'!F418)</f>
        <v>0</v>
      </c>
      <c r="F40" s="265">
        <v>546567.84</v>
      </c>
      <c r="G40" s="239"/>
      <c r="H40" s="239"/>
      <c r="J40" s="390"/>
    </row>
    <row r="41" spans="1:10" s="151" customFormat="1" ht="16.5" thickBot="1" x14ac:dyDescent="0.3">
      <c r="A41" s="445" t="s">
        <v>1308</v>
      </c>
      <c r="B41" s="445"/>
      <c r="C41" s="445"/>
      <c r="D41" s="188">
        <f>SUM(D37:D40)</f>
        <v>0</v>
      </c>
      <c r="F41" s="262">
        <f>SUM(F37:F40)</f>
        <v>17166789.98</v>
      </c>
      <c r="G41" s="239"/>
      <c r="H41" s="239"/>
      <c r="J41" s="390"/>
    </row>
    <row r="42" spans="1:10" s="151" customFormat="1" ht="15" customHeight="1" thickBot="1" x14ac:dyDescent="0.3">
      <c r="A42" s="450" t="s">
        <v>1309</v>
      </c>
      <c r="B42" s="451"/>
      <c r="C42" s="452"/>
      <c r="D42" s="222">
        <f>SUM(D35,D41)</f>
        <v>0</v>
      </c>
      <c r="F42" s="264">
        <f>SUM(F35+F41)</f>
        <v>38842320.769999996</v>
      </c>
      <c r="G42" s="239"/>
      <c r="H42" s="239"/>
      <c r="J42" s="390"/>
    </row>
    <row r="43" spans="1:10" s="151" customFormat="1" ht="16.5" customHeight="1" x14ac:dyDescent="0.25">
      <c r="A43" s="441" t="s">
        <v>1256</v>
      </c>
      <c r="B43" s="441"/>
      <c r="C43" s="441"/>
      <c r="D43" s="441"/>
      <c r="F43" s="263"/>
      <c r="G43" s="239"/>
      <c r="H43" s="239"/>
      <c r="J43" s="390"/>
    </row>
    <row r="44" spans="1:10" s="151" customFormat="1" ht="15.75" x14ac:dyDescent="0.25">
      <c r="A44" s="185"/>
      <c r="B44" s="186" t="s">
        <v>80</v>
      </c>
      <c r="C44" s="187"/>
      <c r="D44" s="184" t="e">
        <f>#REF!</f>
        <v>#REF!</v>
      </c>
      <c r="F44" s="265">
        <v>383357268.20999998</v>
      </c>
      <c r="G44" s="239"/>
      <c r="H44" s="239"/>
      <c r="J44" s="390"/>
    </row>
    <row r="45" spans="1:10" s="151" customFormat="1" ht="18.75" x14ac:dyDescent="0.3">
      <c r="A45" s="442" t="s">
        <v>1310</v>
      </c>
      <c r="B45" s="443"/>
      <c r="C45" s="444"/>
      <c r="D45" s="221" t="e">
        <f>SUM(D42+D44)</f>
        <v>#REF!</v>
      </c>
      <c r="F45" s="261">
        <f>SUM(F44+F42)</f>
        <v>422199588.97999996</v>
      </c>
      <c r="G45" s="239"/>
      <c r="H45" s="176" t="e">
        <f>D27-D45</f>
        <v>#REF!</v>
      </c>
      <c r="I45" s="177" t="s">
        <v>1315</v>
      </c>
      <c r="J45" s="390"/>
    </row>
    <row r="48" spans="1:10" s="169" customFormat="1" ht="15.75" x14ac:dyDescent="0.25">
      <c r="A48" s="189" t="s">
        <v>638</v>
      </c>
      <c r="B48" s="189"/>
      <c r="C48" s="190" t="s">
        <v>163</v>
      </c>
      <c r="D48" s="191"/>
      <c r="F48" s="259"/>
      <c r="J48" s="391"/>
    </row>
    <row r="49" spans="1:10" s="169" customFormat="1" ht="15.75" x14ac:dyDescent="0.25">
      <c r="A49" s="189"/>
      <c r="B49" s="189"/>
      <c r="C49" s="189"/>
      <c r="D49" s="191"/>
      <c r="F49" s="259"/>
      <c r="J49" s="391"/>
    </row>
    <row r="50" spans="1:10" s="169" customFormat="1" ht="15.75" x14ac:dyDescent="0.25">
      <c r="A50" s="189"/>
      <c r="B50" s="422" t="s">
        <v>2081</v>
      </c>
      <c r="C50" s="422"/>
      <c r="D50" s="192" t="s">
        <v>1940</v>
      </c>
      <c r="F50" s="259"/>
      <c r="J50" s="391"/>
    </row>
    <row r="51" spans="1:10" s="169" customFormat="1" ht="15.75" x14ac:dyDescent="0.25">
      <c r="A51" s="189"/>
      <c r="B51" s="420" t="s">
        <v>2086</v>
      </c>
      <c r="C51" s="420"/>
      <c r="D51" s="193" t="s">
        <v>161</v>
      </c>
      <c r="F51" s="259"/>
      <c r="J51" s="391"/>
    </row>
  </sheetData>
  <mergeCells count="19">
    <mergeCell ref="B50:C50"/>
    <mergeCell ref="B51:C51"/>
    <mergeCell ref="A41:C41"/>
    <mergeCell ref="A17:C17"/>
    <mergeCell ref="A9:C9"/>
    <mergeCell ref="A26:C26"/>
    <mergeCell ref="A27:C27"/>
    <mergeCell ref="A28:D28"/>
    <mergeCell ref="A35:C35"/>
    <mergeCell ref="A42:C42"/>
    <mergeCell ref="A43:D43"/>
    <mergeCell ref="A45:C45"/>
    <mergeCell ref="A1:D1"/>
    <mergeCell ref="A2:D2"/>
    <mergeCell ref="A3:D3"/>
    <mergeCell ref="A5:D5"/>
    <mergeCell ref="A6:D6"/>
    <mergeCell ref="A7:D7"/>
    <mergeCell ref="A10:D10"/>
  </mergeCells>
  <printOptions horizontalCentered="1"/>
  <pageMargins left="0.75" right="0.75" top="0.75" bottom="0.5" header="0.63" footer="0.12"/>
  <pageSetup scale="6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3"/>
  <sheetViews>
    <sheetView zoomScale="80" zoomScaleNormal="80" workbookViewId="0">
      <selection activeCell="S63" sqref="S63"/>
    </sheetView>
  </sheetViews>
  <sheetFormatPr defaultRowHeight="15.75" x14ac:dyDescent="0.25"/>
  <cols>
    <col min="1" max="2" width="7.140625" style="189" customWidth="1"/>
    <col min="3" max="3" width="7.5703125" style="189" customWidth="1"/>
    <col min="4" max="4" width="9.7109375" style="189" customWidth="1"/>
    <col min="5" max="5" width="43.140625" style="189" customWidth="1"/>
    <col min="6" max="6" width="19.5703125" style="189" customWidth="1"/>
    <col min="7" max="7" width="0.140625" style="189" hidden="1" customWidth="1"/>
    <col min="8" max="8" width="0" style="107" hidden="1" customWidth="1"/>
    <col min="9" max="9" width="17" style="107" hidden="1" customWidth="1"/>
    <col min="10" max="10" width="19.5703125" style="107" hidden="1" customWidth="1"/>
    <col min="11" max="11" width="4" style="332" hidden="1" customWidth="1"/>
    <col min="12" max="12" width="3.85546875" style="107" customWidth="1"/>
    <col min="13" max="13" width="14.28515625" style="107" bestFit="1" customWidth="1"/>
    <col min="14" max="14" width="19.85546875" style="107" customWidth="1"/>
    <col min="15" max="16384" width="9.140625" style="107"/>
  </cols>
  <sheetData>
    <row r="1" spans="1:13" ht="14.25" customHeight="1" x14ac:dyDescent="0.25">
      <c r="A1" s="453" t="s">
        <v>198</v>
      </c>
      <c r="B1" s="453"/>
      <c r="C1" s="453"/>
      <c r="D1" s="453"/>
      <c r="E1" s="453"/>
      <c r="F1" s="453"/>
      <c r="G1" s="453"/>
    </row>
    <row r="2" spans="1:13" ht="14.25" customHeight="1" x14ac:dyDescent="0.25">
      <c r="A2" s="453" t="s">
        <v>608</v>
      </c>
      <c r="B2" s="453"/>
      <c r="C2" s="453"/>
      <c r="D2" s="453"/>
      <c r="E2" s="453"/>
      <c r="F2" s="453"/>
      <c r="G2" s="453"/>
    </row>
    <row r="3" spans="1:13" ht="14.25" customHeight="1" x14ac:dyDescent="0.25">
      <c r="A3" s="454" t="s">
        <v>86</v>
      </c>
      <c r="B3" s="454"/>
      <c r="C3" s="454"/>
      <c r="D3" s="454"/>
      <c r="E3" s="454"/>
      <c r="F3" s="454"/>
      <c r="G3" s="454"/>
    </row>
    <row r="4" spans="1:13" ht="0.75" customHeight="1" x14ac:dyDescent="0.25">
      <c r="A4" s="191"/>
      <c r="B4" s="191"/>
      <c r="C4" s="191"/>
      <c r="D4" s="191"/>
      <c r="E4" s="191"/>
      <c r="F4" s="333"/>
      <c r="G4" s="334"/>
    </row>
    <row r="5" spans="1:13" x14ac:dyDescent="0.25">
      <c r="A5" s="455" t="s">
        <v>2032</v>
      </c>
      <c r="B5" s="455"/>
      <c r="C5" s="455"/>
      <c r="D5" s="455"/>
      <c r="E5" s="455"/>
      <c r="F5" s="455"/>
      <c r="G5" s="455"/>
    </row>
    <row r="6" spans="1:13" ht="19.5" x14ac:dyDescent="0.25">
      <c r="A6" s="456" t="s">
        <v>171</v>
      </c>
      <c r="B6" s="456"/>
      <c r="C6" s="456"/>
      <c r="D6" s="456"/>
      <c r="E6" s="456"/>
      <c r="F6" s="456"/>
      <c r="G6" s="456"/>
    </row>
    <row r="7" spans="1:13" ht="15" customHeight="1" thickBot="1" x14ac:dyDescent="0.3">
      <c r="A7" s="457" t="s">
        <v>2033</v>
      </c>
      <c r="B7" s="457"/>
      <c r="C7" s="457"/>
      <c r="D7" s="457"/>
      <c r="E7" s="457"/>
      <c r="F7" s="457"/>
      <c r="G7" s="457"/>
      <c r="M7" s="332"/>
    </row>
    <row r="8" spans="1:13" ht="17.25" thickTop="1" thickBot="1" x14ac:dyDescent="0.3">
      <c r="A8" s="458" t="s">
        <v>2034</v>
      </c>
      <c r="B8" s="459"/>
      <c r="C8" s="459"/>
      <c r="D8" s="459"/>
      <c r="E8" s="460"/>
      <c r="F8" s="335">
        <v>2019</v>
      </c>
      <c r="G8" s="336"/>
    </row>
    <row r="9" spans="1:13" ht="14.25" customHeight="1" thickTop="1" x14ac:dyDescent="0.25">
      <c r="A9" s="337" t="s">
        <v>2035</v>
      </c>
      <c r="B9" s="191"/>
      <c r="C9" s="191"/>
      <c r="D9" s="191"/>
      <c r="E9" s="338"/>
      <c r="F9" s="339"/>
      <c r="G9" s="340"/>
    </row>
    <row r="10" spans="1:13" ht="14.25" customHeight="1" x14ac:dyDescent="0.25">
      <c r="A10" s="337" t="s">
        <v>2036</v>
      </c>
      <c r="B10" s="191"/>
      <c r="C10" s="191"/>
      <c r="D10" s="191"/>
      <c r="E10" s="338"/>
      <c r="F10" s="339"/>
      <c r="G10" s="341"/>
      <c r="H10" s="169"/>
      <c r="I10" s="169"/>
      <c r="J10" s="169"/>
      <c r="K10" s="342"/>
      <c r="L10" s="169"/>
    </row>
    <row r="11" spans="1:13" s="348" customFormat="1" ht="14.25" customHeight="1" x14ac:dyDescent="0.25">
      <c r="A11" s="343"/>
      <c r="B11" s="461" t="s">
        <v>2037</v>
      </c>
      <c r="C11" s="461"/>
      <c r="D11" s="461"/>
      <c r="E11" s="462"/>
      <c r="F11" s="339"/>
      <c r="G11" s="341"/>
      <c r="H11" s="344"/>
      <c r="I11" s="344"/>
      <c r="J11" s="344"/>
      <c r="K11" s="345"/>
      <c r="L11" s="346"/>
      <c r="M11" s="347"/>
    </row>
    <row r="12" spans="1:13" s="348" customFormat="1" ht="14.25" customHeight="1" x14ac:dyDescent="0.25">
      <c r="A12" s="343"/>
      <c r="B12" s="461" t="s">
        <v>2038</v>
      </c>
      <c r="C12" s="461"/>
      <c r="D12" s="461"/>
      <c r="E12" s="462"/>
      <c r="F12" s="339"/>
      <c r="G12" s="341"/>
      <c r="H12" s="344"/>
      <c r="I12" s="349"/>
      <c r="J12" s="344"/>
      <c r="K12" s="345"/>
      <c r="L12" s="346"/>
      <c r="M12" s="347"/>
    </row>
    <row r="13" spans="1:13" s="348" customFormat="1" ht="14.25" customHeight="1" x14ac:dyDescent="0.25">
      <c r="A13" s="343"/>
      <c r="B13" s="461" t="s">
        <v>2039</v>
      </c>
      <c r="C13" s="461"/>
      <c r="D13" s="461"/>
      <c r="E13" s="462"/>
      <c r="F13" s="339"/>
      <c r="G13" s="341"/>
      <c r="H13" s="344"/>
      <c r="I13" s="350"/>
      <c r="J13" s="344"/>
      <c r="K13" s="345"/>
      <c r="L13" s="346"/>
      <c r="M13" s="347"/>
    </row>
    <row r="14" spans="1:13" s="348" customFormat="1" ht="14.25" customHeight="1" x14ac:dyDescent="0.25">
      <c r="A14" s="343"/>
      <c r="B14" s="461" t="s">
        <v>49</v>
      </c>
      <c r="C14" s="461"/>
      <c r="D14" s="461"/>
      <c r="E14" s="462"/>
      <c r="F14" s="339"/>
      <c r="G14" s="341"/>
      <c r="H14" s="344"/>
      <c r="I14" s="349"/>
      <c r="J14" s="349"/>
      <c r="K14" s="345"/>
      <c r="L14" s="346"/>
      <c r="M14" s="347"/>
    </row>
    <row r="15" spans="1:13" s="348" customFormat="1" ht="14.25" customHeight="1" x14ac:dyDescent="0.25">
      <c r="A15" s="343"/>
      <c r="B15" s="461" t="s">
        <v>281</v>
      </c>
      <c r="C15" s="461"/>
      <c r="D15" s="461"/>
      <c r="E15" s="462"/>
      <c r="F15" s="339"/>
      <c r="G15" s="341"/>
      <c r="H15" s="344"/>
      <c r="I15" s="344"/>
      <c r="J15" s="344"/>
      <c r="K15" s="345"/>
      <c r="L15" s="346"/>
      <c r="M15" s="347"/>
    </row>
    <row r="16" spans="1:13" s="348" customFormat="1" ht="14.25" customHeight="1" thickBot="1" x14ac:dyDescent="0.3">
      <c r="A16" s="343"/>
      <c r="B16" s="461" t="s">
        <v>2040</v>
      </c>
      <c r="C16" s="461"/>
      <c r="D16" s="461"/>
      <c r="E16" s="462"/>
      <c r="F16" s="339"/>
      <c r="G16" s="248"/>
      <c r="H16" s="344"/>
      <c r="I16" s="344"/>
      <c r="J16" s="344"/>
      <c r="K16" s="345"/>
      <c r="L16" s="346"/>
      <c r="M16" s="347"/>
    </row>
    <row r="17" spans="1:14" ht="14.25" customHeight="1" thickBot="1" x14ac:dyDescent="0.3">
      <c r="A17" s="343"/>
      <c r="B17" s="463" t="s">
        <v>2041</v>
      </c>
      <c r="C17" s="463"/>
      <c r="D17" s="463"/>
      <c r="E17" s="464"/>
      <c r="F17" s="351"/>
      <c r="G17" s="352"/>
      <c r="H17" s="169"/>
      <c r="I17" s="353">
        <f>SUM(I12:I16)</f>
        <v>0</v>
      </c>
      <c r="J17" s="169"/>
      <c r="K17" s="342"/>
      <c r="L17" s="354"/>
      <c r="M17" s="355"/>
    </row>
    <row r="18" spans="1:14" ht="14.25" customHeight="1" x14ac:dyDescent="0.25">
      <c r="A18" s="337" t="s">
        <v>2042</v>
      </c>
      <c r="B18" s="191"/>
      <c r="C18" s="191"/>
      <c r="D18" s="191"/>
      <c r="E18" s="338"/>
      <c r="F18" s="339"/>
      <c r="G18" s="341"/>
      <c r="H18" s="169"/>
      <c r="I18" s="169"/>
      <c r="J18" s="169"/>
      <c r="K18" s="342"/>
      <c r="L18" s="354"/>
      <c r="M18" s="355"/>
    </row>
    <row r="19" spans="1:14" s="348" customFormat="1" ht="14.25" customHeight="1" x14ac:dyDescent="0.25">
      <c r="A19" s="343"/>
      <c r="B19" s="465" t="s">
        <v>2043</v>
      </c>
      <c r="C19" s="465"/>
      <c r="D19" s="465"/>
      <c r="E19" s="466"/>
      <c r="F19" s="339"/>
      <c r="G19" s="341"/>
      <c r="H19" s="344"/>
      <c r="I19" s="344"/>
      <c r="J19" s="344"/>
      <c r="K19" s="345"/>
      <c r="L19" s="346"/>
      <c r="M19" s="347"/>
    </row>
    <row r="20" spans="1:14" s="348" customFormat="1" ht="14.25" customHeight="1" x14ac:dyDescent="0.25">
      <c r="A20" s="343"/>
      <c r="B20" s="465" t="s">
        <v>2044</v>
      </c>
      <c r="C20" s="465"/>
      <c r="D20" s="465"/>
      <c r="E20" s="466"/>
      <c r="F20" s="339"/>
      <c r="G20" s="341"/>
      <c r="H20" s="344"/>
      <c r="I20" s="344"/>
      <c r="J20" s="344"/>
      <c r="K20" s="345">
        <v>22617691.289999999</v>
      </c>
      <c r="L20" s="346"/>
      <c r="M20" s="347"/>
    </row>
    <row r="21" spans="1:14" s="348" customFormat="1" ht="14.25" customHeight="1" x14ac:dyDescent="0.25">
      <c r="A21" s="343"/>
      <c r="B21" s="465" t="s">
        <v>2045</v>
      </c>
      <c r="C21" s="465"/>
      <c r="D21" s="465"/>
      <c r="E21" s="466"/>
      <c r="F21" s="339"/>
      <c r="G21" s="341"/>
      <c r="H21" s="344"/>
      <c r="I21" s="344"/>
      <c r="J21" s="344"/>
      <c r="K21" s="345">
        <v>69810565.049999997</v>
      </c>
      <c r="L21" s="346"/>
      <c r="M21" s="347"/>
    </row>
    <row r="22" spans="1:14" s="348" customFormat="1" ht="14.25" customHeight="1" x14ac:dyDescent="0.25">
      <c r="A22" s="343"/>
      <c r="B22" s="465" t="s">
        <v>2046</v>
      </c>
      <c r="C22" s="465"/>
      <c r="D22" s="465"/>
      <c r="E22" s="466"/>
      <c r="F22" s="339"/>
      <c r="G22" s="341"/>
      <c r="H22" s="344"/>
      <c r="I22" s="344"/>
      <c r="J22" s="344"/>
      <c r="K22" s="345"/>
      <c r="L22" s="346"/>
      <c r="M22" s="347"/>
    </row>
    <row r="23" spans="1:14" s="348" customFormat="1" ht="14.25" customHeight="1" thickBot="1" x14ac:dyDescent="0.3">
      <c r="A23" s="343"/>
      <c r="B23" s="465" t="s">
        <v>2047</v>
      </c>
      <c r="C23" s="465"/>
      <c r="D23" s="465"/>
      <c r="E23" s="466"/>
      <c r="F23" s="339"/>
      <c r="G23" s="341"/>
      <c r="H23" s="344"/>
      <c r="I23" s="344"/>
      <c r="J23" s="349"/>
      <c r="K23" s="345">
        <v>99345643.780000001</v>
      </c>
      <c r="L23" s="346"/>
      <c r="M23" s="347"/>
    </row>
    <row r="24" spans="1:14" ht="14.25" customHeight="1" thickBot="1" x14ac:dyDescent="0.3">
      <c r="A24" s="343"/>
      <c r="B24" s="467" t="s">
        <v>2048</v>
      </c>
      <c r="C24" s="467"/>
      <c r="D24" s="467"/>
      <c r="E24" s="468"/>
      <c r="F24" s="351"/>
      <c r="G24" s="356"/>
      <c r="H24" s="169"/>
      <c r="I24" s="169"/>
      <c r="J24" s="169"/>
      <c r="K24" s="342"/>
      <c r="L24" s="354"/>
      <c r="M24" s="355"/>
    </row>
    <row r="25" spans="1:14" s="367" customFormat="1" ht="14.25" customHeight="1" thickBot="1" x14ac:dyDescent="0.3">
      <c r="A25" s="357" t="s">
        <v>2049</v>
      </c>
      <c r="B25" s="358"/>
      <c r="C25" s="358"/>
      <c r="D25" s="358"/>
      <c r="E25" s="359"/>
      <c r="F25" s="360"/>
      <c r="G25" s="361"/>
      <c r="H25" s="362"/>
      <c r="I25" s="362"/>
      <c r="J25" s="362"/>
      <c r="K25" s="363"/>
      <c r="L25" s="364"/>
      <c r="M25" s="365"/>
      <c r="N25" s="366"/>
    </row>
    <row r="26" spans="1:14" ht="14.25" customHeight="1" thickTop="1" x14ac:dyDescent="0.25">
      <c r="A26" s="337" t="s">
        <v>2050</v>
      </c>
      <c r="B26" s="191"/>
      <c r="C26" s="191"/>
      <c r="D26" s="191"/>
      <c r="E26" s="338"/>
      <c r="F26" s="339"/>
      <c r="G26" s="340"/>
      <c r="H26" s="169"/>
      <c r="I26" s="169"/>
      <c r="J26" s="169"/>
      <c r="K26" s="342"/>
      <c r="L26" s="354"/>
      <c r="M26" s="355"/>
    </row>
    <row r="27" spans="1:14" ht="14.25" customHeight="1" x14ac:dyDescent="0.25">
      <c r="A27" s="337" t="s">
        <v>2036</v>
      </c>
      <c r="B27" s="191"/>
      <c r="C27" s="191"/>
      <c r="D27" s="191"/>
      <c r="E27" s="338"/>
      <c r="F27" s="339"/>
      <c r="G27" s="341"/>
      <c r="H27" s="169"/>
      <c r="I27" s="169"/>
      <c r="J27" s="169"/>
      <c r="K27" s="342"/>
      <c r="L27" s="354"/>
      <c r="M27" s="355"/>
    </row>
    <row r="28" spans="1:14" ht="14.25" customHeight="1" x14ac:dyDescent="0.25">
      <c r="A28" s="343"/>
      <c r="B28" s="465" t="s">
        <v>2051</v>
      </c>
      <c r="C28" s="465"/>
      <c r="D28" s="465"/>
      <c r="E28" s="466"/>
      <c r="F28" s="339"/>
      <c r="G28" s="341"/>
      <c r="H28" s="169"/>
      <c r="I28" s="169"/>
      <c r="J28" s="169"/>
      <c r="K28" s="342"/>
      <c r="L28" s="354"/>
      <c r="M28" s="355"/>
    </row>
    <row r="29" spans="1:14" ht="14.25" customHeight="1" x14ac:dyDescent="0.25">
      <c r="A29" s="343"/>
      <c r="B29" s="465" t="s">
        <v>2052</v>
      </c>
      <c r="C29" s="465"/>
      <c r="D29" s="465"/>
      <c r="E29" s="466"/>
      <c r="F29" s="339"/>
      <c r="G29" s="341"/>
      <c r="H29" s="169"/>
      <c r="I29" s="169"/>
      <c r="J29" s="169"/>
      <c r="K29" s="342"/>
      <c r="L29" s="354"/>
      <c r="M29" s="355"/>
    </row>
    <row r="30" spans="1:14" ht="14.25" customHeight="1" x14ac:dyDescent="0.25">
      <c r="A30" s="343"/>
      <c r="B30" s="465" t="s">
        <v>2053</v>
      </c>
      <c r="C30" s="465"/>
      <c r="D30" s="465"/>
      <c r="E30" s="466"/>
      <c r="F30" s="339"/>
      <c r="G30" s="341"/>
      <c r="H30" s="169"/>
      <c r="I30" s="169"/>
      <c r="J30" s="169"/>
      <c r="K30" s="342"/>
      <c r="L30" s="354"/>
      <c r="M30" s="355"/>
    </row>
    <row r="31" spans="1:14" ht="14.25" customHeight="1" thickBot="1" x14ac:dyDescent="0.3">
      <c r="A31" s="343"/>
      <c r="B31" s="465" t="s">
        <v>2054</v>
      </c>
      <c r="C31" s="465"/>
      <c r="D31" s="465"/>
      <c r="E31" s="466"/>
      <c r="F31" s="339"/>
      <c r="G31" s="341"/>
      <c r="H31" s="169"/>
      <c r="I31" s="169"/>
      <c r="J31" s="169"/>
      <c r="K31" s="342"/>
      <c r="L31" s="354"/>
      <c r="M31" s="355"/>
    </row>
    <row r="32" spans="1:14" ht="14.25" customHeight="1" thickBot="1" x14ac:dyDescent="0.3">
      <c r="A32" s="343"/>
      <c r="B32" s="467" t="s">
        <v>2041</v>
      </c>
      <c r="C32" s="467"/>
      <c r="D32" s="467"/>
      <c r="E32" s="468"/>
      <c r="F32" s="351"/>
      <c r="G32" s="368"/>
      <c r="H32" s="169"/>
      <c r="I32" s="169"/>
      <c r="J32" s="169"/>
      <c r="K32" s="342"/>
      <c r="L32" s="354"/>
      <c r="M32" s="355"/>
    </row>
    <row r="33" spans="1:13" ht="14.25" customHeight="1" x14ac:dyDescent="0.25">
      <c r="A33" s="337" t="s">
        <v>2042</v>
      </c>
      <c r="B33" s="191"/>
      <c r="C33" s="191"/>
      <c r="D33" s="191"/>
      <c r="E33" s="338"/>
      <c r="F33" s="339"/>
      <c r="G33" s="341"/>
      <c r="H33" s="169"/>
      <c r="I33" s="169"/>
      <c r="J33" s="169"/>
      <c r="K33" s="342"/>
      <c r="L33" s="354"/>
      <c r="M33" s="355"/>
    </row>
    <row r="34" spans="1:13" ht="14.25" customHeight="1" x14ac:dyDescent="0.25">
      <c r="A34" s="343"/>
      <c r="B34" s="465" t="s">
        <v>2055</v>
      </c>
      <c r="C34" s="465"/>
      <c r="D34" s="465"/>
      <c r="E34" s="466"/>
      <c r="F34" s="339"/>
      <c r="G34" s="341"/>
      <c r="H34" s="169"/>
      <c r="I34" s="169"/>
      <c r="J34" s="169"/>
      <c r="K34" s="342"/>
      <c r="L34" s="354"/>
      <c r="M34" s="355"/>
    </row>
    <row r="35" spans="1:13" ht="14.25" customHeight="1" x14ac:dyDescent="0.25">
      <c r="A35" s="343"/>
      <c r="B35" s="465" t="s">
        <v>2056</v>
      </c>
      <c r="C35" s="465"/>
      <c r="D35" s="465"/>
      <c r="E35" s="466"/>
      <c r="F35" s="339"/>
      <c r="G35" s="341"/>
      <c r="H35" s="169"/>
      <c r="I35" s="169"/>
      <c r="J35" s="169"/>
      <c r="K35" s="342">
        <v>6081097.29</v>
      </c>
      <c r="L35" s="354"/>
      <c r="M35" s="355"/>
    </row>
    <row r="36" spans="1:13" ht="14.25" customHeight="1" x14ac:dyDescent="0.25">
      <c r="A36" s="343"/>
      <c r="B36" s="465" t="s">
        <v>2057</v>
      </c>
      <c r="C36" s="465"/>
      <c r="D36" s="465"/>
      <c r="E36" s="466"/>
      <c r="F36" s="339"/>
      <c r="G36" s="341"/>
      <c r="H36" s="169"/>
      <c r="I36" s="169"/>
      <c r="J36" s="169"/>
      <c r="K36" s="342"/>
      <c r="L36" s="354"/>
      <c r="M36" s="355"/>
    </row>
    <row r="37" spans="1:13" ht="14.25" customHeight="1" x14ac:dyDescent="0.25">
      <c r="A37" s="343"/>
      <c r="B37" s="465" t="s">
        <v>2058</v>
      </c>
      <c r="C37" s="465"/>
      <c r="D37" s="465"/>
      <c r="E37" s="466"/>
      <c r="F37" s="339"/>
      <c r="G37" s="341"/>
      <c r="H37" s="169"/>
      <c r="I37" s="169"/>
      <c r="J37" s="169"/>
      <c r="K37" s="342"/>
      <c r="L37" s="354"/>
      <c r="M37" s="355"/>
    </row>
    <row r="38" spans="1:13" ht="14.25" customHeight="1" x14ac:dyDescent="0.25">
      <c r="A38" s="343"/>
      <c r="B38" s="465" t="s">
        <v>2059</v>
      </c>
      <c r="C38" s="465"/>
      <c r="D38" s="465"/>
      <c r="E38" s="466"/>
      <c r="F38" s="339"/>
      <c r="G38" s="341"/>
      <c r="H38" s="169"/>
      <c r="I38" s="169"/>
      <c r="J38" s="169"/>
      <c r="K38" s="342"/>
      <c r="L38" s="354"/>
      <c r="M38" s="355"/>
    </row>
    <row r="39" spans="1:13" ht="14.25" customHeight="1" thickBot="1" x14ac:dyDescent="0.3">
      <c r="A39" s="343"/>
      <c r="B39" s="465" t="s">
        <v>2060</v>
      </c>
      <c r="C39" s="465"/>
      <c r="D39" s="465"/>
      <c r="E39" s="466"/>
      <c r="F39" s="339"/>
      <c r="G39" s="341"/>
      <c r="H39" s="169"/>
      <c r="I39" s="169"/>
      <c r="J39" s="169"/>
      <c r="K39" s="342"/>
      <c r="L39" s="354"/>
      <c r="M39" s="355"/>
    </row>
    <row r="40" spans="1:13" ht="14.25" customHeight="1" thickBot="1" x14ac:dyDescent="0.3">
      <c r="A40" s="343"/>
      <c r="B40" s="467" t="s">
        <v>2048</v>
      </c>
      <c r="C40" s="467"/>
      <c r="D40" s="467"/>
      <c r="E40" s="468"/>
      <c r="F40" s="351"/>
      <c r="G40" s="368"/>
      <c r="H40" s="169"/>
      <c r="I40" s="169"/>
      <c r="J40" s="169"/>
      <c r="K40" s="342"/>
      <c r="L40" s="169"/>
    </row>
    <row r="41" spans="1:13" s="367" customFormat="1" ht="14.25" customHeight="1" thickBot="1" x14ac:dyDescent="0.3">
      <c r="A41" s="357" t="s">
        <v>2061</v>
      </c>
      <c r="B41" s="358"/>
      <c r="C41" s="358"/>
      <c r="D41" s="358"/>
      <c r="E41" s="359"/>
      <c r="F41" s="360"/>
      <c r="G41" s="361"/>
      <c r="H41" s="362"/>
      <c r="I41" s="362"/>
      <c r="J41" s="362"/>
      <c r="K41" s="363"/>
      <c r="L41" s="362"/>
    </row>
    <row r="42" spans="1:13" ht="14.25" customHeight="1" thickTop="1" x14ac:dyDescent="0.25">
      <c r="A42" s="337" t="s">
        <v>2062</v>
      </c>
      <c r="B42" s="191"/>
      <c r="C42" s="191"/>
      <c r="D42" s="191"/>
      <c r="E42" s="338"/>
      <c r="F42" s="339"/>
      <c r="G42" s="340"/>
      <c r="H42" s="169"/>
      <c r="I42" s="169"/>
      <c r="J42" s="169"/>
      <c r="K42" s="342"/>
      <c r="L42" s="169"/>
    </row>
    <row r="43" spans="1:13" ht="14.25" customHeight="1" x14ac:dyDescent="0.25">
      <c r="A43" s="337" t="s">
        <v>2036</v>
      </c>
      <c r="B43" s="191"/>
      <c r="C43" s="191"/>
      <c r="D43" s="191"/>
      <c r="E43" s="338"/>
      <c r="F43" s="339"/>
      <c r="G43" s="341"/>
      <c r="H43" s="169"/>
      <c r="I43" s="169"/>
      <c r="J43" s="169"/>
      <c r="K43" s="342"/>
      <c r="L43" s="169"/>
    </row>
    <row r="44" spans="1:13" ht="14.25" customHeight="1" x14ac:dyDescent="0.25">
      <c r="A44" s="343"/>
      <c r="B44" s="465" t="s">
        <v>2063</v>
      </c>
      <c r="C44" s="465"/>
      <c r="D44" s="465"/>
      <c r="E44" s="466"/>
      <c r="F44" s="339"/>
      <c r="G44" s="341"/>
      <c r="H44" s="169"/>
      <c r="I44" s="169"/>
      <c r="J44" s="169"/>
      <c r="K44" s="342"/>
      <c r="L44" s="169"/>
    </row>
    <row r="45" spans="1:13" ht="14.25" customHeight="1" thickBot="1" x14ac:dyDescent="0.3">
      <c r="A45" s="343"/>
      <c r="B45" s="465" t="s">
        <v>2064</v>
      </c>
      <c r="C45" s="465"/>
      <c r="D45" s="465"/>
      <c r="E45" s="466"/>
      <c r="F45" s="339"/>
      <c r="G45" s="341"/>
      <c r="H45" s="169"/>
      <c r="I45" s="169"/>
      <c r="J45" s="169"/>
      <c r="K45" s="342"/>
      <c r="L45" s="169"/>
    </row>
    <row r="46" spans="1:13" ht="14.25" customHeight="1" thickBot="1" x14ac:dyDescent="0.3">
      <c r="A46" s="343"/>
      <c r="B46" s="467" t="s">
        <v>2041</v>
      </c>
      <c r="C46" s="467"/>
      <c r="D46" s="467"/>
      <c r="E46" s="468"/>
      <c r="F46" s="351"/>
      <c r="G46" s="369"/>
      <c r="H46" s="169"/>
      <c r="I46" s="169"/>
      <c r="J46" s="169"/>
      <c r="K46" s="342"/>
      <c r="L46" s="169"/>
    </row>
    <row r="47" spans="1:13" ht="14.25" customHeight="1" x14ac:dyDescent="0.25">
      <c r="A47" s="337" t="s">
        <v>2042</v>
      </c>
      <c r="B47" s="191"/>
      <c r="C47" s="191"/>
      <c r="D47" s="191"/>
      <c r="E47" s="338"/>
      <c r="F47" s="339"/>
      <c r="G47" s="341"/>
      <c r="H47" s="169"/>
      <c r="I47" s="169"/>
      <c r="J47" s="169"/>
      <c r="K47" s="342"/>
      <c r="L47" s="169"/>
    </row>
    <row r="48" spans="1:13" ht="14.25" customHeight="1" x14ac:dyDescent="0.25">
      <c r="A48" s="337"/>
      <c r="B48" s="465" t="s">
        <v>2065</v>
      </c>
      <c r="C48" s="465"/>
      <c r="D48" s="465"/>
      <c r="E48" s="466"/>
      <c r="F48" s="339"/>
      <c r="G48" s="341"/>
      <c r="H48" s="169"/>
      <c r="I48" s="169"/>
      <c r="J48" s="169"/>
      <c r="K48" s="342"/>
      <c r="L48" s="169"/>
    </row>
    <row r="49" spans="1:15" ht="14.25" customHeight="1" x14ac:dyDescent="0.25">
      <c r="A49" s="343"/>
      <c r="B49" s="465" t="s">
        <v>2066</v>
      </c>
      <c r="C49" s="465"/>
      <c r="D49" s="465"/>
      <c r="E49" s="466"/>
      <c r="F49" s="339"/>
      <c r="G49" s="341"/>
      <c r="H49" s="169"/>
      <c r="I49" s="169"/>
      <c r="J49" s="169"/>
      <c r="K49" s="342"/>
      <c r="L49" s="169"/>
    </row>
    <row r="50" spans="1:15" ht="14.25" customHeight="1" thickBot="1" x14ac:dyDescent="0.3">
      <c r="A50" s="343"/>
      <c r="B50" s="465" t="s">
        <v>2067</v>
      </c>
      <c r="C50" s="465"/>
      <c r="D50" s="465"/>
      <c r="E50" s="466"/>
      <c r="F50" s="339"/>
      <c r="G50" s="341"/>
      <c r="H50" s="169"/>
      <c r="I50" s="169"/>
      <c r="J50" s="169"/>
      <c r="K50" s="342"/>
      <c r="L50" s="169"/>
    </row>
    <row r="51" spans="1:15" ht="14.25" customHeight="1" thickBot="1" x14ac:dyDescent="0.3">
      <c r="A51" s="343"/>
      <c r="B51" s="467" t="s">
        <v>2048</v>
      </c>
      <c r="C51" s="467"/>
      <c r="D51" s="467"/>
      <c r="E51" s="468"/>
      <c r="F51" s="351"/>
      <c r="G51" s="369"/>
      <c r="H51" s="169"/>
      <c r="I51" s="169"/>
      <c r="J51" s="169"/>
      <c r="K51" s="342"/>
      <c r="L51" s="169"/>
    </row>
    <row r="52" spans="1:15" s="367" customFormat="1" ht="14.25" customHeight="1" thickBot="1" x14ac:dyDescent="0.3">
      <c r="A52" s="357" t="s">
        <v>2068</v>
      </c>
      <c r="B52" s="358"/>
      <c r="C52" s="358"/>
      <c r="D52" s="358"/>
      <c r="E52" s="359"/>
      <c r="F52" s="360"/>
      <c r="G52" s="370"/>
      <c r="H52" s="362"/>
      <c r="I52" s="362"/>
      <c r="J52" s="362"/>
      <c r="K52" s="363"/>
      <c r="L52" s="362"/>
    </row>
    <row r="53" spans="1:15" ht="14.25" customHeight="1" thickTop="1" thickBot="1" x14ac:dyDescent="0.3">
      <c r="A53" s="470" t="s">
        <v>2069</v>
      </c>
      <c r="B53" s="471"/>
      <c r="C53" s="471"/>
      <c r="D53" s="471"/>
      <c r="E53" s="472"/>
      <c r="F53" s="371"/>
      <c r="G53" s="372"/>
      <c r="H53" s="169"/>
      <c r="I53" s="373">
        <f>F53-I17</f>
        <v>0</v>
      </c>
      <c r="J53" s="169"/>
      <c r="K53" s="342"/>
      <c r="L53" s="169"/>
      <c r="N53" s="332"/>
    </row>
    <row r="54" spans="1:15" ht="14.25" customHeight="1" thickBot="1" x14ac:dyDescent="0.3">
      <c r="A54" s="470" t="s">
        <v>2070</v>
      </c>
      <c r="B54" s="471"/>
      <c r="C54" s="471"/>
      <c r="D54" s="471"/>
      <c r="E54" s="472"/>
      <c r="F54" s="374"/>
      <c r="G54" s="368"/>
      <c r="H54" s="169"/>
      <c r="I54" s="373">
        <f>F54</f>
        <v>0</v>
      </c>
      <c r="J54" s="169"/>
      <c r="K54" s="342"/>
      <c r="L54" s="169"/>
      <c r="N54" s="332"/>
    </row>
    <row r="55" spans="1:15" s="380" customFormat="1" ht="14.25" customHeight="1" thickBot="1" x14ac:dyDescent="0.3">
      <c r="A55" s="473" t="s">
        <v>2071</v>
      </c>
      <c r="B55" s="474"/>
      <c r="C55" s="474"/>
      <c r="D55" s="474"/>
      <c r="E55" s="475"/>
      <c r="F55" s="375"/>
      <c r="G55" s="376"/>
      <c r="H55" s="377"/>
      <c r="I55" s="378">
        <f>SUM(I53:I54)</f>
        <v>0</v>
      </c>
      <c r="J55" s="377"/>
      <c r="K55" s="379"/>
      <c r="L55" s="377"/>
      <c r="N55" s="381"/>
    </row>
    <row r="56" spans="1:15" ht="3.75" customHeight="1" thickTop="1" x14ac:dyDescent="0.25">
      <c r="N56" s="332"/>
    </row>
    <row r="57" spans="1:15" x14ac:dyDescent="0.25">
      <c r="A57" s="189" t="s">
        <v>638</v>
      </c>
      <c r="E57" s="331" t="s">
        <v>2072</v>
      </c>
      <c r="F57" s="393"/>
      <c r="N57" s="382"/>
    </row>
    <row r="58" spans="1:15" ht="17.25" customHeight="1" x14ac:dyDescent="0.25">
      <c r="F58" s="392">
        <f>F55-F57</f>
        <v>0</v>
      </c>
    </row>
    <row r="59" spans="1:15" x14ac:dyDescent="0.25">
      <c r="A59" s="421" t="s">
        <v>1995</v>
      </c>
      <c r="B59" s="421"/>
      <c r="C59" s="421"/>
      <c r="D59" s="421"/>
      <c r="E59" s="421" t="s">
        <v>1940</v>
      </c>
      <c r="F59" s="421"/>
      <c r="G59" s="421"/>
      <c r="M59" s="332" t="s">
        <v>2073</v>
      </c>
      <c r="N59" s="383"/>
      <c r="O59" s="332"/>
    </row>
    <row r="60" spans="1:15" x14ac:dyDescent="0.25">
      <c r="A60" s="469" t="s">
        <v>2074</v>
      </c>
      <c r="B60" s="469"/>
      <c r="C60" s="469"/>
      <c r="D60" s="469"/>
      <c r="E60" s="469" t="s">
        <v>161</v>
      </c>
      <c r="F60" s="469"/>
      <c r="G60" s="469"/>
      <c r="M60" s="332"/>
      <c r="N60" s="332"/>
      <c r="O60" s="332"/>
    </row>
    <row r="61" spans="1:15" x14ac:dyDescent="0.25">
      <c r="M61" s="332"/>
      <c r="N61" s="332"/>
    </row>
    <row r="63" spans="1:15" x14ac:dyDescent="0.25">
      <c r="N63" s="332"/>
    </row>
  </sheetData>
  <mergeCells count="46">
    <mergeCell ref="B48:E48"/>
    <mergeCell ref="A59:D59"/>
    <mergeCell ref="E59:G59"/>
    <mergeCell ref="A60:D60"/>
    <mergeCell ref="E60:G60"/>
    <mergeCell ref="B49:E49"/>
    <mergeCell ref="B50:E50"/>
    <mergeCell ref="B51:E51"/>
    <mergeCell ref="A53:E53"/>
    <mergeCell ref="A54:E54"/>
    <mergeCell ref="A55:E55"/>
    <mergeCell ref="B39:E39"/>
    <mergeCell ref="B40:E40"/>
    <mergeCell ref="B44:E44"/>
    <mergeCell ref="B45:E45"/>
    <mergeCell ref="B46:E46"/>
    <mergeCell ref="B34:E34"/>
    <mergeCell ref="B35:E35"/>
    <mergeCell ref="B36:E36"/>
    <mergeCell ref="B37:E37"/>
    <mergeCell ref="B38:E38"/>
    <mergeCell ref="B28:E28"/>
    <mergeCell ref="B29:E29"/>
    <mergeCell ref="B30:E30"/>
    <mergeCell ref="B31:E31"/>
    <mergeCell ref="B32:E32"/>
    <mergeCell ref="B20:E20"/>
    <mergeCell ref="B21:E21"/>
    <mergeCell ref="B22:E22"/>
    <mergeCell ref="B23:E23"/>
    <mergeCell ref="B24:E24"/>
    <mergeCell ref="B14:E14"/>
    <mergeCell ref="B15:E15"/>
    <mergeCell ref="B16:E16"/>
    <mergeCell ref="B17:E17"/>
    <mergeCell ref="B19:E19"/>
    <mergeCell ref="A7:G7"/>
    <mergeCell ref="A8:E8"/>
    <mergeCell ref="B11:E11"/>
    <mergeCell ref="B12:E12"/>
    <mergeCell ref="B13:E13"/>
    <mergeCell ref="A1:G1"/>
    <mergeCell ref="A2:G2"/>
    <mergeCell ref="A3:G3"/>
    <mergeCell ref="A5:G5"/>
    <mergeCell ref="A6:G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41"/>
  <sheetViews>
    <sheetView workbookViewId="0">
      <selection activeCell="G19" sqref="G19"/>
    </sheetView>
  </sheetViews>
  <sheetFormatPr defaultRowHeight="12.75" x14ac:dyDescent="0.2"/>
  <cols>
    <col min="1" max="1" width="9.140625" customWidth="1"/>
    <col min="6" max="6" width="17.42578125" customWidth="1"/>
    <col min="7" max="7" width="14.5703125" customWidth="1"/>
    <col min="8" max="8" width="1.7109375" customWidth="1"/>
    <col min="9" max="9" width="14.85546875" customWidth="1"/>
    <col min="11" max="11" width="13.5703125" bestFit="1" customWidth="1"/>
  </cols>
  <sheetData>
    <row r="1" spans="1:9" x14ac:dyDescent="0.2">
      <c r="A1" s="433" t="s">
        <v>198</v>
      </c>
      <c r="B1" s="433"/>
      <c r="C1" s="433"/>
      <c r="D1" s="433"/>
      <c r="E1" s="433"/>
      <c r="F1" s="433"/>
      <c r="G1" s="433"/>
      <c r="H1" s="433"/>
      <c r="I1" s="433"/>
    </row>
    <row r="2" spans="1:9" x14ac:dyDescent="0.2">
      <c r="A2" s="433" t="s">
        <v>613</v>
      </c>
      <c r="B2" s="433"/>
      <c r="C2" s="433"/>
      <c r="D2" s="433"/>
      <c r="E2" s="433"/>
      <c r="F2" s="433"/>
      <c r="G2" s="433"/>
      <c r="H2" s="433"/>
      <c r="I2" s="433"/>
    </row>
    <row r="3" spans="1:9" x14ac:dyDescent="0.2">
      <c r="A3" s="395" t="s">
        <v>86</v>
      </c>
      <c r="B3" s="395"/>
      <c r="C3" s="395"/>
      <c r="D3" s="395"/>
      <c r="E3" s="395"/>
      <c r="F3" s="395"/>
      <c r="G3" s="395"/>
      <c r="H3" s="395"/>
      <c r="I3" s="395"/>
    </row>
    <row r="5" spans="1:9" x14ac:dyDescent="0.2">
      <c r="A5" s="395" t="s">
        <v>93</v>
      </c>
      <c r="B5" s="395"/>
      <c r="C5" s="395"/>
      <c r="D5" s="395"/>
      <c r="E5" s="395"/>
      <c r="F5" s="395"/>
      <c r="G5" s="395"/>
      <c r="H5" s="395"/>
      <c r="I5" s="395"/>
    </row>
    <row r="6" spans="1:9" x14ac:dyDescent="0.2">
      <c r="A6" s="395" t="s">
        <v>159</v>
      </c>
      <c r="B6" s="395"/>
      <c r="C6" s="395"/>
      <c r="D6" s="395"/>
      <c r="E6" s="395"/>
      <c r="F6" s="395"/>
      <c r="G6" s="395"/>
      <c r="H6" s="395"/>
      <c r="I6" s="395"/>
    </row>
    <row r="7" spans="1:9" x14ac:dyDescent="0.2">
      <c r="A7" s="396" t="s">
        <v>642</v>
      </c>
      <c r="B7" s="432"/>
      <c r="C7" s="432"/>
      <c r="D7" s="432"/>
      <c r="E7" s="432"/>
      <c r="F7" s="432"/>
      <c r="G7" s="432"/>
      <c r="H7" s="432"/>
      <c r="I7" s="432"/>
    </row>
    <row r="8" spans="1:9" x14ac:dyDescent="0.2">
      <c r="A8" s="430" t="s">
        <v>641</v>
      </c>
      <c r="B8" s="430"/>
      <c r="C8" s="430"/>
      <c r="D8" s="430"/>
      <c r="E8" s="430"/>
      <c r="F8" s="430"/>
      <c r="G8" s="430"/>
      <c r="H8" s="430"/>
      <c r="I8" s="430"/>
    </row>
    <row r="9" spans="1:9" ht="12.75" customHeight="1" x14ac:dyDescent="0.25">
      <c r="A9" s="429"/>
      <c r="B9" s="429"/>
      <c r="C9" s="429"/>
      <c r="D9" s="429"/>
      <c r="E9" s="429"/>
      <c r="F9" s="429"/>
      <c r="G9" s="429"/>
      <c r="H9" s="429"/>
      <c r="I9" s="429"/>
    </row>
    <row r="10" spans="1:9" x14ac:dyDescent="0.2">
      <c r="A10" s="6"/>
      <c r="B10" s="6"/>
      <c r="C10" s="6"/>
      <c r="D10" s="6"/>
      <c r="E10" s="6"/>
      <c r="F10" s="6"/>
      <c r="G10" s="6"/>
      <c r="H10" s="6"/>
      <c r="I10" s="6"/>
    </row>
    <row r="11" spans="1:9" x14ac:dyDescent="0.2">
      <c r="A11" s="42"/>
      <c r="B11" s="43"/>
      <c r="C11" s="43"/>
      <c r="D11" s="43"/>
      <c r="E11" s="43"/>
      <c r="F11" s="44"/>
      <c r="G11" s="40">
        <v>2015</v>
      </c>
      <c r="H11" s="43"/>
      <c r="I11" s="40">
        <v>2014</v>
      </c>
    </row>
    <row r="12" spans="1:9" x14ac:dyDescent="0.2">
      <c r="A12" s="64" t="s">
        <v>87</v>
      </c>
      <c r="B12" s="58"/>
      <c r="C12" s="58"/>
      <c r="D12" s="58"/>
      <c r="E12" s="58"/>
      <c r="F12" s="58"/>
      <c r="G12" s="2"/>
      <c r="H12" s="58"/>
      <c r="I12" s="47"/>
    </row>
    <row r="13" spans="1:9" x14ac:dyDescent="0.2">
      <c r="A13" s="41" t="s">
        <v>593</v>
      </c>
      <c r="B13" s="14"/>
      <c r="C13" s="14"/>
      <c r="D13" s="14"/>
      <c r="E13" s="14"/>
      <c r="F13" s="14"/>
      <c r="G13" s="3"/>
      <c r="H13" s="14"/>
      <c r="I13" s="35"/>
    </row>
    <row r="14" spans="1:9" x14ac:dyDescent="0.2">
      <c r="A14" s="41" t="s">
        <v>319</v>
      </c>
      <c r="B14" s="14"/>
      <c r="C14" s="14"/>
      <c r="D14" s="14"/>
      <c r="E14" s="14"/>
      <c r="F14" s="14"/>
      <c r="G14" s="3"/>
      <c r="H14" s="14"/>
      <c r="I14" s="35"/>
    </row>
    <row r="15" spans="1:9" x14ac:dyDescent="0.2">
      <c r="A15" s="36" t="s">
        <v>320</v>
      </c>
      <c r="B15" s="14"/>
      <c r="C15" s="14"/>
      <c r="D15" s="14"/>
      <c r="E15" s="14"/>
      <c r="F15" s="14"/>
      <c r="G15" s="45"/>
      <c r="H15" s="14"/>
      <c r="I15" s="48"/>
    </row>
    <row r="16" spans="1:9" x14ac:dyDescent="0.2">
      <c r="A16" s="36"/>
      <c r="B16" s="14" t="s">
        <v>2</v>
      </c>
      <c r="C16" s="14"/>
      <c r="D16" s="14"/>
      <c r="E16" s="14"/>
      <c r="F16" s="14"/>
      <c r="G16" s="45">
        <f>'Schedule Balance Sheet'!E13</f>
        <v>3359712.47</v>
      </c>
      <c r="H16" s="14"/>
      <c r="I16" s="48">
        <v>587123.05000000005</v>
      </c>
    </row>
    <row r="17" spans="1:9" x14ac:dyDescent="0.2">
      <c r="A17" s="36"/>
      <c r="B17" s="14" t="s">
        <v>199</v>
      </c>
      <c r="C17" s="14"/>
      <c r="D17" s="14"/>
      <c r="E17" s="14"/>
      <c r="F17" s="14"/>
      <c r="G17" s="45"/>
      <c r="H17" s="14"/>
      <c r="I17" s="48"/>
    </row>
    <row r="18" spans="1:9" x14ac:dyDescent="0.2">
      <c r="A18" s="36"/>
      <c r="B18" s="14" t="s">
        <v>164</v>
      </c>
      <c r="C18" s="14"/>
      <c r="D18" s="14"/>
      <c r="E18" s="14"/>
      <c r="F18" s="14"/>
      <c r="G18" s="45">
        <f>'Schedule Balance Sheet'!E17</f>
        <v>43642.369999999995</v>
      </c>
      <c r="H18" s="14"/>
      <c r="I18" s="48">
        <v>43642.37</v>
      </c>
    </row>
    <row r="19" spans="1:9" x14ac:dyDescent="0.2">
      <c r="A19" s="36"/>
      <c r="B19" s="14" t="s">
        <v>183</v>
      </c>
      <c r="C19" s="14"/>
      <c r="D19" s="14"/>
      <c r="E19" s="14"/>
      <c r="F19" s="14"/>
      <c r="G19" s="45" t="e">
        <f>'Schedule Balance Sheet'!E19</f>
        <v>#REF!</v>
      </c>
      <c r="H19" s="14"/>
      <c r="I19" s="48">
        <v>0.01</v>
      </c>
    </row>
    <row r="20" spans="1:9" x14ac:dyDescent="0.2">
      <c r="A20" s="36" t="s">
        <v>321</v>
      </c>
      <c r="B20" s="14"/>
      <c r="C20" s="14"/>
      <c r="D20" s="14"/>
      <c r="E20" s="14"/>
      <c r="F20" s="14"/>
      <c r="G20" s="45"/>
      <c r="H20" s="14"/>
      <c r="I20" s="48"/>
    </row>
    <row r="21" spans="1:9" x14ac:dyDescent="0.2">
      <c r="A21" s="36"/>
      <c r="B21" s="14" t="s">
        <v>184</v>
      </c>
      <c r="C21" s="14"/>
      <c r="D21" s="14"/>
      <c r="E21" s="14"/>
      <c r="F21" s="14"/>
      <c r="G21" s="45">
        <f>'Schedule Balance Sheet'!E33</f>
        <v>71163818.180000007</v>
      </c>
      <c r="H21" s="14"/>
      <c r="I21" s="48">
        <v>29001617.879999999</v>
      </c>
    </row>
    <row r="22" spans="1:9" x14ac:dyDescent="0.2">
      <c r="A22" s="36"/>
      <c r="B22" s="14" t="s">
        <v>200</v>
      </c>
      <c r="C22" s="14"/>
      <c r="D22" s="14"/>
      <c r="E22" s="14"/>
      <c r="F22" s="14"/>
      <c r="G22" s="45"/>
      <c r="H22" s="14"/>
      <c r="I22" s="49"/>
    </row>
    <row r="23" spans="1:9" x14ac:dyDescent="0.2">
      <c r="A23" s="36"/>
      <c r="B23" s="14" t="s">
        <v>201</v>
      </c>
      <c r="C23" s="14"/>
      <c r="D23" s="14"/>
      <c r="E23" s="14"/>
      <c r="F23" s="14"/>
      <c r="G23" s="45"/>
      <c r="H23" s="14"/>
      <c r="I23" s="49"/>
    </row>
    <row r="24" spans="1:9" x14ac:dyDescent="0.2">
      <c r="A24" s="36" t="s">
        <v>322</v>
      </c>
      <c r="B24" s="14"/>
      <c r="C24" s="14"/>
      <c r="D24" s="14"/>
      <c r="E24" s="14"/>
      <c r="F24" s="14"/>
      <c r="G24" s="45"/>
      <c r="H24" s="14"/>
      <c r="I24" s="49"/>
    </row>
    <row r="25" spans="1:9" x14ac:dyDescent="0.2">
      <c r="A25" s="36"/>
      <c r="B25" s="14" t="s">
        <v>202</v>
      </c>
      <c r="C25" s="14"/>
      <c r="D25" s="14"/>
      <c r="E25" s="14"/>
      <c r="F25" s="14"/>
      <c r="G25" s="45"/>
      <c r="H25" s="14"/>
      <c r="I25" s="49"/>
    </row>
    <row r="26" spans="1:9" x14ac:dyDescent="0.2">
      <c r="A26" s="36"/>
      <c r="B26" s="14" t="s">
        <v>203</v>
      </c>
      <c r="C26" s="14"/>
      <c r="D26" s="14"/>
      <c r="E26" s="14"/>
      <c r="F26" s="14"/>
      <c r="G26" s="45"/>
      <c r="H26" s="14"/>
      <c r="I26" s="49"/>
    </row>
    <row r="27" spans="1:9" x14ac:dyDescent="0.2">
      <c r="A27" s="36"/>
      <c r="B27" s="14" t="s">
        <v>204</v>
      </c>
      <c r="C27" s="14"/>
      <c r="D27" s="14"/>
      <c r="E27" s="14"/>
      <c r="F27" s="14"/>
      <c r="G27" s="46"/>
      <c r="H27" s="14"/>
      <c r="I27" s="50"/>
    </row>
    <row r="28" spans="1:9" x14ac:dyDescent="0.2">
      <c r="A28" s="36" t="s">
        <v>323</v>
      </c>
      <c r="B28" s="14"/>
      <c r="C28" s="14"/>
      <c r="D28" s="14"/>
      <c r="E28" s="14"/>
      <c r="F28" s="14"/>
      <c r="G28" s="51" t="e">
        <f>SUM(G15:G27)</f>
        <v>#REF!</v>
      </c>
      <c r="H28" s="52"/>
      <c r="I28" s="51">
        <f>SUM(I15:I27)</f>
        <v>29632383.309999999</v>
      </c>
    </row>
    <row r="29" spans="1:9" x14ac:dyDescent="0.2">
      <c r="A29" s="41" t="s">
        <v>324</v>
      </c>
      <c r="B29" s="14"/>
      <c r="C29" s="14"/>
      <c r="D29" s="14"/>
      <c r="E29" s="14"/>
      <c r="F29" s="14"/>
      <c r="G29" s="54"/>
      <c r="H29" s="14"/>
      <c r="I29" s="55"/>
    </row>
    <row r="30" spans="1:9" x14ac:dyDescent="0.2">
      <c r="A30" s="36" t="s">
        <v>325</v>
      </c>
      <c r="B30" s="14"/>
      <c r="C30" s="14"/>
      <c r="D30" s="14"/>
      <c r="E30" s="14"/>
      <c r="F30" s="14"/>
      <c r="G30" s="45"/>
      <c r="H30" s="14"/>
      <c r="I30" s="49"/>
    </row>
    <row r="31" spans="1:9" x14ac:dyDescent="0.2">
      <c r="A31" s="36"/>
      <c r="B31" s="14" t="s">
        <v>205</v>
      </c>
      <c r="C31" s="14"/>
      <c r="D31" s="14"/>
      <c r="E31" s="14"/>
      <c r="F31" s="14"/>
      <c r="G31" s="45"/>
      <c r="H31" s="14"/>
      <c r="I31" s="49"/>
    </row>
    <row r="32" spans="1:9" x14ac:dyDescent="0.2">
      <c r="A32" s="36"/>
      <c r="B32" s="14" t="s">
        <v>206</v>
      </c>
      <c r="C32" s="14"/>
      <c r="D32" s="14"/>
      <c r="E32" s="14"/>
      <c r="F32" s="14"/>
      <c r="G32" s="45"/>
      <c r="H32" s="14"/>
      <c r="I32" s="49"/>
    </row>
    <row r="33" spans="1:9" x14ac:dyDescent="0.2">
      <c r="A33" s="36"/>
      <c r="B33" s="14" t="s">
        <v>207</v>
      </c>
      <c r="C33" s="14"/>
      <c r="D33" s="14"/>
      <c r="E33" s="14"/>
      <c r="F33" s="14"/>
      <c r="G33" s="45">
        <v>0</v>
      </c>
      <c r="H33" s="14"/>
      <c r="I33" s="78">
        <v>643610.24</v>
      </c>
    </row>
    <row r="34" spans="1:9" x14ac:dyDescent="0.2">
      <c r="A34" s="36"/>
      <c r="B34" s="14" t="s">
        <v>326</v>
      </c>
      <c r="C34" s="14"/>
      <c r="D34" s="14"/>
      <c r="E34" s="14"/>
      <c r="F34" s="14"/>
      <c r="G34" s="45"/>
      <c r="H34" s="14"/>
      <c r="I34" s="49"/>
    </row>
    <row r="35" spans="1:9" x14ac:dyDescent="0.2">
      <c r="A35" s="36"/>
      <c r="B35" s="14" t="s">
        <v>327</v>
      </c>
      <c r="C35" s="14"/>
      <c r="D35" s="14"/>
      <c r="E35" s="14"/>
      <c r="F35" s="14"/>
      <c r="G35" s="45"/>
      <c r="H35" s="14"/>
      <c r="I35" s="49"/>
    </row>
    <row r="36" spans="1:9" x14ac:dyDescent="0.2">
      <c r="A36" s="36"/>
      <c r="B36" s="14" t="s">
        <v>328</v>
      </c>
      <c r="C36" s="14"/>
      <c r="D36" s="14"/>
      <c r="E36" s="14"/>
      <c r="F36" s="14"/>
      <c r="G36" s="45"/>
      <c r="H36" s="14"/>
      <c r="I36" s="49"/>
    </row>
    <row r="37" spans="1:9" x14ac:dyDescent="0.2">
      <c r="A37" s="36"/>
      <c r="B37" s="14" t="s">
        <v>329</v>
      </c>
      <c r="C37" s="14"/>
      <c r="D37" s="14"/>
      <c r="E37" s="14"/>
      <c r="F37" s="14"/>
      <c r="G37" s="45">
        <f>'Schedule Balance Sheet'!E38</f>
        <v>24158078.289999999</v>
      </c>
      <c r="H37" s="14"/>
      <c r="I37" s="49">
        <v>24118803.02</v>
      </c>
    </row>
    <row r="38" spans="1:9" x14ac:dyDescent="0.2">
      <c r="A38" s="36"/>
      <c r="B38" s="14" t="s">
        <v>208</v>
      </c>
      <c r="C38" s="14"/>
      <c r="D38" s="14"/>
      <c r="E38" s="14"/>
      <c r="F38" s="14"/>
      <c r="G38" s="45"/>
      <c r="H38" s="14"/>
      <c r="I38" s="49"/>
    </row>
    <row r="39" spans="1:9" x14ac:dyDescent="0.2">
      <c r="A39" s="36"/>
      <c r="B39" s="14" t="s">
        <v>209</v>
      </c>
      <c r="C39" s="14"/>
      <c r="D39" s="14"/>
      <c r="E39" s="14"/>
      <c r="F39" s="14"/>
      <c r="G39" s="45"/>
      <c r="H39" s="14"/>
      <c r="I39" s="49"/>
    </row>
    <row r="40" spans="1:9" x14ac:dyDescent="0.2">
      <c r="A40" s="36" t="s">
        <v>330</v>
      </c>
      <c r="B40" s="14"/>
      <c r="C40" s="14"/>
      <c r="D40" s="14"/>
      <c r="E40" s="14"/>
      <c r="F40" s="14"/>
      <c r="G40" s="45"/>
      <c r="H40" s="14"/>
      <c r="I40" s="49"/>
    </row>
    <row r="41" spans="1:9" x14ac:dyDescent="0.2">
      <c r="A41" s="36"/>
      <c r="B41" s="14" t="s">
        <v>4</v>
      </c>
      <c r="C41" s="14"/>
      <c r="D41" s="14"/>
      <c r="E41" s="14"/>
      <c r="F41" s="14"/>
      <c r="G41" s="45" t="e">
        <f>'Schedule Balance Sheet'!E39</f>
        <v>#REF!</v>
      </c>
      <c r="H41" s="14"/>
      <c r="I41" s="49">
        <v>33742.129999999997</v>
      </c>
    </row>
    <row r="42" spans="1:9" x14ac:dyDescent="0.2">
      <c r="A42" s="36"/>
      <c r="B42" s="14" t="s">
        <v>67</v>
      </c>
      <c r="C42" s="14"/>
      <c r="D42" s="14"/>
      <c r="E42" s="14"/>
      <c r="F42" s="14"/>
      <c r="G42" s="45" t="e">
        <f>'Schedule Balance Sheet'!E40</f>
        <v>#REF!</v>
      </c>
      <c r="H42" s="14"/>
      <c r="I42" s="49">
        <v>3050.23</v>
      </c>
    </row>
    <row r="43" spans="1:9" x14ac:dyDescent="0.2">
      <c r="A43" s="36"/>
      <c r="B43" s="14" t="s">
        <v>5</v>
      </c>
      <c r="C43" s="14"/>
      <c r="D43" s="14"/>
      <c r="E43" s="14"/>
      <c r="F43" s="14"/>
      <c r="G43" s="45" t="e">
        <f>'Schedule Balance Sheet'!E41</f>
        <v>#REF!</v>
      </c>
      <c r="H43" s="14"/>
      <c r="I43" s="49">
        <v>85141.1</v>
      </c>
    </row>
    <row r="44" spans="1:9" x14ac:dyDescent="0.2">
      <c r="A44" s="36"/>
      <c r="B44" s="14" t="s">
        <v>210</v>
      </c>
      <c r="C44" s="14"/>
      <c r="D44" s="14"/>
      <c r="E44" s="14"/>
      <c r="F44" s="14"/>
      <c r="G44" s="45"/>
      <c r="H44" s="14"/>
      <c r="I44" s="49"/>
    </row>
    <row r="45" spans="1:9" x14ac:dyDescent="0.2">
      <c r="A45" s="36" t="s">
        <v>331</v>
      </c>
      <c r="B45" s="14"/>
      <c r="C45" s="14"/>
      <c r="D45" s="14"/>
      <c r="E45" s="14"/>
      <c r="F45" s="14"/>
      <c r="G45" s="45"/>
      <c r="H45" s="14"/>
      <c r="I45" s="49"/>
    </row>
    <row r="46" spans="1:9" x14ac:dyDescent="0.2">
      <c r="A46" s="36"/>
      <c r="B46" s="14" t="s">
        <v>165</v>
      </c>
      <c r="C46" s="14"/>
      <c r="D46" s="14"/>
      <c r="E46" s="14"/>
      <c r="F46" s="14"/>
      <c r="G46" s="45">
        <f>'Schedule Balance Sheet'!E42</f>
        <v>626192.34</v>
      </c>
      <c r="H46" s="14"/>
      <c r="I46" s="49">
        <v>616844.94999999995</v>
      </c>
    </row>
    <row r="47" spans="1:9" x14ac:dyDescent="0.2">
      <c r="A47" s="36" t="s">
        <v>332</v>
      </c>
      <c r="B47" s="14"/>
      <c r="C47" s="14"/>
      <c r="D47" s="14"/>
      <c r="E47" s="14"/>
      <c r="F47" s="14"/>
      <c r="G47" s="45"/>
      <c r="H47" s="14"/>
      <c r="I47" s="49"/>
    </row>
    <row r="48" spans="1:9" x14ac:dyDescent="0.2">
      <c r="A48" s="36"/>
      <c r="B48" s="14" t="s">
        <v>6</v>
      </c>
      <c r="C48" s="14"/>
      <c r="D48" s="14"/>
      <c r="E48" s="14"/>
      <c r="F48" s="14"/>
      <c r="G48" s="45">
        <f>'Schedule Balance Sheet'!E43</f>
        <v>23333.02</v>
      </c>
      <c r="H48" s="14"/>
      <c r="I48" s="49">
        <v>14953.02</v>
      </c>
    </row>
    <row r="49" spans="1:9" x14ac:dyDescent="0.2">
      <c r="A49" s="36"/>
      <c r="B49" s="14" t="s">
        <v>66</v>
      </c>
      <c r="C49" s="14"/>
      <c r="D49" s="14"/>
      <c r="E49" s="14"/>
      <c r="F49" s="14"/>
      <c r="G49" s="45">
        <f>'Schedule Balance Sheet'!E44</f>
        <v>4540207.8899999997</v>
      </c>
      <c r="H49" s="14"/>
      <c r="I49" s="49">
        <v>6087160.5199999996</v>
      </c>
    </row>
    <row r="50" spans="1:9" x14ac:dyDescent="0.2">
      <c r="A50" s="36"/>
      <c r="B50" s="14" t="s">
        <v>56</v>
      </c>
      <c r="C50" s="14"/>
      <c r="D50" s="14"/>
      <c r="E50" s="14"/>
      <c r="F50" s="14"/>
      <c r="G50" s="45" t="e">
        <f>'Schedule Balance Sheet'!E45</f>
        <v>#REF!</v>
      </c>
      <c r="H50" s="14"/>
      <c r="I50" s="49">
        <v>250.84</v>
      </c>
    </row>
    <row r="51" spans="1:9" x14ac:dyDescent="0.2">
      <c r="A51" s="36" t="s">
        <v>333</v>
      </c>
      <c r="B51" s="14"/>
      <c r="C51" s="14"/>
      <c r="D51" s="14"/>
      <c r="E51" s="14"/>
      <c r="F51" s="14"/>
      <c r="G51" s="56" t="e">
        <f>SUM(G30:G50)</f>
        <v>#REF!</v>
      </c>
      <c r="H51" s="52"/>
      <c r="I51" s="51">
        <f>SUM(I30:I50)</f>
        <v>31603556.049999997</v>
      </c>
    </row>
    <row r="52" spans="1:9" x14ac:dyDescent="0.2">
      <c r="A52" s="41" t="s">
        <v>334</v>
      </c>
      <c r="B52" s="14"/>
      <c r="C52" s="14"/>
      <c r="D52" s="14"/>
      <c r="E52" s="14"/>
      <c r="F52" s="14"/>
      <c r="G52" s="54"/>
      <c r="H52" s="14"/>
      <c r="I52" s="55"/>
    </row>
    <row r="53" spans="1:9" x14ac:dyDescent="0.2">
      <c r="A53" s="36" t="s">
        <v>335</v>
      </c>
      <c r="B53" s="14"/>
      <c r="C53" s="14"/>
      <c r="D53" s="14"/>
      <c r="E53" s="14"/>
      <c r="F53" s="14"/>
      <c r="G53" s="45"/>
      <c r="H53" s="14"/>
      <c r="I53" s="49"/>
    </row>
    <row r="54" spans="1:9" x14ac:dyDescent="0.2">
      <c r="A54" s="36"/>
      <c r="B54" s="14" t="s">
        <v>211</v>
      </c>
      <c r="C54" s="14"/>
      <c r="D54" s="14"/>
      <c r="E54" s="14"/>
      <c r="F54" s="14"/>
      <c r="G54" s="45"/>
      <c r="H54" s="14"/>
      <c r="I54" s="49"/>
    </row>
    <row r="55" spans="1:9" x14ac:dyDescent="0.2">
      <c r="A55" s="36"/>
      <c r="B55" s="14" t="s">
        <v>336</v>
      </c>
      <c r="C55" s="14"/>
      <c r="D55" s="14"/>
      <c r="E55" s="14"/>
      <c r="F55" s="14"/>
      <c r="G55" s="45"/>
      <c r="H55" s="14"/>
      <c r="I55" s="49"/>
    </row>
    <row r="56" spans="1:9" x14ac:dyDescent="0.2">
      <c r="A56" s="36"/>
      <c r="B56" s="14" t="s">
        <v>212</v>
      </c>
      <c r="C56" s="14"/>
      <c r="D56" s="14"/>
      <c r="E56" s="14"/>
      <c r="F56" s="14"/>
      <c r="G56" s="45"/>
      <c r="H56" s="14"/>
      <c r="I56" s="49"/>
    </row>
    <row r="57" spans="1:9" x14ac:dyDescent="0.2">
      <c r="A57" s="36"/>
      <c r="B57" s="14" t="s">
        <v>213</v>
      </c>
      <c r="C57" s="14"/>
      <c r="D57" s="14"/>
      <c r="E57" s="14"/>
      <c r="F57" s="14"/>
      <c r="G57" s="45"/>
      <c r="H57" s="14"/>
      <c r="I57" s="49"/>
    </row>
    <row r="58" spans="1:9" x14ac:dyDescent="0.2">
      <c r="A58" s="36" t="s">
        <v>337</v>
      </c>
      <c r="B58" s="14"/>
      <c r="C58" s="14"/>
      <c r="D58" s="14"/>
      <c r="E58" s="14"/>
      <c r="F58" s="14"/>
      <c r="G58" s="45"/>
      <c r="H58" s="14"/>
      <c r="I58" s="49"/>
    </row>
    <row r="59" spans="1:9" x14ac:dyDescent="0.2">
      <c r="A59" s="36"/>
      <c r="B59" s="14" t="s">
        <v>338</v>
      </c>
      <c r="C59" s="14"/>
      <c r="D59" s="14"/>
      <c r="E59" s="14"/>
      <c r="F59" s="14"/>
      <c r="G59" s="45">
        <f>'Schedule Balance Sheet'!E49</f>
        <v>17842.5</v>
      </c>
      <c r="H59" s="14"/>
      <c r="I59" s="49"/>
    </row>
    <row r="60" spans="1:9" x14ac:dyDescent="0.2">
      <c r="A60" s="36"/>
      <c r="B60" s="14" t="s">
        <v>214</v>
      </c>
      <c r="C60" s="14"/>
      <c r="D60" s="14"/>
      <c r="E60" s="14"/>
      <c r="F60" s="14"/>
      <c r="G60" s="45"/>
      <c r="H60" s="14"/>
      <c r="I60" s="49"/>
    </row>
    <row r="61" spans="1:9" x14ac:dyDescent="0.2">
      <c r="A61" s="36"/>
      <c r="B61" s="14" t="s">
        <v>215</v>
      </c>
      <c r="C61" s="14"/>
      <c r="D61" s="14"/>
      <c r="E61" s="14"/>
      <c r="F61" s="14"/>
      <c r="G61" s="45"/>
      <c r="H61" s="14"/>
      <c r="I61" s="49"/>
    </row>
    <row r="62" spans="1:9" x14ac:dyDescent="0.2">
      <c r="A62" s="36"/>
      <c r="B62" s="14" t="s">
        <v>216</v>
      </c>
      <c r="C62" s="14"/>
      <c r="D62" s="14"/>
      <c r="E62" s="14"/>
      <c r="F62" s="14"/>
      <c r="G62" s="45"/>
      <c r="H62" s="14"/>
      <c r="I62" s="49"/>
    </row>
    <row r="63" spans="1:9" x14ac:dyDescent="0.2">
      <c r="A63" s="36"/>
      <c r="B63" s="14" t="s">
        <v>217</v>
      </c>
      <c r="C63" s="14"/>
      <c r="D63" s="14"/>
      <c r="E63" s="14"/>
      <c r="F63" s="14"/>
      <c r="G63" s="45"/>
      <c r="H63" s="14"/>
      <c r="I63" s="49"/>
    </row>
    <row r="64" spans="1:9" x14ac:dyDescent="0.2">
      <c r="A64" s="36"/>
      <c r="B64" s="14" t="s">
        <v>218</v>
      </c>
      <c r="C64" s="14"/>
      <c r="D64" s="14"/>
      <c r="E64" s="14"/>
      <c r="F64" s="14"/>
      <c r="G64" s="45"/>
      <c r="H64" s="14"/>
      <c r="I64" s="49"/>
    </row>
    <row r="65" spans="1:9" x14ac:dyDescent="0.2">
      <c r="A65" s="36"/>
      <c r="B65" s="14" t="s">
        <v>219</v>
      </c>
      <c r="C65" s="14"/>
      <c r="D65" s="14"/>
      <c r="E65" s="14"/>
      <c r="F65" s="14"/>
      <c r="G65" s="45"/>
      <c r="H65" s="14"/>
      <c r="I65" s="49"/>
    </row>
    <row r="66" spans="1:9" x14ac:dyDescent="0.2">
      <c r="A66" s="36"/>
      <c r="B66" s="14" t="s">
        <v>339</v>
      </c>
      <c r="C66" s="14"/>
      <c r="D66" s="14"/>
      <c r="E66" s="14"/>
      <c r="F66" s="103"/>
      <c r="G66" s="45"/>
      <c r="H66" s="14"/>
      <c r="I66" s="49"/>
    </row>
    <row r="67" spans="1:9" x14ac:dyDescent="0.2">
      <c r="A67" s="36"/>
      <c r="B67" s="14" t="s">
        <v>220</v>
      </c>
      <c r="C67" s="14"/>
      <c r="D67" s="14"/>
      <c r="E67" s="14"/>
      <c r="F67" s="14"/>
      <c r="G67" s="45"/>
      <c r="H67" s="35"/>
      <c r="I67" s="49"/>
    </row>
    <row r="68" spans="1:9" x14ac:dyDescent="0.2">
      <c r="A68" s="36"/>
      <c r="B68" s="14" t="s">
        <v>221</v>
      </c>
      <c r="C68" s="14"/>
      <c r="D68" s="14"/>
      <c r="E68" s="14"/>
      <c r="F68" s="14"/>
      <c r="G68" s="45"/>
      <c r="H68" s="14"/>
      <c r="I68" s="49"/>
    </row>
    <row r="69" spans="1:9" x14ac:dyDescent="0.2">
      <c r="A69" s="36"/>
      <c r="B69" s="14" t="s">
        <v>340</v>
      </c>
      <c r="C69" s="14"/>
      <c r="D69" s="14"/>
      <c r="E69" s="14"/>
      <c r="F69" s="14"/>
      <c r="G69" s="45">
        <f>'Schedule Balance Sheet'!E50</f>
        <v>145607.6</v>
      </c>
      <c r="H69" s="14"/>
      <c r="I69" s="49"/>
    </row>
    <row r="70" spans="1:9" x14ac:dyDescent="0.2">
      <c r="A70" s="36"/>
      <c r="B70" s="14" t="s">
        <v>341</v>
      </c>
      <c r="C70" s="14"/>
      <c r="D70" s="14"/>
      <c r="E70" s="14"/>
      <c r="F70" s="14"/>
      <c r="G70" s="45"/>
      <c r="H70" s="14"/>
      <c r="I70" s="49"/>
    </row>
    <row r="71" spans="1:9" x14ac:dyDescent="0.2">
      <c r="A71" s="36"/>
      <c r="B71" s="14" t="s">
        <v>222</v>
      </c>
      <c r="C71" s="14"/>
      <c r="D71" s="14"/>
      <c r="E71" s="14"/>
      <c r="F71" s="14"/>
      <c r="G71" s="45"/>
      <c r="H71" s="14"/>
      <c r="I71" s="49"/>
    </row>
    <row r="72" spans="1:9" x14ac:dyDescent="0.2">
      <c r="A72" s="36"/>
      <c r="B72" s="14" t="s">
        <v>223</v>
      </c>
      <c r="C72" s="14"/>
      <c r="D72" s="14"/>
      <c r="E72" s="14"/>
      <c r="F72" s="14"/>
      <c r="G72" s="45">
        <f>'Schedule Balance Sheet'!E51</f>
        <v>180</v>
      </c>
      <c r="H72" s="14"/>
      <c r="I72" s="49"/>
    </row>
    <row r="73" spans="1:9" x14ac:dyDescent="0.2">
      <c r="A73" s="36" t="s">
        <v>342</v>
      </c>
      <c r="B73" s="14"/>
      <c r="C73" s="14"/>
      <c r="D73" s="14"/>
      <c r="E73" s="14"/>
      <c r="F73" s="14"/>
      <c r="G73" s="45"/>
      <c r="H73" s="14"/>
      <c r="I73" s="49"/>
    </row>
    <row r="74" spans="1:9" x14ac:dyDescent="0.2">
      <c r="A74" s="36"/>
      <c r="B74" s="14" t="s">
        <v>7</v>
      </c>
      <c r="C74" s="14"/>
      <c r="D74" s="14"/>
      <c r="E74" s="14"/>
      <c r="F74" s="14"/>
      <c r="G74" s="45" t="e">
        <f>'Schedule Balance Sheet'!E52</f>
        <v>#REF!</v>
      </c>
      <c r="H74" s="14"/>
      <c r="I74" s="49">
        <v>24000</v>
      </c>
    </row>
    <row r="75" spans="1:9" x14ac:dyDescent="0.2">
      <c r="A75" s="36"/>
      <c r="B75" s="14" t="s">
        <v>224</v>
      </c>
      <c r="C75" s="14"/>
      <c r="D75" s="14"/>
      <c r="E75" s="14"/>
      <c r="F75" s="14"/>
      <c r="G75" s="45"/>
      <c r="H75" s="14"/>
      <c r="I75" s="49"/>
    </row>
    <row r="76" spans="1:9" x14ac:dyDescent="0.2">
      <c r="A76" s="36"/>
      <c r="B76" s="14" t="s">
        <v>225</v>
      </c>
      <c r="C76" s="14"/>
      <c r="D76" s="14"/>
      <c r="E76" s="14"/>
      <c r="F76" s="14"/>
      <c r="G76" s="45"/>
      <c r="H76" s="14"/>
      <c r="I76" s="49"/>
    </row>
    <row r="77" spans="1:9" x14ac:dyDescent="0.2">
      <c r="A77" s="36" t="s">
        <v>343</v>
      </c>
      <c r="B77" s="14"/>
      <c r="C77" s="14"/>
      <c r="D77" s="14"/>
      <c r="E77" s="14"/>
      <c r="F77" s="14"/>
      <c r="G77" s="56" t="e">
        <f>SUM(G53:G76)</f>
        <v>#REF!</v>
      </c>
      <c r="H77" s="52"/>
      <c r="I77" s="51">
        <f>SUM(I53:I76)</f>
        <v>24000</v>
      </c>
    </row>
    <row r="78" spans="1:9" x14ac:dyDescent="0.2">
      <c r="A78" s="41" t="s">
        <v>344</v>
      </c>
      <c r="B78" s="14"/>
      <c r="C78" s="14"/>
      <c r="D78" s="14"/>
      <c r="E78" s="14"/>
      <c r="F78" s="14"/>
      <c r="G78" s="54"/>
      <c r="H78" s="14"/>
      <c r="I78" s="55"/>
    </row>
    <row r="79" spans="1:9" x14ac:dyDescent="0.2">
      <c r="A79" s="36" t="s">
        <v>345</v>
      </c>
      <c r="B79" s="14"/>
      <c r="C79" s="14"/>
      <c r="D79" s="14"/>
      <c r="E79" s="14"/>
      <c r="F79" s="14"/>
      <c r="G79" s="45"/>
      <c r="H79" s="14"/>
      <c r="I79" s="49"/>
    </row>
    <row r="80" spans="1:9" x14ac:dyDescent="0.2">
      <c r="A80" s="36" t="s">
        <v>346</v>
      </c>
      <c r="B80" s="14"/>
      <c r="C80" s="14"/>
      <c r="D80" s="14"/>
      <c r="E80" s="14"/>
      <c r="F80" s="14"/>
      <c r="G80" s="45">
        <f>'Schedule Balance Sheet'!E56</f>
        <v>12893.88</v>
      </c>
      <c r="H80" s="14"/>
      <c r="I80" s="49">
        <v>39897.980000000003</v>
      </c>
    </row>
    <row r="81" spans="1:9" x14ac:dyDescent="0.2">
      <c r="A81" s="36" t="s">
        <v>347</v>
      </c>
      <c r="B81" s="14"/>
      <c r="C81" s="14"/>
      <c r="D81" s="14"/>
      <c r="E81" s="14"/>
      <c r="F81" s="14"/>
      <c r="G81" s="45"/>
      <c r="H81" s="14"/>
      <c r="I81" s="49"/>
    </row>
    <row r="82" spans="1:9" x14ac:dyDescent="0.2">
      <c r="A82" s="36" t="s">
        <v>348</v>
      </c>
      <c r="B82" s="14"/>
      <c r="C82" s="14"/>
      <c r="D82" s="14"/>
      <c r="E82" s="14"/>
      <c r="F82" s="14"/>
      <c r="G82" s="45"/>
      <c r="H82" s="14"/>
      <c r="I82" s="49"/>
    </row>
    <row r="83" spans="1:9" x14ac:dyDescent="0.2">
      <c r="A83" s="32" t="s">
        <v>607</v>
      </c>
      <c r="B83" s="14"/>
      <c r="C83" s="14"/>
      <c r="D83" s="14"/>
      <c r="E83" s="14"/>
      <c r="F83" s="14"/>
      <c r="G83" s="45">
        <f>'Schedule Balance Sheet'!E57</f>
        <v>323539.58</v>
      </c>
      <c r="H83" s="14"/>
      <c r="I83" s="49"/>
    </row>
    <row r="84" spans="1:9" x14ac:dyDescent="0.2">
      <c r="A84" s="36" t="s">
        <v>349</v>
      </c>
      <c r="B84" s="14"/>
      <c r="C84" s="14"/>
      <c r="D84" s="14"/>
      <c r="E84" s="14"/>
      <c r="F84" s="14"/>
      <c r="G84" s="45"/>
      <c r="H84" s="14"/>
      <c r="I84" s="49"/>
    </row>
    <row r="85" spans="1:9" x14ac:dyDescent="0.2">
      <c r="A85" s="36" t="s">
        <v>350</v>
      </c>
      <c r="B85" s="14"/>
      <c r="C85" s="14"/>
      <c r="D85" s="14"/>
      <c r="E85" s="14"/>
      <c r="F85" s="14"/>
      <c r="G85" s="46"/>
      <c r="H85" s="14"/>
      <c r="I85" s="50"/>
    </row>
    <row r="86" spans="1:9" x14ac:dyDescent="0.2">
      <c r="A86" s="36" t="s">
        <v>351</v>
      </c>
      <c r="B86" s="14"/>
      <c r="C86" s="14"/>
      <c r="D86" s="14"/>
      <c r="E86" s="14"/>
      <c r="F86" s="14"/>
      <c r="G86" s="56">
        <f>SUM(G79:G85)</f>
        <v>336433.46</v>
      </c>
      <c r="H86" s="52"/>
      <c r="I86" s="56">
        <f>SUM(I79:I85)</f>
        <v>39897.980000000003</v>
      </c>
    </row>
    <row r="87" spans="1:9" x14ac:dyDescent="0.2">
      <c r="A87" s="41" t="s">
        <v>352</v>
      </c>
      <c r="B87" s="14"/>
      <c r="C87" s="14"/>
      <c r="D87" s="14"/>
      <c r="E87" s="14"/>
      <c r="F87" s="14"/>
      <c r="G87" s="54"/>
      <c r="H87" s="14"/>
      <c r="I87" s="55"/>
    </row>
    <row r="88" spans="1:9" x14ac:dyDescent="0.2">
      <c r="A88" s="36" t="s">
        <v>353</v>
      </c>
      <c r="B88" s="14"/>
      <c r="C88" s="14"/>
      <c r="D88" s="14"/>
      <c r="E88" s="14"/>
      <c r="F88" s="14"/>
      <c r="G88" s="45"/>
      <c r="H88" s="14"/>
      <c r="I88" s="49"/>
    </row>
    <row r="89" spans="1:9" x14ac:dyDescent="0.2">
      <c r="A89" s="36" t="s">
        <v>354</v>
      </c>
      <c r="B89" s="14"/>
      <c r="C89" s="14"/>
      <c r="D89" s="14"/>
      <c r="E89" s="14"/>
      <c r="F89" s="14"/>
      <c r="G89" s="45"/>
      <c r="H89" s="14"/>
      <c r="I89" s="49"/>
    </row>
    <row r="90" spans="1:9" x14ac:dyDescent="0.2">
      <c r="A90" s="36" t="s">
        <v>355</v>
      </c>
      <c r="B90" s="14"/>
      <c r="C90" s="14"/>
      <c r="D90" s="14"/>
      <c r="E90" s="14"/>
      <c r="F90" s="14"/>
      <c r="G90" s="56"/>
      <c r="H90" s="52"/>
      <c r="I90" s="53"/>
    </row>
    <row r="91" spans="1:9" x14ac:dyDescent="0.2">
      <c r="A91" s="41" t="s">
        <v>356</v>
      </c>
      <c r="B91" s="14"/>
      <c r="C91" s="14"/>
      <c r="D91" s="14"/>
      <c r="E91" s="14"/>
      <c r="F91" s="14"/>
      <c r="G91" s="56" t="e">
        <f>G28+G51+G77+G86+G90</f>
        <v>#REF!</v>
      </c>
      <c r="H91" s="52"/>
      <c r="I91" s="51">
        <f>I28+I51+I77+I86+I90</f>
        <v>61299837.339999996</v>
      </c>
    </row>
    <row r="92" spans="1:9" x14ac:dyDescent="0.2">
      <c r="A92" s="41" t="s">
        <v>357</v>
      </c>
      <c r="B92" s="14"/>
      <c r="C92" s="14"/>
      <c r="D92" s="14"/>
      <c r="E92" s="14"/>
      <c r="F92" s="14"/>
      <c r="G92" s="54"/>
      <c r="H92" s="14"/>
      <c r="I92" s="55"/>
    </row>
    <row r="93" spans="1:9" x14ac:dyDescent="0.2">
      <c r="A93" s="36" t="s">
        <v>358</v>
      </c>
      <c r="B93" s="14"/>
      <c r="C93" s="14"/>
      <c r="D93" s="14"/>
      <c r="E93" s="14"/>
      <c r="F93" s="14"/>
      <c r="G93" s="45"/>
      <c r="H93" s="14"/>
      <c r="I93" s="49"/>
    </row>
    <row r="94" spans="1:9" x14ac:dyDescent="0.2">
      <c r="A94" s="36" t="s">
        <v>359</v>
      </c>
      <c r="B94" s="14"/>
      <c r="C94" s="14"/>
      <c r="D94" s="14"/>
      <c r="E94" s="14"/>
      <c r="F94" s="14"/>
      <c r="G94" s="45"/>
      <c r="H94" s="14"/>
      <c r="I94" s="49"/>
    </row>
    <row r="95" spans="1:9" x14ac:dyDescent="0.2">
      <c r="A95" s="36" t="s">
        <v>360</v>
      </c>
      <c r="B95" s="14"/>
      <c r="C95" s="14"/>
      <c r="D95" s="14"/>
      <c r="E95" s="14"/>
      <c r="F95" s="14"/>
      <c r="G95" s="45"/>
      <c r="H95" s="14"/>
      <c r="I95" s="49"/>
    </row>
    <row r="96" spans="1:9" x14ac:dyDescent="0.2">
      <c r="A96" s="36" t="s">
        <v>361</v>
      </c>
      <c r="B96" s="14"/>
      <c r="C96" s="14"/>
      <c r="D96" s="14"/>
      <c r="E96" s="14"/>
      <c r="F96" s="14"/>
      <c r="G96" s="45"/>
      <c r="H96" s="14"/>
      <c r="I96" s="49"/>
    </row>
    <row r="97" spans="1:9" x14ac:dyDescent="0.2">
      <c r="A97" s="36" t="s">
        <v>362</v>
      </c>
      <c r="B97" s="14"/>
      <c r="C97" s="14"/>
      <c r="D97" s="14"/>
      <c r="E97" s="14"/>
      <c r="F97" s="14"/>
      <c r="G97" s="45"/>
      <c r="H97" s="14"/>
      <c r="I97" s="49"/>
    </row>
    <row r="98" spans="1:9" x14ac:dyDescent="0.2">
      <c r="A98" s="41" t="s">
        <v>363</v>
      </c>
      <c r="B98" s="14"/>
      <c r="C98" s="14"/>
      <c r="D98" s="14"/>
      <c r="E98" s="14"/>
      <c r="F98" s="14"/>
      <c r="G98" s="56"/>
      <c r="H98" s="52"/>
      <c r="I98" s="53"/>
    </row>
    <row r="99" spans="1:9" x14ac:dyDescent="0.2">
      <c r="A99" s="41" t="s">
        <v>639</v>
      </c>
      <c r="B99" s="14"/>
      <c r="C99" s="14"/>
      <c r="D99" s="14"/>
      <c r="E99" s="14"/>
      <c r="F99" s="14"/>
      <c r="G99" s="54"/>
      <c r="H99" s="14"/>
      <c r="I99" s="55"/>
    </row>
    <row r="100" spans="1:9" x14ac:dyDescent="0.2">
      <c r="A100" s="41" t="s">
        <v>364</v>
      </c>
      <c r="B100" s="14"/>
      <c r="C100" s="14"/>
      <c r="D100" s="14"/>
      <c r="E100" s="14"/>
      <c r="F100" s="14"/>
      <c r="G100" s="45"/>
      <c r="H100" s="14"/>
      <c r="I100" s="49"/>
    </row>
    <row r="101" spans="1:9" x14ac:dyDescent="0.2">
      <c r="A101" s="36" t="s">
        <v>365</v>
      </c>
      <c r="B101" s="14"/>
      <c r="C101" s="14"/>
      <c r="D101" s="14"/>
      <c r="E101" s="14"/>
      <c r="F101" s="14"/>
      <c r="G101" s="45">
        <f>'Schedule Balance Sheet'!E61</f>
        <v>6961640</v>
      </c>
      <c r="H101" s="14"/>
      <c r="I101" s="49">
        <v>8710510</v>
      </c>
    </row>
    <row r="102" spans="1:9" x14ac:dyDescent="0.2">
      <c r="A102" s="36" t="s">
        <v>366</v>
      </c>
      <c r="B102" s="14"/>
      <c r="C102" s="14"/>
      <c r="D102" s="14"/>
      <c r="E102" s="14"/>
      <c r="F102" s="14"/>
      <c r="G102" s="45" t="e">
        <f>'Schedule Balance Sheet'!E62</f>
        <v>#REF!</v>
      </c>
      <c r="H102" s="14"/>
      <c r="I102" s="49">
        <v>14263749.449999999</v>
      </c>
    </row>
    <row r="103" spans="1:9" x14ac:dyDescent="0.2">
      <c r="A103" s="36" t="s">
        <v>367</v>
      </c>
      <c r="B103" s="14"/>
      <c r="C103" s="14"/>
      <c r="D103" s="14"/>
      <c r="E103" s="14"/>
      <c r="F103" s="14"/>
      <c r="G103" s="45" t="e">
        <f>'Schedule Balance Sheet'!E65</f>
        <v>#REF!</v>
      </c>
      <c r="H103" s="14"/>
      <c r="I103" s="49">
        <v>960.39</v>
      </c>
    </row>
    <row r="104" spans="1:9" x14ac:dyDescent="0.2">
      <c r="A104" s="41" t="s">
        <v>368</v>
      </c>
      <c r="B104" s="14"/>
      <c r="C104" s="14"/>
      <c r="D104" s="14"/>
      <c r="E104" s="14"/>
      <c r="F104" s="14"/>
      <c r="G104" s="56" t="e">
        <f>SUM(G101:G103)</f>
        <v>#REF!</v>
      </c>
      <c r="H104" s="52"/>
      <c r="I104" s="51">
        <f>SUM(I101:I103)</f>
        <v>22975219.84</v>
      </c>
    </row>
    <row r="105" spans="1:9" x14ac:dyDescent="0.2">
      <c r="A105" s="41" t="s">
        <v>369</v>
      </c>
      <c r="B105" s="14"/>
      <c r="C105" s="14"/>
      <c r="D105" s="14"/>
      <c r="E105" s="14"/>
      <c r="F105" s="14"/>
      <c r="G105" s="54"/>
      <c r="H105" s="14"/>
      <c r="I105" s="55"/>
    </row>
    <row r="106" spans="1:9" x14ac:dyDescent="0.2">
      <c r="A106" s="36" t="s">
        <v>370</v>
      </c>
      <c r="B106" s="14"/>
      <c r="C106" s="14"/>
      <c r="D106" s="14"/>
      <c r="E106" s="14"/>
      <c r="F106" s="14"/>
      <c r="G106" s="45" t="e">
        <f>'Schedule Balance Sheet'!E69</f>
        <v>#REF!</v>
      </c>
      <c r="H106" s="14"/>
      <c r="I106" s="49">
        <v>4340596.5199999996</v>
      </c>
    </row>
    <row r="107" spans="1:9" x14ac:dyDescent="0.2">
      <c r="A107" s="36" t="s">
        <v>371</v>
      </c>
      <c r="B107" s="14"/>
      <c r="C107" s="14"/>
      <c r="D107" s="14"/>
      <c r="E107" s="14"/>
      <c r="F107" s="14"/>
      <c r="G107" s="45">
        <f>'Schedule Balance Sheet'!E70</f>
        <v>3129562.15</v>
      </c>
      <c r="H107" s="14"/>
      <c r="I107" s="49">
        <v>2136879.87</v>
      </c>
    </row>
    <row r="108" spans="1:9" x14ac:dyDescent="0.2">
      <c r="A108" s="36" t="s">
        <v>372</v>
      </c>
      <c r="B108" s="14"/>
      <c r="C108" s="14"/>
      <c r="D108" s="14"/>
      <c r="E108" s="14"/>
      <c r="F108" s="14"/>
      <c r="G108" s="45"/>
      <c r="H108" s="14"/>
      <c r="I108" s="49"/>
    </row>
    <row r="109" spans="1:9" x14ac:dyDescent="0.2">
      <c r="A109" s="36" t="s">
        <v>373</v>
      </c>
      <c r="B109" s="14"/>
      <c r="C109" s="14"/>
      <c r="D109" s="14"/>
      <c r="E109" s="14"/>
      <c r="F109" s="14"/>
      <c r="G109" s="45" t="e">
        <f>'Schedule Balance Sheet'!E71</f>
        <v>#REF!</v>
      </c>
      <c r="H109" s="14"/>
      <c r="I109" s="49">
        <v>38783276.109999999</v>
      </c>
    </row>
    <row r="110" spans="1:9" x14ac:dyDescent="0.2">
      <c r="A110" s="36" t="s">
        <v>374</v>
      </c>
      <c r="B110" s="14"/>
      <c r="C110" s="14"/>
      <c r="D110" s="14"/>
      <c r="E110" s="14"/>
      <c r="F110" s="14"/>
      <c r="G110" s="45"/>
      <c r="H110" s="14"/>
      <c r="I110" s="49"/>
    </row>
    <row r="111" spans="1:9" x14ac:dyDescent="0.2">
      <c r="A111" s="41" t="s">
        <v>375</v>
      </c>
      <c r="B111" s="14"/>
      <c r="C111" s="14"/>
      <c r="D111" s="14"/>
      <c r="E111" s="14"/>
      <c r="F111" s="14"/>
      <c r="G111" s="56" t="e">
        <f>SUM(G106:G110)</f>
        <v>#REF!</v>
      </c>
      <c r="H111" s="52"/>
      <c r="I111" s="51">
        <f>SUM(I106:I110)</f>
        <v>45260752.5</v>
      </c>
    </row>
    <row r="112" spans="1:9" x14ac:dyDescent="0.2">
      <c r="A112" s="41" t="s">
        <v>376</v>
      </c>
      <c r="B112" s="14"/>
      <c r="C112" s="14"/>
      <c r="D112" s="14"/>
      <c r="E112" s="14"/>
      <c r="F112" s="14"/>
      <c r="G112" s="54"/>
      <c r="H112" s="14"/>
      <c r="I112" s="55"/>
    </row>
    <row r="113" spans="1:11" x14ac:dyDescent="0.2">
      <c r="A113" s="36" t="s">
        <v>377</v>
      </c>
      <c r="B113" s="14"/>
      <c r="C113" s="14"/>
      <c r="D113" s="14"/>
      <c r="E113" s="14"/>
      <c r="F113" s="14"/>
      <c r="G113" s="45"/>
      <c r="H113" s="14"/>
      <c r="I113" s="49"/>
    </row>
    <row r="114" spans="1:11" x14ac:dyDescent="0.2">
      <c r="A114" s="36" t="s">
        <v>378</v>
      </c>
      <c r="B114" s="14"/>
      <c r="C114" s="14"/>
      <c r="D114" s="14"/>
      <c r="E114" s="14"/>
      <c r="F114" s="14"/>
      <c r="G114" s="45"/>
      <c r="H114" s="14"/>
      <c r="I114" s="49"/>
    </row>
    <row r="115" spans="1:11" x14ac:dyDescent="0.2">
      <c r="A115" s="36" t="s">
        <v>379</v>
      </c>
      <c r="B115" s="14"/>
      <c r="C115" s="14"/>
      <c r="D115" s="14"/>
      <c r="E115" s="14"/>
      <c r="F115" s="14"/>
      <c r="G115" s="46"/>
      <c r="H115" s="14"/>
      <c r="I115" s="50"/>
    </row>
    <row r="116" spans="1:11" x14ac:dyDescent="0.2">
      <c r="A116" s="41" t="s">
        <v>380</v>
      </c>
      <c r="B116" s="14"/>
      <c r="C116" s="14"/>
      <c r="D116" s="14"/>
      <c r="E116" s="14"/>
      <c r="F116" s="14"/>
      <c r="G116" s="56"/>
      <c r="H116" s="52"/>
      <c r="I116" s="53"/>
    </row>
    <row r="117" spans="1:11" x14ac:dyDescent="0.2">
      <c r="A117" s="41" t="s">
        <v>381</v>
      </c>
      <c r="B117" s="14"/>
      <c r="C117" s="14"/>
      <c r="D117" s="14"/>
      <c r="E117" s="14"/>
      <c r="F117" s="14"/>
      <c r="G117" s="54"/>
      <c r="H117" s="14"/>
      <c r="I117" s="55"/>
    </row>
    <row r="118" spans="1:11" x14ac:dyDescent="0.2">
      <c r="A118" s="36" t="s">
        <v>382</v>
      </c>
      <c r="B118" s="14"/>
      <c r="C118" s="14"/>
      <c r="D118" s="14"/>
      <c r="E118" s="14"/>
      <c r="F118" s="14"/>
      <c r="G118" s="45">
        <f>'Schedule Balance Sheet'!E77</f>
        <v>198540.16</v>
      </c>
      <c r="H118" s="14"/>
      <c r="I118" s="49">
        <v>212259</v>
      </c>
    </row>
    <row r="119" spans="1:11" x14ac:dyDescent="0.2">
      <c r="A119" s="36" t="s">
        <v>383</v>
      </c>
      <c r="B119" s="14"/>
      <c r="C119" s="14"/>
      <c r="D119" s="14"/>
      <c r="E119" s="14"/>
      <c r="F119" s="14"/>
      <c r="G119" s="45">
        <f>'Schedule Balance Sheet'!E81</f>
        <v>522544.95000000007</v>
      </c>
      <c r="H119" s="14"/>
      <c r="I119" s="49">
        <v>321127.03999999998</v>
      </c>
    </row>
    <row r="120" spans="1:11" x14ac:dyDescent="0.2">
      <c r="A120" s="36" t="s">
        <v>384</v>
      </c>
      <c r="B120" s="14"/>
      <c r="C120" s="14"/>
      <c r="D120" s="14"/>
      <c r="E120" s="14"/>
      <c r="F120" s="14"/>
      <c r="G120" s="45" t="e">
        <f>'Schedule Balance Sheet'!E85</f>
        <v>#REF!</v>
      </c>
      <c r="H120" s="14"/>
      <c r="I120" s="49">
        <v>2146521.27</v>
      </c>
    </row>
    <row r="121" spans="1:11" x14ac:dyDescent="0.2">
      <c r="A121" s="36" t="s">
        <v>385</v>
      </c>
      <c r="B121" s="14"/>
      <c r="C121" s="14"/>
      <c r="D121" s="14"/>
      <c r="E121" s="14"/>
      <c r="F121" s="14"/>
      <c r="G121" s="46" t="e">
        <f>'Schedule Balance Sheet'!E87</f>
        <v>#REF!</v>
      </c>
      <c r="H121" s="14"/>
      <c r="I121" s="50">
        <v>19900</v>
      </c>
    </row>
    <row r="122" spans="1:11" x14ac:dyDescent="0.2">
      <c r="A122" s="41" t="s">
        <v>386</v>
      </c>
      <c r="B122" s="14"/>
      <c r="C122" s="14"/>
      <c r="D122" s="14"/>
      <c r="E122" s="14"/>
      <c r="F122" s="14"/>
      <c r="G122" s="56" t="e">
        <f>SUM(G118:G121)</f>
        <v>#REF!</v>
      </c>
      <c r="H122" s="52"/>
      <c r="I122" s="51">
        <f>SUM(I118:I121)</f>
        <v>2699807.31</v>
      </c>
    </row>
    <row r="123" spans="1:11" x14ac:dyDescent="0.2">
      <c r="A123" s="41" t="s">
        <v>387</v>
      </c>
      <c r="B123" s="14"/>
      <c r="C123" s="14"/>
      <c r="D123" s="14"/>
      <c r="E123" s="14"/>
      <c r="F123" s="14"/>
      <c r="G123" s="54"/>
      <c r="H123" s="14"/>
      <c r="I123" s="55"/>
    </row>
    <row r="124" spans="1:11" x14ac:dyDescent="0.2">
      <c r="A124" s="36" t="s">
        <v>388</v>
      </c>
      <c r="B124" s="14" t="s">
        <v>389</v>
      </c>
      <c r="C124" s="14"/>
      <c r="D124" s="14"/>
      <c r="E124" s="14"/>
      <c r="F124" s="14"/>
      <c r="G124" s="45" t="e">
        <f>'Schedule Balance Sheet'!E92-'Schedule Balance Sheet'!C99</f>
        <v>#REF!</v>
      </c>
      <c r="H124" s="14"/>
      <c r="I124" s="49">
        <v>588893.27</v>
      </c>
    </row>
    <row r="125" spans="1:11" x14ac:dyDescent="0.2">
      <c r="A125" s="36"/>
      <c r="B125" s="14" t="s">
        <v>101</v>
      </c>
      <c r="C125" s="14"/>
      <c r="D125" s="14"/>
      <c r="E125" s="14"/>
      <c r="F125" s="14"/>
      <c r="G125" s="45" t="e">
        <f>'Schedule Balance Sheet'!E93-'Schedule Balance Sheet'!C100</f>
        <v>#REF!</v>
      </c>
      <c r="H125" s="14"/>
      <c r="I125" s="49">
        <v>962610.25</v>
      </c>
      <c r="K125" s="7"/>
    </row>
    <row r="126" spans="1:11" x14ac:dyDescent="0.2">
      <c r="A126" s="36"/>
      <c r="B126" s="14" t="s">
        <v>12</v>
      </c>
      <c r="C126" s="14"/>
      <c r="D126" s="14"/>
      <c r="E126" s="14"/>
      <c r="F126" s="14"/>
      <c r="G126" s="45" t="e">
        <f>'Schedule Balance Sheet'!E94-'Schedule Balance Sheet'!C101</f>
        <v>#REF!</v>
      </c>
      <c r="H126" s="14"/>
      <c r="I126" s="78">
        <v>40850.14</v>
      </c>
      <c r="K126" s="7"/>
    </row>
    <row r="127" spans="1:11" x14ac:dyDescent="0.2">
      <c r="A127" s="36"/>
      <c r="B127" s="14" t="s">
        <v>194</v>
      </c>
      <c r="C127" s="14"/>
      <c r="D127" s="14"/>
      <c r="E127" s="14"/>
      <c r="F127" s="14"/>
      <c r="G127" s="45" t="e">
        <f>'Schedule Balance Sheet'!E107</f>
        <v>#REF!</v>
      </c>
      <c r="H127" s="14"/>
      <c r="I127" s="49">
        <v>8613881.9700000007</v>
      </c>
      <c r="K127" s="7"/>
    </row>
    <row r="128" spans="1:11" x14ac:dyDescent="0.2">
      <c r="A128" s="36"/>
      <c r="B128" s="14" t="s">
        <v>237</v>
      </c>
      <c r="C128" s="14"/>
      <c r="D128" s="14"/>
      <c r="E128" s="14"/>
      <c r="F128" s="14"/>
      <c r="G128" s="45"/>
      <c r="H128" s="14"/>
      <c r="I128" s="49"/>
      <c r="K128" s="7"/>
    </row>
    <row r="129" spans="1:11" x14ac:dyDescent="0.2">
      <c r="A129" s="36"/>
      <c r="B129" s="14" t="s">
        <v>236</v>
      </c>
      <c r="C129" s="14"/>
      <c r="D129" s="14"/>
      <c r="E129" s="14"/>
      <c r="F129" s="14"/>
      <c r="G129" s="45"/>
      <c r="H129" s="14"/>
      <c r="I129" s="49"/>
    </row>
    <row r="130" spans="1:11" x14ac:dyDescent="0.2">
      <c r="A130" s="36"/>
      <c r="B130" s="14" t="s">
        <v>238</v>
      </c>
      <c r="C130" s="14"/>
      <c r="D130" s="14"/>
      <c r="E130" s="14"/>
      <c r="F130" s="14"/>
      <c r="G130" s="45"/>
      <c r="H130" s="14"/>
      <c r="I130" s="49"/>
    </row>
    <row r="131" spans="1:11" x14ac:dyDescent="0.2">
      <c r="A131" s="36"/>
      <c r="B131" s="14" t="s">
        <v>239</v>
      </c>
      <c r="C131" s="14"/>
      <c r="D131" s="14"/>
      <c r="E131" s="14"/>
      <c r="F131" s="14"/>
      <c r="G131" s="45"/>
      <c r="H131" s="14"/>
      <c r="I131" s="49"/>
    </row>
    <row r="132" spans="1:11" x14ac:dyDescent="0.2">
      <c r="A132" s="36"/>
      <c r="B132" s="14" t="s">
        <v>13</v>
      </c>
      <c r="C132" s="14"/>
      <c r="D132" s="14"/>
      <c r="E132" s="14"/>
      <c r="F132" s="14"/>
      <c r="G132" s="46" t="e">
        <f>'Schedule Balance Sheet'!E95</f>
        <v>#REF!</v>
      </c>
      <c r="H132" s="66"/>
      <c r="I132" s="50">
        <v>127616.5</v>
      </c>
    </row>
    <row r="133" spans="1:11" x14ac:dyDescent="0.2">
      <c r="A133" s="36"/>
      <c r="B133" s="14" t="s">
        <v>390</v>
      </c>
      <c r="C133" s="14"/>
      <c r="D133" s="14"/>
      <c r="E133" s="14"/>
      <c r="F133" s="103"/>
      <c r="G133" s="54" t="e">
        <f>'Schedule Balance Sheet'!E96</f>
        <v>#REF!</v>
      </c>
      <c r="H133" s="58"/>
      <c r="I133" s="55">
        <v>21340.17</v>
      </c>
    </row>
    <row r="134" spans="1:11" x14ac:dyDescent="0.2">
      <c r="A134" s="36"/>
      <c r="B134" s="14" t="s">
        <v>391</v>
      </c>
      <c r="C134" s="14"/>
      <c r="D134" s="14"/>
      <c r="E134" s="14"/>
      <c r="F134" s="14"/>
      <c r="G134" s="46" t="e">
        <f>'Schedule Balance Sheet'!E97-'Schedule Balance Sheet'!C102</f>
        <v>#REF!</v>
      </c>
      <c r="H134" s="14"/>
      <c r="I134" s="50">
        <v>76749.87</v>
      </c>
      <c r="K134" s="7"/>
    </row>
    <row r="135" spans="1:11" x14ac:dyDescent="0.2">
      <c r="A135" s="36"/>
      <c r="B135" s="6" t="s">
        <v>392</v>
      </c>
      <c r="C135" s="14"/>
      <c r="D135" s="14"/>
      <c r="E135" s="14"/>
      <c r="F135" s="14"/>
      <c r="G135" s="56" t="e">
        <f>SUM(G124:G134)</f>
        <v>#REF!</v>
      </c>
      <c r="H135" s="52"/>
      <c r="I135" s="51">
        <f>SUM(I124:I134)</f>
        <v>10431942.17</v>
      </c>
      <c r="K135" s="7"/>
    </row>
    <row r="136" spans="1:11" x14ac:dyDescent="0.2">
      <c r="A136" s="41" t="s">
        <v>393</v>
      </c>
      <c r="B136" s="14"/>
      <c r="C136" s="14"/>
      <c r="D136" s="14"/>
      <c r="E136" s="14"/>
      <c r="F136" s="14"/>
      <c r="G136" s="54"/>
      <c r="H136" s="14"/>
      <c r="I136" s="55"/>
      <c r="K136" s="7"/>
    </row>
    <row r="137" spans="1:11" x14ac:dyDescent="0.2">
      <c r="A137" s="36"/>
      <c r="B137" s="14" t="s">
        <v>15</v>
      </c>
      <c r="C137" s="14"/>
      <c r="D137" s="14"/>
      <c r="E137" s="14"/>
      <c r="F137" s="14"/>
      <c r="G137" s="45" t="e">
        <f>'Schedule Balance Sheet'!E114</f>
        <v>#REF!</v>
      </c>
      <c r="H137" s="14"/>
      <c r="I137" s="49">
        <v>14525.76</v>
      </c>
      <c r="K137" s="7"/>
    </row>
    <row r="138" spans="1:11" x14ac:dyDescent="0.2">
      <c r="A138" s="36"/>
      <c r="B138" s="14" t="s">
        <v>394</v>
      </c>
      <c r="C138" s="14"/>
      <c r="D138" s="14"/>
      <c r="E138" s="14"/>
      <c r="F138" s="14"/>
      <c r="G138" s="45"/>
      <c r="H138" s="14"/>
      <c r="I138" s="49"/>
    </row>
    <row r="139" spans="1:11" x14ac:dyDescent="0.2">
      <c r="A139" s="36"/>
      <c r="B139" s="14" t="s">
        <v>240</v>
      </c>
      <c r="C139" s="14"/>
      <c r="D139" s="14"/>
      <c r="E139" s="14"/>
      <c r="F139" s="14"/>
      <c r="G139" s="46"/>
      <c r="H139" s="14"/>
      <c r="I139" s="50"/>
    </row>
    <row r="140" spans="1:11" x14ac:dyDescent="0.2">
      <c r="A140" s="36"/>
      <c r="B140" s="6" t="s">
        <v>395</v>
      </c>
      <c r="C140" s="14"/>
      <c r="D140" s="14"/>
      <c r="E140" s="14"/>
      <c r="F140" s="14"/>
      <c r="G140" s="56" t="e">
        <f>SUM(G137:G139)</f>
        <v>#REF!</v>
      </c>
      <c r="H140" s="52"/>
      <c r="I140" s="51">
        <f>SUM(I137:I139)</f>
        <v>14525.76</v>
      </c>
    </row>
    <row r="141" spans="1:11" x14ac:dyDescent="0.2">
      <c r="A141" s="41" t="s">
        <v>396</v>
      </c>
      <c r="B141" s="14"/>
      <c r="C141" s="14"/>
      <c r="D141" s="14"/>
      <c r="E141" s="14"/>
      <c r="F141" s="14"/>
      <c r="G141" s="54"/>
      <c r="H141" s="58"/>
      <c r="I141" s="55"/>
    </row>
    <row r="142" spans="1:11" x14ac:dyDescent="0.2">
      <c r="A142" s="36"/>
      <c r="B142" s="14" t="s">
        <v>70</v>
      </c>
      <c r="C142" s="14"/>
      <c r="D142" s="14"/>
      <c r="E142" s="14"/>
      <c r="F142" s="14"/>
      <c r="G142" s="46" t="e">
        <f>'Schedule Balance Sheet'!E118</f>
        <v>#REF!</v>
      </c>
      <c r="H142" s="14"/>
      <c r="I142" s="50">
        <v>542406.81999999995</v>
      </c>
    </row>
    <row r="143" spans="1:11" x14ac:dyDescent="0.2">
      <c r="A143" s="36"/>
      <c r="B143" s="6" t="s">
        <v>397</v>
      </c>
      <c r="C143" s="14"/>
      <c r="D143" s="14"/>
      <c r="E143" s="14"/>
      <c r="F143" s="14"/>
      <c r="G143" s="56" t="e">
        <f>SUM(G141:G142)</f>
        <v>#REF!</v>
      </c>
      <c r="H143" s="52"/>
      <c r="I143" s="51">
        <f>SUM(I141:I142)</f>
        <v>542406.81999999995</v>
      </c>
    </row>
    <row r="144" spans="1:11" x14ac:dyDescent="0.2">
      <c r="A144" s="41" t="s">
        <v>398</v>
      </c>
      <c r="B144" s="14"/>
      <c r="C144" s="14"/>
      <c r="D144" s="14"/>
      <c r="E144" s="14"/>
      <c r="F144" s="14"/>
      <c r="G144" s="54"/>
      <c r="H144" s="14"/>
      <c r="I144" s="55"/>
    </row>
    <row r="145" spans="1:9" x14ac:dyDescent="0.2">
      <c r="A145" s="36"/>
      <c r="B145" s="14" t="s">
        <v>241</v>
      </c>
      <c r="C145" s="14"/>
      <c r="D145" s="14"/>
      <c r="E145" s="14"/>
      <c r="F145" s="14"/>
      <c r="G145" s="45"/>
      <c r="H145" s="14"/>
      <c r="I145" s="49"/>
    </row>
    <row r="146" spans="1:9" x14ac:dyDescent="0.2">
      <c r="A146" s="36"/>
      <c r="B146" s="14" t="s">
        <v>399</v>
      </c>
      <c r="C146" s="14"/>
      <c r="D146" s="14"/>
      <c r="E146" s="14"/>
      <c r="F146" s="14"/>
      <c r="G146" s="45"/>
      <c r="H146" s="14"/>
      <c r="I146" s="49"/>
    </row>
    <row r="147" spans="1:9" x14ac:dyDescent="0.2">
      <c r="A147" s="36"/>
      <c r="B147" s="14" t="s">
        <v>243</v>
      </c>
      <c r="C147" s="14"/>
      <c r="D147" s="14"/>
      <c r="E147" s="14"/>
      <c r="F147" s="14"/>
      <c r="G147" s="45"/>
      <c r="H147" s="14"/>
      <c r="I147" s="49"/>
    </row>
    <row r="148" spans="1:9" x14ac:dyDescent="0.2">
      <c r="A148" s="36"/>
      <c r="B148" s="14" t="s">
        <v>400</v>
      </c>
      <c r="C148" s="14"/>
      <c r="D148" s="14"/>
      <c r="E148" s="14"/>
      <c r="F148" s="14"/>
      <c r="G148" s="45"/>
      <c r="H148" s="14"/>
      <c r="I148" s="49"/>
    </row>
    <row r="149" spans="1:9" x14ac:dyDescent="0.2">
      <c r="A149" s="36"/>
      <c r="B149" s="14" t="s">
        <v>244</v>
      </c>
      <c r="C149" s="14"/>
      <c r="D149" s="14"/>
      <c r="E149" s="14"/>
      <c r="F149" s="14"/>
      <c r="G149" s="45"/>
      <c r="H149" s="14"/>
      <c r="I149" s="49"/>
    </row>
    <row r="150" spans="1:9" x14ac:dyDescent="0.2">
      <c r="A150" s="36"/>
      <c r="B150" s="14" t="s">
        <v>245</v>
      </c>
      <c r="C150" s="14"/>
      <c r="D150" s="14"/>
      <c r="E150" s="14"/>
      <c r="F150" s="14"/>
      <c r="G150" s="45"/>
      <c r="H150" s="14"/>
      <c r="I150" s="49"/>
    </row>
    <row r="151" spans="1:9" x14ac:dyDescent="0.2">
      <c r="A151" s="36"/>
      <c r="B151" s="14" t="s">
        <v>401</v>
      </c>
      <c r="C151" s="14"/>
      <c r="D151" s="14"/>
      <c r="E151" s="14"/>
      <c r="F151" s="14"/>
      <c r="G151" s="45"/>
      <c r="H151" s="14"/>
      <c r="I151" s="49"/>
    </row>
    <row r="152" spans="1:9" x14ac:dyDescent="0.2">
      <c r="A152" s="36"/>
      <c r="B152" s="14" t="s">
        <v>246</v>
      </c>
      <c r="C152" s="14"/>
      <c r="D152" s="14"/>
      <c r="E152" s="14"/>
      <c r="F152" s="14"/>
      <c r="G152" s="46"/>
      <c r="H152" s="14"/>
      <c r="I152" s="50"/>
    </row>
    <row r="153" spans="1:9" x14ac:dyDescent="0.2">
      <c r="A153" s="41" t="s">
        <v>402</v>
      </c>
      <c r="B153" s="14"/>
      <c r="C153" s="14"/>
      <c r="D153" s="14"/>
      <c r="E153" s="14"/>
      <c r="F153" s="14"/>
      <c r="G153" s="56"/>
      <c r="H153" s="52"/>
      <c r="I153" s="53"/>
    </row>
    <row r="154" spans="1:9" x14ac:dyDescent="0.2">
      <c r="A154" s="41" t="s">
        <v>403</v>
      </c>
      <c r="B154" s="14"/>
      <c r="C154" s="14"/>
      <c r="D154" s="14"/>
      <c r="E154" s="14"/>
      <c r="F154" s="14"/>
      <c r="G154" s="54"/>
      <c r="H154" s="58"/>
      <c r="I154" s="55"/>
    </row>
    <row r="155" spans="1:9" x14ac:dyDescent="0.2">
      <c r="A155" s="36"/>
      <c r="B155" s="14" t="s">
        <v>404</v>
      </c>
      <c r="C155" s="14"/>
      <c r="D155" s="14"/>
      <c r="E155" s="14"/>
      <c r="F155" s="14"/>
      <c r="G155" s="45"/>
      <c r="H155" s="14"/>
      <c r="I155" s="49"/>
    </row>
    <row r="156" spans="1:9" x14ac:dyDescent="0.2">
      <c r="A156" s="36"/>
      <c r="B156" s="14" t="s">
        <v>405</v>
      </c>
      <c r="C156" s="14"/>
      <c r="D156" s="14"/>
      <c r="E156" s="14"/>
      <c r="F156" s="14"/>
      <c r="G156" s="46"/>
      <c r="H156" s="14"/>
      <c r="I156" s="50"/>
    </row>
    <row r="157" spans="1:9" x14ac:dyDescent="0.2">
      <c r="A157" s="41" t="s">
        <v>406</v>
      </c>
      <c r="B157" s="14"/>
      <c r="C157" s="14"/>
      <c r="D157" s="14"/>
      <c r="E157" s="14"/>
      <c r="F157" s="14"/>
      <c r="G157" s="56"/>
      <c r="H157" s="52"/>
      <c r="I157" s="53"/>
    </row>
    <row r="158" spans="1:9" x14ac:dyDescent="0.2">
      <c r="A158" s="41" t="s">
        <v>407</v>
      </c>
      <c r="B158" s="14"/>
      <c r="C158" s="14"/>
      <c r="D158" s="14"/>
      <c r="E158" s="14"/>
      <c r="F158" s="14"/>
      <c r="G158" s="54"/>
      <c r="H158" s="14"/>
      <c r="I158" s="55"/>
    </row>
    <row r="159" spans="1:9" x14ac:dyDescent="0.2">
      <c r="A159" s="36" t="s">
        <v>408</v>
      </c>
      <c r="B159" s="14"/>
      <c r="C159" s="14"/>
      <c r="D159" s="14"/>
      <c r="E159" s="14"/>
      <c r="F159" s="14"/>
      <c r="G159" s="45" t="e">
        <f>'Schedule Balance Sheet'!E121</f>
        <v>#REF!</v>
      </c>
      <c r="H159" s="14"/>
      <c r="I159" s="49">
        <v>2675772.0099999998</v>
      </c>
    </row>
    <row r="160" spans="1:9" x14ac:dyDescent="0.2">
      <c r="A160" s="36" t="s">
        <v>409</v>
      </c>
      <c r="B160" s="14"/>
      <c r="C160" s="14"/>
      <c r="D160" s="14"/>
      <c r="E160" s="14"/>
      <c r="F160" s="14"/>
      <c r="G160" s="45"/>
      <c r="H160" s="14"/>
      <c r="I160" s="49"/>
    </row>
    <row r="161" spans="1:9" x14ac:dyDescent="0.2">
      <c r="A161" s="36"/>
      <c r="B161" s="14" t="s">
        <v>247</v>
      </c>
      <c r="C161" s="14"/>
      <c r="D161" s="14"/>
      <c r="E161" s="14"/>
      <c r="F161" s="14"/>
      <c r="G161" s="45"/>
      <c r="H161" s="14"/>
      <c r="I161" s="49"/>
    </row>
    <row r="162" spans="1:9" x14ac:dyDescent="0.2">
      <c r="A162" s="36"/>
      <c r="B162" s="14" t="s">
        <v>410</v>
      </c>
      <c r="C162" s="14"/>
      <c r="D162" s="14"/>
      <c r="E162" s="14"/>
      <c r="F162" s="14"/>
      <c r="G162" s="45"/>
      <c r="H162" s="14"/>
      <c r="I162" s="49"/>
    </row>
    <row r="163" spans="1:9" x14ac:dyDescent="0.2">
      <c r="A163" s="36"/>
      <c r="B163" s="14" t="s">
        <v>248</v>
      </c>
      <c r="C163" s="14"/>
      <c r="D163" s="14"/>
      <c r="E163" s="14"/>
      <c r="F163" s="14"/>
      <c r="G163" s="45"/>
      <c r="H163" s="14"/>
      <c r="I163" s="49"/>
    </row>
    <row r="164" spans="1:9" x14ac:dyDescent="0.2">
      <c r="A164" s="36"/>
      <c r="B164" s="14" t="s">
        <v>411</v>
      </c>
      <c r="C164" s="14"/>
      <c r="D164" s="14"/>
      <c r="E164" s="14"/>
      <c r="F164" s="14"/>
      <c r="G164" s="45"/>
      <c r="H164" s="14"/>
      <c r="I164" s="49"/>
    </row>
    <row r="165" spans="1:9" x14ac:dyDescent="0.2">
      <c r="A165" s="36"/>
      <c r="B165" s="14" t="s">
        <v>412</v>
      </c>
      <c r="C165" s="14"/>
      <c r="D165" s="14"/>
      <c r="E165" s="14"/>
      <c r="F165" s="14"/>
      <c r="G165" s="45">
        <f>'Schedule Balance Sheet'!E123</f>
        <v>8977469.2200000007</v>
      </c>
      <c r="H165" s="14"/>
      <c r="I165" s="49"/>
    </row>
    <row r="166" spans="1:9" x14ac:dyDescent="0.2">
      <c r="A166" s="36"/>
      <c r="B166" s="14" t="s">
        <v>594</v>
      </c>
      <c r="C166" s="14"/>
      <c r="D166" s="14"/>
      <c r="E166" s="14"/>
      <c r="F166" s="14"/>
      <c r="G166" s="45"/>
      <c r="H166" s="14"/>
      <c r="I166" s="49"/>
    </row>
    <row r="167" spans="1:9" x14ac:dyDescent="0.2">
      <c r="A167" s="36"/>
      <c r="B167" s="14" t="s">
        <v>413</v>
      </c>
      <c r="C167" s="14"/>
      <c r="D167" s="14"/>
      <c r="E167" s="14"/>
      <c r="F167" s="14"/>
      <c r="G167" s="45" t="e">
        <f>'Schedule Balance Sheet'!E124</f>
        <v>#REF!</v>
      </c>
      <c r="H167" s="14"/>
      <c r="I167" s="49">
        <v>19976831.280000001</v>
      </c>
    </row>
    <row r="168" spans="1:9" x14ac:dyDescent="0.2">
      <c r="A168" s="36"/>
      <c r="B168" s="14" t="s">
        <v>414</v>
      </c>
      <c r="C168" s="14"/>
      <c r="D168" s="14"/>
      <c r="E168" s="14"/>
      <c r="F168" s="14"/>
      <c r="G168" s="45"/>
      <c r="H168" s="14"/>
      <c r="I168" s="49"/>
    </row>
    <row r="169" spans="1:9" x14ac:dyDescent="0.2">
      <c r="A169" s="36"/>
      <c r="B169" s="14" t="s">
        <v>415</v>
      </c>
      <c r="C169" s="14"/>
      <c r="D169" s="14"/>
      <c r="E169" s="14"/>
      <c r="F169" s="14"/>
      <c r="G169" s="45"/>
      <c r="H169" s="14"/>
      <c r="I169" s="49"/>
    </row>
    <row r="170" spans="1:9" x14ac:dyDescent="0.2">
      <c r="A170" s="36"/>
      <c r="B170" s="14" t="s">
        <v>416</v>
      </c>
      <c r="C170" s="14"/>
      <c r="D170" s="14"/>
      <c r="E170" s="14"/>
      <c r="F170" s="14"/>
      <c r="G170" s="45"/>
      <c r="H170" s="14"/>
      <c r="I170" s="49"/>
    </row>
    <row r="171" spans="1:9" x14ac:dyDescent="0.2">
      <c r="A171" s="36"/>
      <c r="B171" s="14" t="s">
        <v>417</v>
      </c>
      <c r="C171" s="14"/>
      <c r="D171" s="14"/>
      <c r="E171" s="14"/>
      <c r="F171" s="14"/>
      <c r="G171" s="45"/>
      <c r="H171" s="14"/>
      <c r="I171" s="49"/>
    </row>
    <row r="172" spans="1:9" x14ac:dyDescent="0.2">
      <c r="A172" s="36"/>
      <c r="B172" s="14" t="s">
        <v>418</v>
      </c>
      <c r="C172" s="14"/>
      <c r="D172" s="14"/>
      <c r="E172" s="14"/>
      <c r="F172" s="14"/>
      <c r="G172" s="46"/>
      <c r="H172" s="14"/>
      <c r="I172" s="50"/>
    </row>
    <row r="173" spans="1:9" x14ac:dyDescent="0.2">
      <c r="A173" s="41" t="s">
        <v>419</v>
      </c>
      <c r="B173" s="14"/>
      <c r="C173" s="14"/>
      <c r="D173" s="14"/>
      <c r="E173" s="14"/>
      <c r="F173" s="14"/>
      <c r="G173" s="56" t="e">
        <f>SUM(G159:G172)</f>
        <v>#REF!</v>
      </c>
      <c r="H173" s="52"/>
      <c r="I173" s="51">
        <f>SUM(I159:I172)</f>
        <v>22652603.289999999</v>
      </c>
    </row>
    <row r="174" spans="1:9" x14ac:dyDescent="0.2">
      <c r="A174" s="41" t="s">
        <v>420</v>
      </c>
      <c r="B174" s="14"/>
      <c r="C174" s="14"/>
      <c r="D174" s="14"/>
      <c r="E174" s="14"/>
      <c r="F174" s="14"/>
      <c r="G174" s="56" t="e">
        <f>G104+G111+G116+G122+G135+G140+G143+G173</f>
        <v>#REF!</v>
      </c>
      <c r="H174" s="52"/>
      <c r="I174" s="51">
        <f>I104+I111+I116+I122+I135+I140+I143+I173</f>
        <v>104577257.69</v>
      </c>
    </row>
    <row r="175" spans="1:9" x14ac:dyDescent="0.2">
      <c r="A175" s="41" t="s">
        <v>585</v>
      </c>
      <c r="B175" s="14"/>
      <c r="C175" s="14"/>
      <c r="D175" s="14"/>
      <c r="E175" s="14"/>
      <c r="F175" s="14"/>
      <c r="G175" s="54"/>
      <c r="H175" s="14"/>
      <c r="I175" s="55"/>
    </row>
    <row r="176" spans="1:9" x14ac:dyDescent="0.2">
      <c r="A176" s="36" t="s">
        <v>421</v>
      </c>
      <c r="B176" s="14"/>
      <c r="C176" s="14"/>
      <c r="D176" s="14"/>
      <c r="E176" s="14"/>
      <c r="F176" s="14"/>
      <c r="G176" s="45"/>
      <c r="H176" s="14"/>
      <c r="I176" s="49"/>
    </row>
    <row r="177" spans="1:9" x14ac:dyDescent="0.2">
      <c r="A177" s="36" t="s">
        <v>422</v>
      </c>
      <c r="B177" s="14"/>
      <c r="C177" s="14"/>
      <c r="D177" s="14"/>
      <c r="E177" s="14"/>
      <c r="F177" s="14"/>
      <c r="G177" s="45"/>
      <c r="H177" s="14"/>
      <c r="I177" s="49"/>
    </row>
    <row r="178" spans="1:9" x14ac:dyDescent="0.2">
      <c r="A178" s="36" t="s">
        <v>423</v>
      </c>
      <c r="B178" s="14"/>
      <c r="C178" s="14"/>
      <c r="D178" s="14"/>
      <c r="E178" s="14"/>
      <c r="F178" s="14"/>
      <c r="G178" s="45"/>
      <c r="H178" s="14"/>
      <c r="I178" s="49"/>
    </row>
    <row r="179" spans="1:9" x14ac:dyDescent="0.2">
      <c r="A179" s="36" t="s">
        <v>424</v>
      </c>
      <c r="B179" s="14"/>
      <c r="C179" s="14"/>
      <c r="D179" s="14"/>
      <c r="E179" s="14"/>
      <c r="F179" s="14"/>
      <c r="G179" s="45"/>
      <c r="H179" s="14"/>
      <c r="I179" s="49"/>
    </row>
    <row r="180" spans="1:9" x14ac:dyDescent="0.2">
      <c r="A180" s="32" t="s">
        <v>605</v>
      </c>
      <c r="B180" s="14"/>
      <c r="C180" s="14"/>
      <c r="D180" s="14"/>
      <c r="E180" s="14"/>
      <c r="F180" s="14"/>
      <c r="G180" s="45" t="e">
        <f>'Schedule Balance Sheet'!E127:E127</f>
        <v>#REF!</v>
      </c>
      <c r="H180" s="14"/>
      <c r="I180" s="49">
        <v>72000</v>
      </c>
    </row>
    <row r="181" spans="1:9" x14ac:dyDescent="0.2">
      <c r="A181" s="36" t="s">
        <v>425</v>
      </c>
      <c r="B181" s="14"/>
      <c r="C181" s="14"/>
      <c r="D181" s="14"/>
      <c r="E181" s="14"/>
      <c r="F181" s="14"/>
      <c r="G181" s="46" t="e">
        <f>'Schedule Balance Sheet'!E128</f>
        <v>#REF!</v>
      </c>
      <c r="H181" s="14"/>
      <c r="I181" s="50">
        <v>972884.69</v>
      </c>
    </row>
    <row r="182" spans="1:9" x14ac:dyDescent="0.2">
      <c r="A182" s="41" t="s">
        <v>584</v>
      </c>
      <c r="B182" s="14"/>
      <c r="C182" s="14"/>
      <c r="D182" s="14"/>
      <c r="E182" s="14"/>
      <c r="F182" s="14"/>
      <c r="G182" s="56" t="e">
        <f>SUM(G176:G181)</f>
        <v>#REF!</v>
      </c>
      <c r="H182" s="52"/>
      <c r="I182" s="51">
        <f>SUM(I176:I181)</f>
        <v>1044884.69</v>
      </c>
    </row>
    <row r="183" spans="1:9" ht="13.5" thickBot="1" x14ac:dyDescent="0.25">
      <c r="A183" s="41" t="s">
        <v>91</v>
      </c>
      <c r="B183" s="14"/>
      <c r="C183" s="14"/>
      <c r="D183" s="14"/>
      <c r="E183" s="14"/>
      <c r="F183" s="14"/>
      <c r="G183" s="39" t="e">
        <f>G91+G174+G182</f>
        <v>#REF!</v>
      </c>
      <c r="H183" s="14"/>
      <c r="I183" s="39">
        <f>I91+I174+I182</f>
        <v>166921979.72</v>
      </c>
    </row>
    <row r="184" spans="1:9" ht="13.5" thickTop="1" x14ac:dyDescent="0.2">
      <c r="A184" s="36"/>
      <c r="B184" s="14"/>
      <c r="C184" s="14"/>
      <c r="D184" s="14"/>
      <c r="E184" s="14"/>
      <c r="F184" s="14"/>
      <c r="G184" s="3"/>
      <c r="H184" s="14"/>
      <c r="I184" s="49"/>
    </row>
    <row r="185" spans="1:9" x14ac:dyDescent="0.2">
      <c r="A185" s="41" t="s">
        <v>92</v>
      </c>
      <c r="B185" s="14"/>
      <c r="C185" s="14"/>
      <c r="D185" s="14"/>
      <c r="E185" s="14"/>
      <c r="F185" s="14"/>
      <c r="G185" s="3"/>
      <c r="H185" s="14"/>
      <c r="I185" s="49"/>
    </row>
    <row r="186" spans="1:9" x14ac:dyDescent="0.2">
      <c r="A186" s="41" t="s">
        <v>592</v>
      </c>
      <c r="B186" s="14"/>
      <c r="C186" s="14"/>
      <c r="D186" s="14"/>
      <c r="E186" s="14"/>
      <c r="F186" s="14"/>
      <c r="G186" s="45"/>
      <c r="H186" s="14"/>
      <c r="I186" s="49"/>
    </row>
    <row r="187" spans="1:9" x14ac:dyDescent="0.2">
      <c r="A187" s="36" t="s">
        <v>426</v>
      </c>
      <c r="B187" s="14"/>
      <c r="C187" s="14"/>
      <c r="D187" s="14"/>
      <c r="E187" s="14"/>
      <c r="F187" s="14"/>
      <c r="G187" s="45"/>
      <c r="H187" s="14"/>
      <c r="I187" s="49"/>
    </row>
    <row r="188" spans="1:9" x14ac:dyDescent="0.2">
      <c r="A188" s="36" t="s">
        <v>427</v>
      </c>
      <c r="B188" s="14" t="s">
        <v>33</v>
      </c>
      <c r="C188" s="14"/>
      <c r="D188" s="14"/>
      <c r="E188" s="14"/>
      <c r="F188" s="14"/>
      <c r="G188" s="45" t="e">
        <f>'Schedule Balance Sheet'!E132</f>
        <v>#REF!</v>
      </c>
      <c r="H188" s="14"/>
      <c r="I188" s="49">
        <v>0</v>
      </c>
    </row>
    <row r="189" spans="1:9" x14ac:dyDescent="0.2">
      <c r="A189" s="36"/>
      <c r="B189" s="14" t="s">
        <v>251</v>
      </c>
      <c r="C189" s="14"/>
      <c r="D189" s="14"/>
      <c r="E189" s="14"/>
      <c r="F189" s="14"/>
      <c r="G189" s="45"/>
      <c r="H189" s="14"/>
      <c r="I189" s="49"/>
    </row>
    <row r="190" spans="1:9" x14ac:dyDescent="0.2">
      <c r="A190" s="36"/>
      <c r="B190" s="14" t="s">
        <v>78</v>
      </c>
      <c r="C190" s="14"/>
      <c r="D190" s="14"/>
      <c r="E190" s="14"/>
      <c r="F190" s="14"/>
      <c r="G190" s="45" t="e">
        <f>'Schedule Balance Sheet'!E133</f>
        <v>#REF!</v>
      </c>
      <c r="H190" s="14"/>
      <c r="I190" s="49">
        <v>66864.95</v>
      </c>
    </row>
    <row r="191" spans="1:9" x14ac:dyDescent="0.2">
      <c r="A191" s="36"/>
      <c r="B191" s="14" t="s">
        <v>252</v>
      </c>
      <c r="C191" s="14"/>
      <c r="D191" s="14"/>
      <c r="E191" s="14"/>
      <c r="F191" s="14"/>
      <c r="G191" s="45"/>
      <c r="H191" s="14"/>
      <c r="I191" s="49"/>
    </row>
    <row r="192" spans="1:9" x14ac:dyDescent="0.2">
      <c r="A192" s="36" t="s">
        <v>428</v>
      </c>
      <c r="B192" s="14"/>
      <c r="C192" s="14"/>
      <c r="D192" s="14"/>
      <c r="E192" s="14"/>
      <c r="F192" s="14"/>
      <c r="G192" s="45"/>
      <c r="H192" s="14"/>
      <c r="I192" s="49"/>
    </row>
    <row r="193" spans="1:9" x14ac:dyDescent="0.2">
      <c r="A193" s="36"/>
      <c r="B193" s="14" t="s">
        <v>17</v>
      </c>
      <c r="C193" s="14"/>
      <c r="D193" s="14"/>
      <c r="E193" s="14"/>
      <c r="F193" s="14"/>
      <c r="G193" s="45" t="e">
        <f>'Schedule Balance Sheet'!E134</f>
        <v>#REF!</v>
      </c>
      <c r="H193" s="14"/>
      <c r="I193" s="49">
        <v>891876.46</v>
      </c>
    </row>
    <row r="194" spans="1:9" x14ac:dyDescent="0.2">
      <c r="A194" s="36"/>
      <c r="B194" s="14" t="s">
        <v>18</v>
      </c>
      <c r="C194" s="14"/>
      <c r="D194" s="14"/>
      <c r="E194" s="14"/>
      <c r="F194" s="14"/>
      <c r="G194" s="45" t="e">
        <f>'Schedule Balance Sheet'!E135</f>
        <v>#REF!</v>
      </c>
      <c r="H194" s="14"/>
      <c r="I194" s="49">
        <v>1359436.03</v>
      </c>
    </row>
    <row r="195" spans="1:9" x14ac:dyDescent="0.2">
      <c r="A195" s="36"/>
      <c r="B195" s="14" t="s">
        <v>34</v>
      </c>
      <c r="C195" s="14"/>
      <c r="D195" s="14"/>
      <c r="E195" s="14"/>
      <c r="F195" s="14"/>
      <c r="G195" s="45" t="e">
        <f>'Schedule Balance Sheet'!E136</f>
        <v>#REF!</v>
      </c>
      <c r="H195" s="14"/>
      <c r="I195" s="49">
        <v>131410.63</v>
      </c>
    </row>
    <row r="196" spans="1:9" x14ac:dyDescent="0.2">
      <c r="A196" s="36"/>
      <c r="B196" s="14" t="s">
        <v>429</v>
      </c>
      <c r="C196" s="14"/>
      <c r="D196" s="14"/>
      <c r="E196" s="14"/>
      <c r="F196" s="14"/>
      <c r="G196" s="45" t="e">
        <f>'Schedule Balance Sheet'!E137</f>
        <v>#REF!</v>
      </c>
      <c r="H196" s="14"/>
      <c r="I196" s="49">
        <v>67074.880000000005</v>
      </c>
    </row>
    <row r="197" spans="1:9" x14ac:dyDescent="0.2">
      <c r="A197" s="36"/>
      <c r="B197" s="14" t="s">
        <v>430</v>
      </c>
      <c r="C197" s="14"/>
      <c r="D197" s="14"/>
      <c r="E197" s="14"/>
      <c r="F197" s="14"/>
      <c r="G197" s="45" t="e">
        <f>'Schedule Balance Sheet'!E138</f>
        <v>#REF!</v>
      </c>
      <c r="H197" s="14"/>
      <c r="I197" s="49">
        <v>9055581.5299999993</v>
      </c>
    </row>
    <row r="198" spans="1:9" x14ac:dyDescent="0.2">
      <c r="A198" s="36"/>
      <c r="B198" s="14" t="s">
        <v>65</v>
      </c>
      <c r="C198" s="14"/>
      <c r="D198" s="14"/>
      <c r="E198" s="14"/>
      <c r="F198" s="103"/>
      <c r="G198" s="45" t="e">
        <f>'Schedule Balance Sheet'!E139</f>
        <v>#REF!</v>
      </c>
      <c r="H198" s="35"/>
      <c r="I198" s="49">
        <v>134612.37</v>
      </c>
    </row>
    <row r="199" spans="1:9" s="14" customFormat="1" x14ac:dyDescent="0.2">
      <c r="A199" s="36"/>
      <c r="B199" s="14" t="s">
        <v>35</v>
      </c>
      <c r="G199" s="48" t="e">
        <f>'Schedule Balance Sheet'!E140</f>
        <v>#REF!</v>
      </c>
      <c r="I199" s="49">
        <v>2337067.67</v>
      </c>
    </row>
    <row r="200" spans="1:9" s="14" customFormat="1" x14ac:dyDescent="0.2">
      <c r="A200" s="36" t="s">
        <v>431</v>
      </c>
      <c r="G200" s="48"/>
      <c r="I200" s="49"/>
    </row>
    <row r="201" spans="1:9" s="14" customFormat="1" x14ac:dyDescent="0.2">
      <c r="A201" s="36"/>
      <c r="B201" s="14" t="s">
        <v>79</v>
      </c>
      <c r="G201" s="48" t="e">
        <f>'Schedule Balance Sheet'!E141</f>
        <v>#REF!</v>
      </c>
      <c r="I201" s="49">
        <v>386168.49</v>
      </c>
    </row>
    <row r="202" spans="1:9" s="14" customFormat="1" x14ac:dyDescent="0.2">
      <c r="A202" s="36" t="s">
        <v>432</v>
      </c>
      <c r="G202" s="48"/>
      <c r="I202" s="49"/>
    </row>
    <row r="203" spans="1:9" s="14" customFormat="1" x14ac:dyDescent="0.2">
      <c r="A203" s="36"/>
      <c r="B203" s="14" t="s">
        <v>253</v>
      </c>
      <c r="G203" s="48" t="e">
        <f>'Schedule Balance Sheet'!E142</f>
        <v>#REF!</v>
      </c>
      <c r="I203" s="49">
        <v>1517020.07</v>
      </c>
    </row>
    <row r="204" spans="1:9" s="14" customFormat="1" x14ac:dyDescent="0.2">
      <c r="A204" s="36"/>
      <c r="B204" s="14" t="s">
        <v>254</v>
      </c>
      <c r="G204" s="48"/>
      <c r="I204" s="49"/>
    </row>
    <row r="205" spans="1:9" s="14" customFormat="1" x14ac:dyDescent="0.2">
      <c r="A205" s="36"/>
      <c r="B205" s="14" t="s">
        <v>255</v>
      </c>
      <c r="G205" s="48"/>
      <c r="I205" s="49"/>
    </row>
    <row r="206" spans="1:9" s="14" customFormat="1" x14ac:dyDescent="0.2">
      <c r="A206" s="36"/>
      <c r="B206" s="14" t="s">
        <v>55</v>
      </c>
      <c r="G206" s="60" t="e">
        <f>'Schedule Balance Sheet'!E143</f>
        <v>#REF!</v>
      </c>
      <c r="I206" s="50">
        <v>546803.87</v>
      </c>
    </row>
    <row r="207" spans="1:9" s="14" customFormat="1" x14ac:dyDescent="0.2">
      <c r="A207" s="41" t="s">
        <v>433</v>
      </c>
      <c r="G207" s="59" t="e">
        <f>SUM(G187:G206)</f>
        <v>#REF!</v>
      </c>
      <c r="H207" s="52"/>
      <c r="I207" s="61">
        <f>SUM(I187:I206)</f>
        <v>16493916.949999997</v>
      </c>
    </row>
    <row r="208" spans="1:9" x14ac:dyDescent="0.2">
      <c r="A208" s="41" t="s">
        <v>591</v>
      </c>
      <c r="B208" s="14"/>
      <c r="C208" s="14"/>
      <c r="D208" s="14"/>
      <c r="E208" s="14"/>
      <c r="F208" s="14"/>
      <c r="G208" s="54"/>
      <c r="H208" s="14"/>
      <c r="I208" s="55"/>
    </row>
    <row r="209" spans="1:9" s="14" customFormat="1" x14ac:dyDescent="0.2">
      <c r="A209" s="36" t="s">
        <v>434</v>
      </c>
      <c r="G209" s="48"/>
      <c r="I209" s="49"/>
    </row>
    <row r="210" spans="1:9" s="14" customFormat="1" x14ac:dyDescent="0.2">
      <c r="A210" s="36"/>
      <c r="B210" s="14" t="s">
        <v>256</v>
      </c>
      <c r="G210" s="48"/>
      <c r="I210" s="49"/>
    </row>
    <row r="211" spans="1:9" s="14" customFormat="1" x14ac:dyDescent="0.2">
      <c r="A211" s="36"/>
      <c r="B211" s="14" t="s">
        <v>435</v>
      </c>
      <c r="G211" s="48"/>
      <c r="I211" s="49"/>
    </row>
    <row r="212" spans="1:9" s="14" customFormat="1" x14ac:dyDescent="0.2">
      <c r="A212" s="36"/>
      <c r="B212" s="14" t="s">
        <v>436</v>
      </c>
      <c r="G212" s="48"/>
      <c r="I212" s="49"/>
    </row>
    <row r="213" spans="1:9" s="14" customFormat="1" x14ac:dyDescent="0.2">
      <c r="A213" s="36"/>
      <c r="B213" s="14" t="s">
        <v>109</v>
      </c>
      <c r="G213" s="48" t="e">
        <f>'Schedule Balance Sheet'!E147</f>
        <v>#REF!</v>
      </c>
      <c r="I213" s="49">
        <v>19787286.359999999</v>
      </c>
    </row>
    <row r="214" spans="1:9" s="14" customFormat="1" x14ac:dyDescent="0.2">
      <c r="A214" s="36"/>
      <c r="B214" s="14" t="s">
        <v>437</v>
      </c>
      <c r="G214" s="48"/>
      <c r="I214" s="49"/>
    </row>
    <row r="215" spans="1:9" s="14" customFormat="1" x14ac:dyDescent="0.2">
      <c r="A215" s="36"/>
      <c r="B215" s="14" t="s">
        <v>438</v>
      </c>
      <c r="G215" s="48"/>
      <c r="I215" s="49"/>
    </row>
    <row r="216" spans="1:9" s="14" customFormat="1" x14ac:dyDescent="0.2">
      <c r="A216" s="41" t="s">
        <v>439</v>
      </c>
      <c r="G216" s="61" t="e">
        <f>SUM(G209:G215)</f>
        <v>#REF!</v>
      </c>
      <c r="H216" s="57"/>
      <c r="I216" s="61">
        <f>SUM(I209:I215)</f>
        <v>19787286.359999999</v>
      </c>
    </row>
    <row r="217" spans="1:9" x14ac:dyDescent="0.2">
      <c r="A217" s="41" t="s">
        <v>440</v>
      </c>
      <c r="B217" s="14"/>
      <c r="C217" s="14"/>
      <c r="D217" s="14"/>
      <c r="E217" s="14"/>
      <c r="F217" s="14"/>
      <c r="G217" s="53" t="e">
        <f>G207+G216</f>
        <v>#REF!</v>
      </c>
      <c r="H217" s="57"/>
      <c r="I217" s="53">
        <f>I207+I216</f>
        <v>36281203.309999995</v>
      </c>
    </row>
    <row r="218" spans="1:9" x14ac:dyDescent="0.2">
      <c r="A218" s="41" t="s">
        <v>590</v>
      </c>
      <c r="B218" s="14"/>
      <c r="C218" s="14"/>
      <c r="D218" s="14"/>
      <c r="E218" s="14"/>
      <c r="F218" s="14"/>
      <c r="G218" s="54"/>
      <c r="H218" s="14"/>
      <c r="I218" s="55"/>
    </row>
    <row r="219" spans="1:9" x14ac:dyDescent="0.2">
      <c r="A219" s="36" t="s">
        <v>441</v>
      </c>
      <c r="B219" s="14"/>
      <c r="C219" s="14"/>
      <c r="D219" s="14"/>
      <c r="E219" s="14"/>
      <c r="F219" s="14"/>
      <c r="G219" s="45" t="e">
        <f>'Schedule Balance Sheet'!E150</f>
        <v>#REF!</v>
      </c>
      <c r="H219" s="14"/>
      <c r="I219" s="49">
        <v>23825765.140000001</v>
      </c>
    </row>
    <row r="220" spans="1:9" x14ac:dyDescent="0.2">
      <c r="A220" s="36" t="s">
        <v>442</v>
      </c>
      <c r="B220" s="14"/>
      <c r="C220" s="14"/>
      <c r="D220" s="14"/>
      <c r="E220" s="14"/>
      <c r="F220" s="14"/>
      <c r="G220" s="45"/>
      <c r="H220" s="14"/>
      <c r="I220" s="49"/>
    </row>
    <row r="221" spans="1:9" x14ac:dyDescent="0.2">
      <c r="A221" s="36" t="s">
        <v>443</v>
      </c>
      <c r="B221" s="14"/>
      <c r="C221" s="14"/>
      <c r="D221" s="14"/>
      <c r="E221" s="14"/>
      <c r="F221" s="14"/>
      <c r="G221" s="45"/>
      <c r="H221" s="14"/>
      <c r="I221" s="49"/>
    </row>
    <row r="222" spans="1:9" x14ac:dyDescent="0.2">
      <c r="A222" s="41" t="s">
        <v>444</v>
      </c>
      <c r="B222" s="14"/>
      <c r="C222" s="14"/>
      <c r="D222" s="14"/>
      <c r="E222" s="14"/>
      <c r="F222" s="14"/>
      <c r="G222" s="51" t="e">
        <f>SUM(G219:G221)</f>
        <v>#REF!</v>
      </c>
      <c r="H222" s="57"/>
      <c r="I222" s="51">
        <f>SUM(I219:I221)</f>
        <v>23825765.140000001</v>
      </c>
    </row>
    <row r="223" spans="1:9" x14ac:dyDescent="0.2">
      <c r="A223" s="36"/>
      <c r="B223" s="14"/>
      <c r="C223" s="14"/>
      <c r="D223" s="14"/>
      <c r="E223" s="14"/>
      <c r="F223" s="14"/>
      <c r="G223" s="54"/>
      <c r="H223" s="14"/>
      <c r="I223" s="55"/>
    </row>
    <row r="224" spans="1:9" x14ac:dyDescent="0.2">
      <c r="A224" s="41" t="s">
        <v>588</v>
      </c>
      <c r="B224" s="14"/>
      <c r="C224" s="14"/>
      <c r="D224" s="14"/>
      <c r="E224" s="14"/>
      <c r="F224" s="14"/>
      <c r="G224" s="3"/>
      <c r="H224" s="14"/>
      <c r="I224" s="49"/>
    </row>
    <row r="225" spans="1:9" x14ac:dyDescent="0.2">
      <c r="A225" s="41"/>
      <c r="B225" s="14" t="s">
        <v>111</v>
      </c>
      <c r="C225" s="14"/>
      <c r="D225" s="14"/>
      <c r="E225" s="14"/>
      <c r="F225" s="14"/>
      <c r="G225" s="45" t="e">
        <f>'Schedule Balance Sheet'!E153</f>
        <v>#REF!</v>
      </c>
      <c r="H225" s="14"/>
      <c r="I225" s="49">
        <v>95436092.209999993</v>
      </c>
    </row>
    <row r="226" spans="1:9" x14ac:dyDescent="0.2">
      <c r="A226" s="41"/>
      <c r="B226" s="14" t="s">
        <v>445</v>
      </c>
      <c r="C226" s="14"/>
      <c r="D226" s="14"/>
      <c r="E226" s="14"/>
      <c r="F226" s="14"/>
      <c r="G226" s="45">
        <v>0</v>
      </c>
      <c r="H226" s="14"/>
      <c r="I226" s="49">
        <v>1109439.96</v>
      </c>
    </row>
    <row r="227" spans="1:9" x14ac:dyDescent="0.2">
      <c r="A227" s="41"/>
      <c r="B227" s="14" t="s">
        <v>446</v>
      </c>
      <c r="C227" s="14"/>
      <c r="D227" s="14"/>
      <c r="E227" s="14"/>
      <c r="F227" s="14"/>
      <c r="G227" s="49" t="e">
        <f>G225+G226</f>
        <v>#REF!</v>
      </c>
      <c r="H227" s="14"/>
      <c r="I227" s="49">
        <f>I225+I226</f>
        <v>96545532.169999987</v>
      </c>
    </row>
    <row r="228" spans="1:9" x14ac:dyDescent="0.2">
      <c r="A228" s="36" t="s">
        <v>586</v>
      </c>
      <c r="C228" s="14"/>
      <c r="D228" s="14"/>
      <c r="E228" s="14"/>
      <c r="F228" s="14"/>
      <c r="G228" s="3"/>
      <c r="H228" s="14"/>
      <c r="I228" s="3"/>
    </row>
    <row r="229" spans="1:9" x14ac:dyDescent="0.2">
      <c r="A229" s="41"/>
      <c r="B229" s="14" t="s">
        <v>447</v>
      </c>
      <c r="C229" s="14"/>
      <c r="D229" s="14"/>
      <c r="E229" s="14"/>
      <c r="F229" s="14"/>
      <c r="G229" s="45" t="e">
        <f>'Schedule Balance Sheet'!E155</f>
        <v>#REF!</v>
      </c>
      <c r="H229" s="14"/>
      <c r="I229" s="49">
        <v>10269479.1</v>
      </c>
    </row>
    <row r="230" spans="1:9" x14ac:dyDescent="0.2">
      <c r="A230" s="41"/>
      <c r="B230" s="14" t="s">
        <v>448</v>
      </c>
      <c r="C230" s="14"/>
      <c r="D230" s="14"/>
      <c r="E230" s="14"/>
      <c r="F230" s="14"/>
      <c r="G230" s="3"/>
      <c r="H230" s="14"/>
      <c r="I230" s="49"/>
    </row>
    <row r="231" spans="1:9" x14ac:dyDescent="0.2">
      <c r="A231" s="36" t="s">
        <v>587</v>
      </c>
      <c r="C231" s="14"/>
      <c r="D231" s="14"/>
      <c r="E231" s="14"/>
      <c r="F231" s="14"/>
      <c r="G231" s="45"/>
      <c r="H231" s="14"/>
      <c r="I231" s="49"/>
    </row>
    <row r="232" spans="1:9" x14ac:dyDescent="0.2">
      <c r="A232" s="41"/>
      <c r="B232" s="9" t="s">
        <v>648</v>
      </c>
      <c r="C232" s="14"/>
      <c r="D232" s="14"/>
      <c r="E232" s="14"/>
      <c r="F232" s="14"/>
      <c r="G232" s="45">
        <f>'Schedule Balance Sheet'!E158</f>
        <v>0</v>
      </c>
      <c r="H232" s="14"/>
      <c r="I232" s="49">
        <v>0</v>
      </c>
    </row>
    <row r="233" spans="1:9" x14ac:dyDescent="0.2">
      <c r="A233" s="41"/>
      <c r="B233" s="14" t="s">
        <v>180</v>
      </c>
      <c r="C233" s="14"/>
      <c r="D233" s="14"/>
      <c r="E233" s="14"/>
      <c r="F233" s="14"/>
      <c r="G233" s="45"/>
      <c r="H233" s="14"/>
      <c r="I233" s="49"/>
    </row>
    <row r="234" spans="1:9" x14ac:dyDescent="0.2">
      <c r="A234" s="41"/>
      <c r="B234" s="14" t="s">
        <v>449</v>
      </c>
      <c r="C234" s="14"/>
      <c r="D234" s="14"/>
      <c r="E234" s="14"/>
      <c r="F234" s="14"/>
      <c r="G234" s="88" t="e">
        <f>#REF!</f>
        <v>#REF!</v>
      </c>
      <c r="H234" s="14"/>
      <c r="I234" s="49"/>
    </row>
    <row r="235" spans="1:9" x14ac:dyDescent="0.2">
      <c r="A235" s="36"/>
      <c r="B235" s="6" t="s">
        <v>181</v>
      </c>
      <c r="C235" s="14"/>
      <c r="D235" s="14"/>
      <c r="E235" s="14"/>
      <c r="F235" s="14"/>
      <c r="G235" s="62" t="e">
        <f>G227+G229-G234</f>
        <v>#REF!</v>
      </c>
      <c r="H235" s="52"/>
      <c r="I235" s="53">
        <f>I227+I229+I234+I232</f>
        <v>106815011.26999998</v>
      </c>
    </row>
    <row r="236" spans="1:9" x14ac:dyDescent="0.2">
      <c r="A236" s="65" t="s">
        <v>589</v>
      </c>
      <c r="B236" s="66"/>
      <c r="C236" s="66"/>
      <c r="D236" s="66"/>
      <c r="E236" s="66"/>
      <c r="F236" s="66"/>
      <c r="G236" s="63" t="e">
        <f>G217+G222+G235</f>
        <v>#REF!</v>
      </c>
      <c r="H236" s="52"/>
      <c r="I236" s="87">
        <f>I217+I222+I235</f>
        <v>166921979.71999997</v>
      </c>
    </row>
    <row r="237" spans="1:9" x14ac:dyDescent="0.2">
      <c r="G237" s="7"/>
    </row>
    <row r="238" spans="1:9" x14ac:dyDescent="0.2">
      <c r="C238" s="6" t="s">
        <v>163</v>
      </c>
      <c r="G238" s="7" t="e">
        <f>G183-G236</f>
        <v>#REF!</v>
      </c>
      <c r="I238" s="7">
        <f>I183-I236</f>
        <v>0</v>
      </c>
    </row>
    <row r="239" spans="1:9" x14ac:dyDescent="0.2">
      <c r="C239" s="27"/>
    </row>
    <row r="240" spans="1:9" x14ac:dyDescent="0.2">
      <c r="F240" s="6" t="s">
        <v>162</v>
      </c>
      <c r="G240" s="7"/>
      <c r="I240" s="7"/>
    </row>
    <row r="241" spans="6:6" x14ac:dyDescent="0.2">
      <c r="F241" t="s">
        <v>161</v>
      </c>
    </row>
  </sheetData>
  <mergeCells count="8">
    <mergeCell ref="A1:I1"/>
    <mergeCell ref="A2:I2"/>
    <mergeCell ref="A9:I9"/>
    <mergeCell ref="A8:I8"/>
    <mergeCell ref="A3:I3"/>
    <mergeCell ref="A5:I5"/>
    <mergeCell ref="A7:I7"/>
    <mergeCell ref="A6:I6"/>
  </mergeCells>
  <phoneticPr fontId="3" type="noConversion"/>
  <pageMargins left="0.68" right="0.56999999999999995" top="0.83" bottom="1.72" header="0.5" footer="0.5"/>
  <pageSetup paperSize="5" orientation="portrait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V532"/>
  <sheetViews>
    <sheetView zoomScaleNormal="100" workbookViewId="0">
      <pane ySplit="9" topLeftCell="A260" activePane="bottomLeft" state="frozen"/>
      <selection pane="bottomLeft" activeCell="E263" sqref="E263"/>
    </sheetView>
  </sheetViews>
  <sheetFormatPr defaultRowHeight="14.25" x14ac:dyDescent="0.2"/>
  <cols>
    <col min="1" max="1" width="10.85546875" style="175" customWidth="1"/>
    <col min="2" max="2" width="5.5703125" style="200" customWidth="1"/>
    <col min="3" max="3" width="18.42578125" style="199" customWidth="1"/>
    <col min="4" max="4" width="65.140625" style="199" customWidth="1"/>
    <col min="5" max="5" width="19" style="175" customWidth="1"/>
    <col min="6" max="6" width="0" hidden="1" customWidth="1"/>
    <col min="7" max="7" width="16" style="27" hidden="1" customWidth="1"/>
    <col min="8" max="14" width="16" hidden="1" customWidth="1"/>
    <col min="15" max="15" width="17.7109375" hidden="1" customWidth="1"/>
    <col min="16" max="20" width="16" hidden="1" customWidth="1"/>
    <col min="21" max="22" width="16" customWidth="1"/>
  </cols>
  <sheetData>
    <row r="1" spans="1:15" ht="15.75" customHeight="1" x14ac:dyDescent="0.2">
      <c r="A1" s="440" t="s">
        <v>198</v>
      </c>
      <c r="B1" s="440"/>
      <c r="C1" s="440"/>
      <c r="D1" s="440"/>
      <c r="E1" s="440"/>
    </row>
    <row r="2" spans="1:15" ht="15.75" customHeight="1" x14ac:dyDescent="0.2">
      <c r="A2" s="440" t="s">
        <v>608</v>
      </c>
      <c r="B2" s="440"/>
      <c r="C2" s="440"/>
      <c r="D2" s="440"/>
      <c r="E2" s="440"/>
    </row>
    <row r="3" spans="1:15" ht="15.75" customHeight="1" x14ac:dyDescent="0.2">
      <c r="A3" s="418" t="s">
        <v>1293</v>
      </c>
      <c r="B3" s="418"/>
      <c r="C3" s="418"/>
      <c r="D3" s="418"/>
      <c r="E3" s="418"/>
    </row>
    <row r="4" spans="1:15" ht="15.75" customHeight="1" x14ac:dyDescent="0.2"/>
    <row r="5" spans="1:15" ht="20.25" customHeight="1" x14ac:dyDescent="0.2">
      <c r="A5" s="476" t="s">
        <v>1885</v>
      </c>
      <c r="B5" s="476"/>
      <c r="C5" s="476"/>
      <c r="D5" s="476"/>
      <c r="E5" s="476"/>
    </row>
    <row r="6" spans="1:15" ht="23.25" customHeight="1" x14ac:dyDescent="0.2">
      <c r="A6" s="418" t="s">
        <v>1956</v>
      </c>
      <c r="B6" s="418"/>
      <c r="C6" s="418"/>
      <c r="D6" s="418"/>
      <c r="E6" s="418"/>
    </row>
    <row r="7" spans="1:15" ht="22.5" customHeight="1" x14ac:dyDescent="0.2">
      <c r="A7" s="477" t="s">
        <v>1886</v>
      </c>
      <c r="B7" s="477"/>
      <c r="C7" s="477"/>
      <c r="D7" s="477"/>
      <c r="E7" s="477"/>
    </row>
    <row r="8" spans="1:15" ht="15.75" customHeight="1" x14ac:dyDescent="0.2"/>
    <row r="9" spans="1:15" s="5" customFormat="1" ht="24" customHeight="1" x14ac:dyDescent="0.2">
      <c r="A9" s="418" t="s">
        <v>1887</v>
      </c>
      <c r="B9" s="418"/>
      <c r="C9" s="418"/>
      <c r="D9" s="218" t="s">
        <v>1295</v>
      </c>
      <c r="E9" s="111" t="s">
        <v>1263</v>
      </c>
      <c r="G9" s="208"/>
      <c r="I9" s="5">
        <v>1</v>
      </c>
      <c r="J9" s="5">
        <v>1</v>
      </c>
      <c r="K9" s="5">
        <v>2</v>
      </c>
      <c r="L9" s="5">
        <v>3</v>
      </c>
      <c r="M9" s="5">
        <v>4</v>
      </c>
      <c r="N9" s="5">
        <v>5</v>
      </c>
    </row>
    <row r="10" spans="1:15" s="6" customFormat="1" ht="15.75" customHeight="1" thickBot="1" x14ac:dyDescent="0.3">
      <c r="A10" s="201" t="s">
        <v>1318</v>
      </c>
      <c r="B10" s="202" t="s">
        <v>1320</v>
      </c>
      <c r="C10" s="203" t="s">
        <v>1319</v>
      </c>
      <c r="D10" s="203" t="s">
        <v>652</v>
      </c>
      <c r="E10" s="237">
        <f>'[5]Cash Local Treasury'!$H$440</f>
        <v>397449.10999999195</v>
      </c>
      <c r="G10" s="209"/>
      <c r="H10" s="6" t="s">
        <v>1882</v>
      </c>
      <c r="I10" s="82">
        <f>SUM(E10,E14,E24,E26,E28,E30,E32,E34,E48,E50,E52,E128,E130,E132,E134,E136,E138,E140,E142,E144,E146,E148,E150,E152,E156,E158,E160,E162,E164,E166)</f>
        <v>209603999.70999998</v>
      </c>
      <c r="J10" s="82">
        <f>SUM(E168,E170,E172,E174,E176,E178,E182,E184,E186,E188,E190,E192,E194,E196,E198,E200)</f>
        <v>87798437.399999991</v>
      </c>
      <c r="L10" s="209">
        <f>E314</f>
        <v>16512.580000000002</v>
      </c>
      <c r="M10" s="209">
        <f>E322</f>
        <v>87927.35</v>
      </c>
      <c r="N10" s="209">
        <f>SUM(E378:E500)</f>
        <v>104106659.23999995</v>
      </c>
      <c r="O10" s="213">
        <f>SUM(I10:N10)</f>
        <v>401613536.27999991</v>
      </c>
    </row>
    <row r="11" spans="1:15" s="6" customFormat="1" ht="15.75" customHeight="1" thickTop="1" x14ac:dyDescent="0.25">
      <c r="A11" s="201" t="s">
        <v>1318</v>
      </c>
      <c r="B11" s="202" t="s">
        <v>1321</v>
      </c>
      <c r="C11" s="203"/>
      <c r="D11" s="203" t="s">
        <v>654</v>
      </c>
      <c r="E11" s="201"/>
      <c r="G11" s="209"/>
      <c r="H11" s="6" t="s">
        <v>1883</v>
      </c>
      <c r="I11" s="82">
        <f>SUM(E202,E204,E206,E208,E210,E212,E214,E216,E218,E220,E222,E226)</f>
        <v>10835277.140000001</v>
      </c>
      <c r="K11" s="209">
        <f>SUM(E233,E235,E243,E258,E264,E269,E279,E287,E292,E301,E303,E305,E307)</f>
        <v>38648354.590000004</v>
      </c>
      <c r="L11" s="209">
        <f>E312</f>
        <v>206331728.61000001</v>
      </c>
      <c r="M11" s="209">
        <f>SUM(E316,E318,E320,E324,E326,E328,E330,E332,E334,E336,E338,E340,E342,E344,E346,E348,E350,E352,E354,E356,E358,E360,E362,E364,E366,E368,E370,E372,E374,E376)</f>
        <v>138146202.85999998</v>
      </c>
      <c r="O11" s="213">
        <f>SUM(I11:N11)</f>
        <v>393961563.20000005</v>
      </c>
    </row>
    <row r="12" spans="1:15" ht="15.75" customHeight="1" x14ac:dyDescent="0.25">
      <c r="C12" s="199" t="s">
        <v>1322</v>
      </c>
      <c r="D12" s="199" t="s">
        <v>171</v>
      </c>
      <c r="E12" s="204">
        <f>'[5]Petty Cash-1'!$G$47</f>
        <v>21642.369999999995</v>
      </c>
      <c r="H12" s="6" t="s">
        <v>1884</v>
      </c>
      <c r="N12" s="214" t="s">
        <v>1888</v>
      </c>
      <c r="O12" s="215">
        <f>[6]December!$F$186</f>
        <v>363590491.82999998</v>
      </c>
    </row>
    <row r="13" spans="1:15" ht="15.75" customHeight="1" x14ac:dyDescent="0.2">
      <c r="C13" s="199" t="s">
        <v>1323</v>
      </c>
      <c r="D13" s="199" t="s">
        <v>1993</v>
      </c>
      <c r="E13" s="204">
        <f>'[5]Petty Cash-2'!$G$46</f>
        <v>22000</v>
      </c>
      <c r="O13" s="216">
        <f>O12-O11</f>
        <v>-30371071.370000064</v>
      </c>
    </row>
    <row r="14" spans="1:15" ht="15.75" customHeight="1" thickBot="1" x14ac:dyDescent="0.25">
      <c r="C14" s="207" t="s">
        <v>50</v>
      </c>
      <c r="E14" s="236">
        <f>SUM(E12:E13)</f>
        <v>43642.369999999995</v>
      </c>
    </row>
    <row r="15" spans="1:15" ht="15.75" customHeight="1" thickTop="1" x14ac:dyDescent="0.2">
      <c r="E15" s="206"/>
    </row>
    <row r="16" spans="1:15" s="6" customFormat="1" ht="15.75" customHeight="1" x14ac:dyDescent="0.2">
      <c r="A16" s="201" t="s">
        <v>1318</v>
      </c>
      <c r="B16" s="202" t="s">
        <v>1324</v>
      </c>
      <c r="C16" s="203" t="s">
        <v>1359</v>
      </c>
      <c r="D16" s="203" t="s">
        <v>657</v>
      </c>
      <c r="E16" s="201"/>
      <c r="G16" s="209"/>
    </row>
    <row r="17" spans="1:7" ht="15.75" customHeight="1" x14ac:dyDescent="0.2">
      <c r="C17" s="199" t="s">
        <v>1328</v>
      </c>
      <c r="D17" s="199" t="s">
        <v>1958</v>
      </c>
      <c r="E17" s="204">
        <f>'[5]CIB- Mun. IRA'!$H$1826</f>
        <v>49207976.130000025</v>
      </c>
    </row>
    <row r="18" spans="1:7" ht="15.75" customHeight="1" x14ac:dyDescent="0.2">
      <c r="C18" s="199" t="s">
        <v>1327</v>
      </c>
      <c r="D18" s="199" t="s">
        <v>1957</v>
      </c>
      <c r="E18" s="204">
        <f>'[5]CIB-RIMMP'!$G$45</f>
        <v>14328.66</v>
      </c>
    </row>
    <row r="19" spans="1:7" ht="15.75" customHeight="1" x14ac:dyDescent="0.2">
      <c r="C19" s="199" t="s">
        <v>1329</v>
      </c>
      <c r="D19" s="199" t="s">
        <v>1959</v>
      </c>
      <c r="E19" s="204">
        <f>'[5]CIB- LGU Equity'!$G$45</f>
        <v>33326.04</v>
      </c>
    </row>
    <row r="20" spans="1:7" ht="15.75" customHeight="1" x14ac:dyDescent="0.2">
      <c r="C20" s="199" t="s">
        <v>1325</v>
      </c>
      <c r="D20" s="199" t="s">
        <v>1960</v>
      </c>
      <c r="E20" s="204">
        <f>'[5]CIB-20% (-2)'!$G$72</f>
        <v>1005024.3900000001</v>
      </c>
    </row>
    <row r="21" spans="1:7" ht="15.75" customHeight="1" x14ac:dyDescent="0.2">
      <c r="C21" s="199" t="s">
        <v>1326</v>
      </c>
      <c r="D21" s="199" t="s">
        <v>1961</v>
      </c>
      <c r="E21" s="204">
        <f>SUM('[5]CIB-3-70%'!$H$88,'[5]CIB-3-30% QUICK RESPONSE FUND'!$G$46)</f>
        <v>0</v>
      </c>
    </row>
    <row r="22" spans="1:7" ht="15.75" customHeight="1" x14ac:dyDescent="0.2">
      <c r="C22" s="199" t="s">
        <v>1962</v>
      </c>
      <c r="D22" s="199" t="s">
        <v>1963</v>
      </c>
      <c r="E22" s="204">
        <f>'[5]CIB (-4) - DBP (20%)'!$G$84</f>
        <v>15454976.709999993</v>
      </c>
    </row>
    <row r="23" spans="1:7" ht="15.75" customHeight="1" x14ac:dyDescent="0.2">
      <c r="C23" s="199" t="s">
        <v>1964</v>
      </c>
      <c r="D23" s="199" t="s">
        <v>1965</v>
      </c>
      <c r="E23" s="204">
        <f>'[5]CIB (-5) - DBP (5%)'!$G$75</f>
        <v>23209542.959999993</v>
      </c>
    </row>
    <row r="24" spans="1:7" ht="15.75" customHeight="1" thickBot="1" x14ac:dyDescent="0.25">
      <c r="C24" s="207" t="s">
        <v>50</v>
      </c>
      <c r="E24" s="236">
        <f>SUM(E17:E23)</f>
        <v>88925174.890000015</v>
      </c>
    </row>
    <row r="25" spans="1:7" ht="15.75" customHeight="1" thickTop="1" x14ac:dyDescent="0.2">
      <c r="E25" s="206"/>
    </row>
    <row r="26" spans="1:7" s="6" customFormat="1" ht="15.75" customHeight="1" thickBot="1" x14ac:dyDescent="0.25">
      <c r="A26" s="201" t="s">
        <v>1318</v>
      </c>
      <c r="B26" s="202" t="s">
        <v>1330</v>
      </c>
      <c r="C26" s="203" t="s">
        <v>1331</v>
      </c>
      <c r="D26" s="203" t="s">
        <v>687</v>
      </c>
      <c r="E26" s="236">
        <f>'[7]Other Investments'!$G$45</f>
        <v>72000</v>
      </c>
      <c r="G26" s="209"/>
    </row>
    <row r="27" spans="1:7" ht="15.75" customHeight="1" thickTop="1" x14ac:dyDescent="0.2"/>
    <row r="28" spans="1:7" s="6" customFormat="1" ht="15.75" customHeight="1" thickBot="1" x14ac:dyDescent="0.25">
      <c r="A28" s="201" t="s">
        <v>1318</v>
      </c>
      <c r="B28" s="202" t="s">
        <v>1332</v>
      </c>
      <c r="C28" s="203" t="s">
        <v>1333</v>
      </c>
      <c r="D28" s="203" t="s">
        <v>3</v>
      </c>
      <c r="E28" s="236">
        <f>'[8]RPT Receivable'!$G$141</f>
        <v>17255191.620000001</v>
      </c>
      <c r="G28" s="209"/>
    </row>
    <row r="29" spans="1:7" ht="15.75" customHeight="1" thickTop="1" x14ac:dyDescent="0.2"/>
    <row r="30" spans="1:7" s="6" customFormat="1" ht="15.75" customHeight="1" thickBot="1" x14ac:dyDescent="0.25">
      <c r="A30" s="201" t="s">
        <v>1318</v>
      </c>
      <c r="B30" s="202" t="s">
        <v>1334</v>
      </c>
      <c r="C30" s="203" t="s">
        <v>1335</v>
      </c>
      <c r="D30" s="203" t="s">
        <v>726</v>
      </c>
      <c r="E30" s="205">
        <f>'[8]Due from Nat''l Gov''t Agencies'!$G$45</f>
        <v>33742.129999999997</v>
      </c>
      <c r="G30" s="209"/>
    </row>
    <row r="31" spans="1:7" ht="15.75" customHeight="1" thickTop="1" x14ac:dyDescent="0.2"/>
    <row r="32" spans="1:7" s="6" customFormat="1" ht="15.75" customHeight="1" thickBot="1" x14ac:dyDescent="0.25">
      <c r="A32" s="201" t="s">
        <v>1318</v>
      </c>
      <c r="B32" s="202" t="s">
        <v>1336</v>
      </c>
      <c r="C32" s="203" t="s">
        <v>1337</v>
      </c>
      <c r="D32" s="203" t="s">
        <v>67</v>
      </c>
      <c r="E32" s="205">
        <f>'[8]Due from GOCCs'!$G$45</f>
        <v>45818.23</v>
      </c>
      <c r="G32" s="209"/>
    </row>
    <row r="33" spans="1:7" ht="15.75" customHeight="1" thickTop="1" x14ac:dyDescent="0.2"/>
    <row r="34" spans="1:7" s="6" customFormat="1" ht="15.75" customHeight="1" thickBot="1" x14ac:dyDescent="0.25">
      <c r="A34" s="201" t="s">
        <v>1318</v>
      </c>
      <c r="B34" s="202" t="s">
        <v>1338</v>
      </c>
      <c r="C34" s="203" t="s">
        <v>1339</v>
      </c>
      <c r="D34" s="203" t="s">
        <v>5</v>
      </c>
      <c r="E34" s="205">
        <f>'[8]Due from LGUs'!$G$45</f>
        <v>85141.1</v>
      </c>
      <c r="G34" s="209"/>
    </row>
    <row r="35" spans="1:7" ht="15.75" customHeight="1" thickTop="1" x14ac:dyDescent="0.2"/>
    <row r="36" spans="1:7" s="6" customFormat="1" ht="15.75" customHeight="1" x14ac:dyDescent="0.2">
      <c r="A36" s="201" t="s">
        <v>1318</v>
      </c>
      <c r="B36" s="202" t="s">
        <v>1340</v>
      </c>
      <c r="C36" s="203" t="s">
        <v>1341</v>
      </c>
      <c r="D36" s="203" t="s">
        <v>165</v>
      </c>
      <c r="E36" s="201"/>
      <c r="G36" s="209"/>
    </row>
    <row r="37" spans="1:7" ht="15.75" customHeight="1" x14ac:dyDescent="0.2">
      <c r="C37" s="199" t="s">
        <v>1342</v>
      </c>
      <c r="E37" s="204">
        <f>'[8]Due from Other Funds - Unknown'!$G$12</f>
        <v>616844.93999999994</v>
      </c>
    </row>
    <row r="38" spans="1:7" ht="15.75" customHeight="1" x14ac:dyDescent="0.2">
      <c r="C38" s="199" t="s">
        <v>1343</v>
      </c>
      <c r="D38" s="199" t="s">
        <v>1625</v>
      </c>
      <c r="E38" s="204">
        <f>'[8]Due from Other Funds-DBP'!$G$48</f>
        <v>3204899.48</v>
      </c>
    </row>
    <row r="39" spans="1:7" ht="15.75" customHeight="1" x14ac:dyDescent="0.2">
      <c r="C39" s="199" t="s">
        <v>1344</v>
      </c>
      <c r="D39" s="199" t="s">
        <v>1635</v>
      </c>
      <c r="E39" s="204">
        <f>'[8]Due from Other Funds-SEF'!$G$68</f>
        <v>7394.7199999999975</v>
      </c>
    </row>
    <row r="40" spans="1:7" ht="15.75" customHeight="1" x14ac:dyDescent="0.2">
      <c r="C40" s="199" t="s">
        <v>1345</v>
      </c>
      <c r="D40" s="199" t="s">
        <v>1638</v>
      </c>
      <c r="E40" s="204">
        <f>'[8]Due from Other Funds-TF'!$G$73</f>
        <v>-115307.85999999987</v>
      </c>
    </row>
    <row r="41" spans="1:7" ht="15.75" customHeight="1" x14ac:dyDescent="0.2">
      <c r="C41" s="199" t="s">
        <v>1346</v>
      </c>
      <c r="D41" s="199" t="s">
        <v>1644</v>
      </c>
      <c r="E41" s="204">
        <f>'[8]Due from Other Funds-SALINTUBIG'!$G$62</f>
        <v>9985053.4899999984</v>
      </c>
    </row>
    <row r="42" spans="1:7" ht="15.75" customHeight="1" x14ac:dyDescent="0.2">
      <c r="C42" s="199" t="s">
        <v>1347</v>
      </c>
      <c r="D42" s="199" t="s">
        <v>1640</v>
      </c>
      <c r="E42" s="204">
        <f>'[8]Due from Other Funds-PCF'!$G$45</f>
        <v>127</v>
      </c>
    </row>
    <row r="43" spans="1:7" ht="15.75" customHeight="1" x14ac:dyDescent="0.2">
      <c r="C43" s="199" t="s">
        <v>1348</v>
      </c>
      <c r="D43" s="199" t="s">
        <v>1966</v>
      </c>
      <c r="E43" s="204">
        <f>'[8]Due from Other Funds - GPBP'!$G$52</f>
        <v>0</v>
      </c>
    </row>
    <row r="44" spans="1:7" ht="15.75" customHeight="1" x14ac:dyDescent="0.2">
      <c r="C44" s="199" t="s">
        <v>1349</v>
      </c>
      <c r="D44" s="199" t="s">
        <v>1967</v>
      </c>
      <c r="E44" s="204">
        <f>'[8]Due from Other Funds - JSC'!$G$50</f>
        <v>4164799.08</v>
      </c>
    </row>
    <row r="45" spans="1:7" ht="15.75" customHeight="1" x14ac:dyDescent="0.2">
      <c r="C45" s="199" t="s">
        <v>1350</v>
      </c>
      <c r="D45" s="199" t="s">
        <v>1968</v>
      </c>
      <c r="E45" s="204">
        <f>'[8]Due from Other Funds - KWF'!$G$55</f>
        <v>3166644.72</v>
      </c>
    </row>
    <row r="46" spans="1:7" ht="15.75" customHeight="1" x14ac:dyDescent="0.2">
      <c r="C46" s="199" t="s">
        <v>1351</v>
      </c>
      <c r="D46" s="199" t="s">
        <v>1969</v>
      </c>
      <c r="E46" s="204">
        <f>'[8]Due from Other Funds - RAY 2'!$G$45</f>
        <v>0</v>
      </c>
    </row>
    <row r="47" spans="1:7" ht="15.75" customHeight="1" x14ac:dyDescent="0.2">
      <c r="C47" s="199" t="s">
        <v>1352</v>
      </c>
      <c r="D47" s="199" t="s">
        <v>1970</v>
      </c>
      <c r="E47" s="204">
        <f>'[8]Due from Other Funds - RAY 3'!$G$46</f>
        <v>5625</v>
      </c>
    </row>
    <row r="48" spans="1:7" ht="15.75" customHeight="1" thickBot="1" x14ac:dyDescent="0.25">
      <c r="C48" s="207" t="s">
        <v>50</v>
      </c>
      <c r="E48" s="236">
        <f>SUM(E37:E47)</f>
        <v>21036080.57</v>
      </c>
    </row>
    <row r="49" spans="1:7" ht="15.75" customHeight="1" thickTop="1" x14ac:dyDescent="0.2"/>
    <row r="50" spans="1:7" s="6" customFormat="1" ht="15.75" customHeight="1" thickBot="1" x14ac:dyDescent="0.25">
      <c r="A50" s="201" t="s">
        <v>1318</v>
      </c>
      <c r="B50" s="202" t="s">
        <v>1353</v>
      </c>
      <c r="C50" s="203" t="s">
        <v>1354</v>
      </c>
      <c r="D50" s="203" t="s">
        <v>738</v>
      </c>
      <c r="E50" s="236">
        <f>[9]December!$C$20</f>
        <v>709400</v>
      </c>
      <c r="G50" s="209"/>
    </row>
    <row r="51" spans="1:7" ht="15.75" customHeight="1" thickTop="1" x14ac:dyDescent="0.2"/>
    <row r="52" spans="1:7" s="6" customFormat="1" ht="15.75" customHeight="1" thickBot="1" x14ac:dyDescent="0.25">
      <c r="A52" s="201" t="s">
        <v>1318</v>
      </c>
      <c r="B52" s="202" t="s">
        <v>1355</v>
      </c>
      <c r="C52" s="203" t="s">
        <v>1356</v>
      </c>
      <c r="D52" s="203" t="s">
        <v>739</v>
      </c>
      <c r="E52" s="205">
        <f>[9]December!$C$21</f>
        <v>1000.8099999949336</v>
      </c>
      <c r="G52" s="209"/>
    </row>
    <row r="53" spans="1:7" ht="15.75" customHeight="1" thickTop="1" x14ac:dyDescent="0.2"/>
    <row r="54" spans="1:7" s="6" customFormat="1" ht="15.75" customHeight="1" x14ac:dyDescent="0.2">
      <c r="A54" s="201" t="s">
        <v>1318</v>
      </c>
      <c r="B54" s="202" t="s">
        <v>1357</v>
      </c>
      <c r="C54" s="203" t="s">
        <v>1358</v>
      </c>
      <c r="D54" s="203" t="s">
        <v>741</v>
      </c>
      <c r="E54" s="201"/>
      <c r="G54" s="209"/>
    </row>
    <row r="55" spans="1:7" ht="15.75" customHeight="1" x14ac:dyDescent="0.2">
      <c r="C55" s="199" t="s">
        <v>1360</v>
      </c>
      <c r="D55" s="199" t="s">
        <v>1890</v>
      </c>
      <c r="E55" s="217">
        <f>'[10]4th Quarter'!$J$19</f>
        <v>8910</v>
      </c>
    </row>
    <row r="56" spans="1:7" ht="15.75" customHeight="1" x14ac:dyDescent="0.2">
      <c r="C56" s="199" t="s">
        <v>1361</v>
      </c>
      <c r="D56" s="199" t="s">
        <v>1891</v>
      </c>
      <c r="E56" s="217">
        <f>'[10]4th Quarter'!$J$21</f>
        <v>9020</v>
      </c>
    </row>
    <row r="57" spans="1:7" ht="15.75" customHeight="1" x14ac:dyDescent="0.2">
      <c r="C57" s="199" t="s">
        <v>1362</v>
      </c>
      <c r="D57" s="199" t="s">
        <v>1892</v>
      </c>
      <c r="E57" s="217">
        <f>'[10]4th Quarter'!$J$24</f>
        <v>7100</v>
      </c>
    </row>
    <row r="58" spans="1:7" ht="15.75" customHeight="1" x14ac:dyDescent="0.2">
      <c r="C58" s="199" t="s">
        <v>1363</v>
      </c>
      <c r="D58" s="199" t="s">
        <v>1893</v>
      </c>
      <c r="E58" s="217">
        <f>'[10]4th Quarter'!$J$26</f>
        <v>6600</v>
      </c>
    </row>
    <row r="59" spans="1:7" ht="15.75" customHeight="1" x14ac:dyDescent="0.2">
      <c r="C59" s="199" t="s">
        <v>1364</v>
      </c>
      <c r="D59" s="199" t="s">
        <v>1894</v>
      </c>
      <c r="E59" s="217">
        <f>'[10]4th Quarter'!$J$31</f>
        <v>25840</v>
      </c>
    </row>
    <row r="60" spans="1:7" ht="15.75" customHeight="1" x14ac:dyDescent="0.2">
      <c r="C60" s="199" t="s">
        <v>1365</v>
      </c>
      <c r="D60" s="199" t="s">
        <v>1895</v>
      </c>
      <c r="E60" s="217">
        <f>'[10]4th Quarter'!$J$36</f>
        <v>13799</v>
      </c>
    </row>
    <row r="61" spans="1:7" ht="15.75" customHeight="1" x14ac:dyDescent="0.2">
      <c r="C61" s="199" t="s">
        <v>1366</v>
      </c>
      <c r="D61" s="199" t="s">
        <v>1896</v>
      </c>
      <c r="E61" s="217">
        <f>'[10]4th Quarter'!$I$38</f>
        <v>15720</v>
      </c>
    </row>
    <row r="62" spans="1:7" ht="15.75" customHeight="1" x14ac:dyDescent="0.2">
      <c r="C62" s="199" t="s">
        <v>1367</v>
      </c>
      <c r="D62" s="199" t="s">
        <v>1971</v>
      </c>
      <c r="E62" s="217">
        <f>'[10]4th Quarter'!$F$40</f>
        <v>5800</v>
      </c>
    </row>
    <row r="63" spans="1:7" ht="15.75" customHeight="1" x14ac:dyDescent="0.2">
      <c r="C63" s="199" t="s">
        <v>1368</v>
      </c>
      <c r="D63" s="199" t="s">
        <v>1897</v>
      </c>
      <c r="E63" s="217">
        <f>'[10]4th Quarter'!$J$56</f>
        <v>160500</v>
      </c>
    </row>
    <row r="64" spans="1:7" ht="15.75" customHeight="1" x14ac:dyDescent="0.2">
      <c r="C64" s="199" t="s">
        <v>1369</v>
      </c>
      <c r="D64" s="199" t="s">
        <v>1898</v>
      </c>
      <c r="E64" s="217">
        <f>'[10]4th Quarter'!$J$65</f>
        <v>20912</v>
      </c>
    </row>
    <row r="65" spans="3:5" ht="15.75" customHeight="1" x14ac:dyDescent="0.2">
      <c r="C65" s="199" t="s">
        <v>1370</v>
      </c>
      <c r="D65" s="199" t="s">
        <v>1899</v>
      </c>
      <c r="E65" s="217">
        <f>'[10]4th Quarter'!$J$74</f>
        <v>13316</v>
      </c>
    </row>
    <row r="66" spans="3:5" ht="15.75" customHeight="1" x14ac:dyDescent="0.2">
      <c r="C66" s="199" t="s">
        <v>1371</v>
      </c>
      <c r="D66" s="199" t="s">
        <v>1972</v>
      </c>
      <c r="E66" s="217">
        <f>'[10]4th Quarter'!$G$78</f>
        <v>1382</v>
      </c>
    </row>
    <row r="67" spans="3:5" ht="15.75" customHeight="1" x14ac:dyDescent="0.2">
      <c r="C67" s="199" t="s">
        <v>1372</v>
      </c>
      <c r="D67" s="199" t="s">
        <v>1900</v>
      </c>
      <c r="E67" s="217">
        <f>'[10]4th Quarter'!$H$80</f>
        <v>2053.58</v>
      </c>
    </row>
    <row r="68" spans="3:5" ht="15.75" customHeight="1" x14ac:dyDescent="0.2">
      <c r="C68" s="199" t="s">
        <v>1373</v>
      </c>
      <c r="D68" s="199" t="s">
        <v>1901</v>
      </c>
      <c r="E68" s="217">
        <f>'[10]4th Quarter'!$J$82</f>
        <v>200</v>
      </c>
    </row>
    <row r="69" spans="3:5" ht="15.75" customHeight="1" x14ac:dyDescent="0.2">
      <c r="C69" s="199" t="s">
        <v>1374</v>
      </c>
      <c r="D69" s="199" t="s">
        <v>1902</v>
      </c>
      <c r="E69" s="217">
        <f>'[10]4th Quarter'!$J$84</f>
        <v>9800</v>
      </c>
    </row>
    <row r="70" spans="3:5" ht="15.75" customHeight="1" x14ac:dyDescent="0.2">
      <c r="C70" s="199" t="s">
        <v>1375</v>
      </c>
      <c r="D70" s="199" t="s">
        <v>1903</v>
      </c>
      <c r="E70" s="217">
        <f>'[10]4th Quarter'!$J$87</f>
        <v>5570</v>
      </c>
    </row>
    <row r="71" spans="3:5" ht="15.75" customHeight="1" x14ac:dyDescent="0.2">
      <c r="C71" s="199" t="s">
        <v>1376</v>
      </c>
      <c r="D71" s="199" t="s">
        <v>1973</v>
      </c>
      <c r="E71" s="217">
        <f>'[10]4th Quarter'!$E$93</f>
        <v>39397.379999999073</v>
      </c>
    </row>
    <row r="72" spans="3:5" ht="15.75" customHeight="1" x14ac:dyDescent="0.2">
      <c r="C72" s="199" t="s">
        <v>1377</v>
      </c>
      <c r="D72" s="199" t="s">
        <v>1974</v>
      </c>
      <c r="E72" s="217">
        <f>'[10]4th Quarter'!$F$95</f>
        <v>17470</v>
      </c>
    </row>
    <row r="73" spans="3:5" ht="15.75" customHeight="1" x14ac:dyDescent="0.2">
      <c r="C73" s="199" t="s">
        <v>1378</v>
      </c>
      <c r="D73" s="199" t="s">
        <v>1904</v>
      </c>
      <c r="E73" s="217">
        <f>'[10]4th Quarter'!$J$97</f>
        <v>5900</v>
      </c>
    </row>
    <row r="74" spans="3:5" ht="15.75" customHeight="1" x14ac:dyDescent="0.2">
      <c r="C74" s="199" t="s">
        <v>1379</v>
      </c>
      <c r="D74" s="199" t="s">
        <v>1905</v>
      </c>
      <c r="E74" s="217">
        <f>'[10]4th Quarter'!$J$109</f>
        <v>23740</v>
      </c>
    </row>
    <row r="75" spans="3:5" ht="15.75" customHeight="1" x14ac:dyDescent="0.2">
      <c r="C75" s="199" t="s">
        <v>1380</v>
      </c>
      <c r="D75" s="199" t="s">
        <v>1906</v>
      </c>
      <c r="E75" s="217">
        <f>'[10]4th Quarter'!$J$120</f>
        <v>1109933.5</v>
      </c>
    </row>
    <row r="76" spans="3:5" ht="15.75" customHeight="1" x14ac:dyDescent="0.2">
      <c r="C76" s="199" t="s">
        <v>1381</v>
      </c>
      <c r="D76" s="199" t="s">
        <v>1907</v>
      </c>
      <c r="E76" s="217">
        <f>'[10]4th Quarter'!$J$124</f>
        <v>4800</v>
      </c>
    </row>
    <row r="77" spans="3:5" ht="15.75" customHeight="1" x14ac:dyDescent="0.2">
      <c r="C77" s="199" t="s">
        <v>1382</v>
      </c>
      <c r="D77" s="199" t="s">
        <v>1908</v>
      </c>
      <c r="E77" s="217">
        <f>'[10]4th Quarter'!$H$128</f>
        <v>2174.08</v>
      </c>
    </row>
    <row r="78" spans="3:5" ht="15.75" customHeight="1" x14ac:dyDescent="0.2">
      <c r="C78" s="199" t="s">
        <v>1383</v>
      </c>
      <c r="D78" s="199" t="s">
        <v>1909</v>
      </c>
      <c r="E78" s="217">
        <f>'[10]4th Quarter'!$J$144</f>
        <v>268679</v>
      </c>
    </row>
    <row r="79" spans="3:5" ht="15.75" customHeight="1" x14ac:dyDescent="0.2">
      <c r="C79" s="199" t="s">
        <v>1384</v>
      </c>
      <c r="D79" s="199" t="s">
        <v>1910</v>
      </c>
      <c r="E79" s="217">
        <f>'[10]4th Quarter'!$J$164</f>
        <v>164675.6</v>
      </c>
    </row>
    <row r="80" spans="3:5" ht="15.75" customHeight="1" x14ac:dyDescent="0.2">
      <c r="C80" s="199" t="s">
        <v>1385</v>
      </c>
      <c r="D80" s="199" t="s">
        <v>1911</v>
      </c>
      <c r="E80" s="217">
        <f>'[10]4th Quarter'!$J$172</f>
        <v>133100</v>
      </c>
    </row>
    <row r="81" spans="3:5" ht="15.75" customHeight="1" x14ac:dyDescent="0.2">
      <c r="C81" s="199" t="s">
        <v>1386</v>
      </c>
      <c r="D81" s="199" t="s">
        <v>1912</v>
      </c>
      <c r="E81" s="217">
        <f>'[10]4th Quarter'!$J$174</f>
        <v>10000</v>
      </c>
    </row>
    <row r="82" spans="3:5" ht="15.75" customHeight="1" x14ac:dyDescent="0.2">
      <c r="C82" s="199" t="s">
        <v>1387</v>
      </c>
      <c r="D82" s="199" t="s">
        <v>1913</v>
      </c>
      <c r="E82" s="217">
        <f>'[10]4th Quarter'!$J$176</f>
        <v>520</v>
      </c>
    </row>
    <row r="83" spans="3:5" ht="15.75" customHeight="1" x14ac:dyDescent="0.2">
      <c r="C83" s="199" t="s">
        <v>1388</v>
      </c>
      <c r="D83" s="199" t="s">
        <v>1914</v>
      </c>
      <c r="E83" s="217">
        <f>'[10]4th Quarter'!$J$178</f>
        <v>430</v>
      </c>
    </row>
    <row r="84" spans="3:5" ht="15.75" customHeight="1" x14ac:dyDescent="0.2">
      <c r="C84" s="199" t="s">
        <v>1389</v>
      </c>
      <c r="D84" s="199" t="s">
        <v>1915</v>
      </c>
      <c r="E84" s="217">
        <f>'[10]4th Quarter'!$J$182</f>
        <v>10760</v>
      </c>
    </row>
    <row r="85" spans="3:5" ht="15.75" customHeight="1" x14ac:dyDescent="0.2">
      <c r="C85" s="199" t="s">
        <v>1390</v>
      </c>
      <c r="D85" s="199" t="s">
        <v>1916</v>
      </c>
      <c r="E85" s="217">
        <f>'[10]4th Quarter'!$J$184</f>
        <v>5900</v>
      </c>
    </row>
    <row r="86" spans="3:5" ht="15.75" customHeight="1" x14ac:dyDescent="0.2">
      <c r="C86" s="199" t="s">
        <v>1391</v>
      </c>
      <c r="D86" s="199" t="s">
        <v>1917</v>
      </c>
      <c r="E86" s="217">
        <f>'[10]4th Quarter'!$J$186</f>
        <v>610</v>
      </c>
    </row>
    <row r="87" spans="3:5" ht="15.75" customHeight="1" x14ac:dyDescent="0.2">
      <c r="C87" s="199" t="s">
        <v>1392</v>
      </c>
      <c r="D87" s="199" t="s">
        <v>1918</v>
      </c>
      <c r="E87" s="217">
        <f>'[10]4th Quarter'!$J$229</f>
        <v>389337.08</v>
      </c>
    </row>
    <row r="88" spans="3:5" ht="15.75" customHeight="1" x14ac:dyDescent="0.2">
      <c r="C88" s="199" t="s">
        <v>1393</v>
      </c>
      <c r="D88" s="199" t="s">
        <v>1919</v>
      </c>
      <c r="E88" s="217">
        <f>'[10]4th Quarter'!$F$231</f>
        <v>15490</v>
      </c>
    </row>
    <row r="89" spans="3:5" ht="15.75" customHeight="1" x14ac:dyDescent="0.2">
      <c r="C89" s="199" t="s">
        <v>1394</v>
      </c>
      <c r="D89" s="199" t="s">
        <v>1920</v>
      </c>
      <c r="E89" s="217">
        <f>'[10]4th Quarter'!$H$233</f>
        <v>995.84000000000015</v>
      </c>
    </row>
    <row r="90" spans="3:5" ht="15.75" customHeight="1" x14ac:dyDescent="0.2">
      <c r="C90" s="199" t="s">
        <v>1395</v>
      </c>
      <c r="D90" s="199" t="s">
        <v>1975</v>
      </c>
      <c r="E90" s="217">
        <f>'[10]4th Quarter'!$F$235</f>
        <v>8700</v>
      </c>
    </row>
    <row r="91" spans="3:5" ht="15.75" customHeight="1" x14ac:dyDescent="0.2">
      <c r="C91" s="199" t="s">
        <v>1396</v>
      </c>
      <c r="D91" s="199" t="s">
        <v>1921</v>
      </c>
      <c r="E91" s="217">
        <f>'[10]4th Quarter'!$J$242</f>
        <v>3826</v>
      </c>
    </row>
    <row r="92" spans="3:5" ht="15.75" customHeight="1" x14ac:dyDescent="0.2">
      <c r="C92" s="199" t="s">
        <v>1397</v>
      </c>
      <c r="D92" s="199" t="s">
        <v>1922</v>
      </c>
      <c r="E92" s="217">
        <f>'[10]4th Quarter'!$J$255</f>
        <v>8222</v>
      </c>
    </row>
    <row r="93" spans="3:5" ht="15.75" customHeight="1" x14ac:dyDescent="0.2">
      <c r="C93" s="199" t="s">
        <v>1398</v>
      </c>
      <c r="D93" s="199" t="s">
        <v>1976</v>
      </c>
      <c r="E93" s="217">
        <f>'[10]4th Quarter'!$G$257</f>
        <v>21000</v>
      </c>
    </row>
    <row r="94" spans="3:5" ht="15.75" customHeight="1" x14ac:dyDescent="0.2">
      <c r="C94" s="199" t="s">
        <v>1399</v>
      </c>
      <c r="D94" s="199" t="s">
        <v>1923</v>
      </c>
      <c r="E94" s="217">
        <f>'[10]4th Quarter'!$J$259</f>
        <v>9000</v>
      </c>
    </row>
    <row r="95" spans="3:5" ht="15.75" customHeight="1" x14ac:dyDescent="0.2">
      <c r="C95" s="199" t="s">
        <v>1400</v>
      </c>
      <c r="D95" s="199" t="s">
        <v>1924</v>
      </c>
      <c r="E95" s="217">
        <f>'[10]4th Quarter'!$J$261</f>
        <v>22414</v>
      </c>
    </row>
    <row r="96" spans="3:5" ht="15.75" customHeight="1" x14ac:dyDescent="0.2">
      <c r="C96" s="199" t="s">
        <v>1401</v>
      </c>
      <c r="D96" s="199" t="s">
        <v>1925</v>
      </c>
      <c r="E96" s="217">
        <f>'[10]4th Quarter'!$J$269</f>
        <v>300</v>
      </c>
    </row>
    <row r="97" spans="3:5" ht="15.75" customHeight="1" x14ac:dyDescent="0.2">
      <c r="C97" s="199" t="s">
        <v>1402</v>
      </c>
      <c r="D97" s="199" t="s">
        <v>1926</v>
      </c>
      <c r="E97" s="217">
        <f>'[10]4th Quarter'!$J$271</f>
        <v>10000</v>
      </c>
    </row>
    <row r="98" spans="3:5" ht="15.75" customHeight="1" x14ac:dyDescent="0.2">
      <c r="C98" s="199" t="s">
        <v>1403</v>
      </c>
      <c r="D98" s="199" t="s">
        <v>1927</v>
      </c>
      <c r="E98" s="217">
        <f>'[10]4th Quarter'!$J$273</f>
        <v>470</v>
      </c>
    </row>
    <row r="99" spans="3:5" ht="15.75" customHeight="1" x14ac:dyDescent="0.2">
      <c r="C99" s="199" t="s">
        <v>1404</v>
      </c>
      <c r="D99" s="199" t="s">
        <v>1928</v>
      </c>
      <c r="E99" s="217">
        <f>'[10]4th Quarter'!$I$277</f>
        <v>1380</v>
      </c>
    </row>
    <row r="100" spans="3:5" ht="15.75" customHeight="1" x14ac:dyDescent="0.2">
      <c r="C100" s="199" t="s">
        <v>1405</v>
      </c>
      <c r="D100" s="199" t="s">
        <v>1929</v>
      </c>
      <c r="E100" s="217">
        <f>'[10]4th Quarter'!$J$279</f>
        <v>6940</v>
      </c>
    </row>
    <row r="101" spans="3:5" ht="15.75" customHeight="1" x14ac:dyDescent="0.2">
      <c r="C101" s="199" t="s">
        <v>1406</v>
      </c>
      <c r="D101" s="199" t="s">
        <v>1977</v>
      </c>
      <c r="E101" s="217">
        <f>'[10]4th Quarter'!$F$281</f>
        <v>30064</v>
      </c>
    </row>
    <row r="102" spans="3:5" ht="15.75" customHeight="1" x14ac:dyDescent="0.2">
      <c r="C102" s="199" t="s">
        <v>1407</v>
      </c>
      <c r="D102" s="199" t="s">
        <v>1930</v>
      </c>
      <c r="E102" s="217">
        <f>'[10]4th Quarter'!$J$283</f>
        <v>5100</v>
      </c>
    </row>
    <row r="103" spans="3:5" ht="15.75" customHeight="1" x14ac:dyDescent="0.2">
      <c r="C103" s="199" t="s">
        <v>1408</v>
      </c>
      <c r="D103" s="199" t="s">
        <v>1931</v>
      </c>
      <c r="E103" s="217">
        <f>'[10]4th Quarter'!$J$291</f>
        <v>2535</v>
      </c>
    </row>
    <row r="104" spans="3:5" ht="15.75" customHeight="1" x14ac:dyDescent="0.2">
      <c r="C104" s="199" t="s">
        <v>1409</v>
      </c>
      <c r="D104" s="199" t="s">
        <v>1932</v>
      </c>
      <c r="E104" s="217">
        <f>'[10]4th Quarter'!$J$297</f>
        <v>8300</v>
      </c>
    </row>
    <row r="105" spans="3:5" ht="15.75" customHeight="1" x14ac:dyDescent="0.2">
      <c r="C105" s="199" t="s">
        <v>1410</v>
      </c>
      <c r="D105" s="199" t="s">
        <v>1933</v>
      </c>
      <c r="E105" s="217">
        <f>'[10]4th Quarter'!$J$302</f>
        <v>35575.599999999999</v>
      </c>
    </row>
    <row r="106" spans="3:5" ht="15.75" customHeight="1" x14ac:dyDescent="0.2">
      <c r="C106" s="199" t="s">
        <v>1411</v>
      </c>
      <c r="D106" s="199" t="s">
        <v>1978</v>
      </c>
      <c r="E106" s="217">
        <f>'[10]4th Quarter'!$G$304</f>
        <v>1633.5</v>
      </c>
    </row>
    <row r="107" spans="3:5" ht="15.75" customHeight="1" x14ac:dyDescent="0.2">
      <c r="C107" s="199" t="s">
        <v>1412</v>
      </c>
      <c r="D107" s="199" t="s">
        <v>1934</v>
      </c>
      <c r="E107" s="217">
        <f>'[10]4th Quarter'!$F$306</f>
        <v>421</v>
      </c>
    </row>
    <row r="108" spans="3:5" ht="15.75" customHeight="1" x14ac:dyDescent="0.2">
      <c r="C108" s="199" t="s">
        <v>1413</v>
      </c>
      <c r="D108" s="199" t="s">
        <v>1935</v>
      </c>
      <c r="E108" s="217">
        <f>'[10]4th Quarter'!$J$308</f>
        <v>200</v>
      </c>
    </row>
    <row r="109" spans="3:5" ht="15.75" customHeight="1" x14ac:dyDescent="0.2">
      <c r="C109" s="199" t="s">
        <v>1414</v>
      </c>
      <c r="D109" s="199" t="s">
        <v>1936</v>
      </c>
      <c r="E109" s="217">
        <f>'[10]4th Quarter'!$J$318</f>
        <v>85843.4</v>
      </c>
    </row>
    <row r="110" spans="3:5" ht="15.75" customHeight="1" x14ac:dyDescent="0.2">
      <c r="C110" s="199" t="s">
        <v>1415</v>
      </c>
      <c r="D110" s="199" t="s">
        <v>1937</v>
      </c>
      <c r="E110" s="217">
        <f>'[10]4th Quarter'!$J$328</f>
        <v>18766</v>
      </c>
    </row>
    <row r="111" spans="3:5" ht="15.75" customHeight="1" x14ac:dyDescent="0.2">
      <c r="C111" s="199" t="s">
        <v>1416</v>
      </c>
      <c r="D111" s="199" t="s">
        <v>1938</v>
      </c>
      <c r="E111" s="217">
        <f>'[10]4th Quarter'!$J$330</f>
        <v>25000</v>
      </c>
    </row>
    <row r="112" spans="3:5" ht="15.75" customHeight="1" x14ac:dyDescent="0.2">
      <c r="C112" s="199" t="s">
        <v>1417</v>
      </c>
      <c r="D112" s="199" t="s">
        <v>1939</v>
      </c>
      <c r="E112" s="217">
        <f>'[10]4th Quarter'!$J$335</f>
        <v>62879</v>
      </c>
    </row>
    <row r="113" spans="3:5" ht="15.75" hidden="1" customHeight="1" x14ac:dyDescent="0.2">
      <c r="C113" s="199" t="s">
        <v>1418</v>
      </c>
    </row>
    <row r="114" spans="3:5" ht="15.75" hidden="1" customHeight="1" x14ac:dyDescent="0.2">
      <c r="C114" s="199" t="s">
        <v>1419</v>
      </c>
    </row>
    <row r="115" spans="3:5" ht="15.75" hidden="1" customHeight="1" x14ac:dyDescent="0.2">
      <c r="C115" s="199" t="s">
        <v>1420</v>
      </c>
    </row>
    <row r="116" spans="3:5" ht="15.75" hidden="1" customHeight="1" x14ac:dyDescent="0.2">
      <c r="C116" s="199" t="s">
        <v>1421</v>
      </c>
    </row>
    <row r="117" spans="3:5" ht="15.75" hidden="1" customHeight="1" x14ac:dyDescent="0.2">
      <c r="C117" s="199" t="s">
        <v>1422</v>
      </c>
    </row>
    <row r="118" spans="3:5" ht="15.75" hidden="1" customHeight="1" x14ac:dyDescent="0.2">
      <c r="C118" s="199" t="s">
        <v>1423</v>
      </c>
    </row>
    <row r="119" spans="3:5" ht="15.75" hidden="1" customHeight="1" x14ac:dyDescent="0.2">
      <c r="C119" s="199" t="s">
        <v>1424</v>
      </c>
    </row>
    <row r="120" spans="3:5" ht="15.75" hidden="1" customHeight="1" x14ac:dyDescent="0.2">
      <c r="C120" s="199" t="s">
        <v>1425</v>
      </c>
    </row>
    <row r="121" spans="3:5" ht="15.75" hidden="1" customHeight="1" x14ac:dyDescent="0.2">
      <c r="C121" s="199" t="s">
        <v>1426</v>
      </c>
    </row>
    <row r="122" spans="3:5" ht="15.75" hidden="1" customHeight="1" x14ac:dyDescent="0.2">
      <c r="C122" s="199" t="s">
        <v>1427</v>
      </c>
    </row>
    <row r="123" spans="3:5" ht="15.75" hidden="1" customHeight="1" x14ac:dyDescent="0.2">
      <c r="C123" s="199" t="s">
        <v>1428</v>
      </c>
    </row>
    <row r="124" spans="3:5" ht="15.75" hidden="1" customHeight="1" x14ac:dyDescent="0.2">
      <c r="C124" s="199" t="s">
        <v>1429</v>
      </c>
    </row>
    <row r="125" spans="3:5" ht="15.75" hidden="1" customHeight="1" x14ac:dyDescent="0.2">
      <c r="C125" s="199" t="s">
        <v>1430</v>
      </c>
    </row>
    <row r="126" spans="3:5" ht="15.75" hidden="1" customHeight="1" x14ac:dyDescent="0.2">
      <c r="C126" s="199" t="s">
        <v>1431</v>
      </c>
    </row>
    <row r="127" spans="3:5" ht="15.75" hidden="1" customHeight="1" x14ac:dyDescent="0.2">
      <c r="C127" s="199" t="s">
        <v>1432</v>
      </c>
    </row>
    <row r="128" spans="3:5" ht="15.75" customHeight="1" thickBot="1" x14ac:dyDescent="0.25">
      <c r="C128" s="207" t="s">
        <v>50</v>
      </c>
      <c r="E128" s="236">
        <f>SUM(E55:E127)</f>
        <v>2879004.5599999991</v>
      </c>
    </row>
    <row r="129" spans="1:7" ht="15.75" customHeight="1" thickTop="1" x14ac:dyDescent="0.2"/>
    <row r="130" spans="1:7" s="6" customFormat="1" ht="15.75" customHeight="1" thickBot="1" x14ac:dyDescent="0.25">
      <c r="A130" s="201" t="s">
        <v>1318</v>
      </c>
      <c r="B130" s="202" t="s">
        <v>1433</v>
      </c>
      <c r="C130" s="203" t="s">
        <v>1434</v>
      </c>
      <c r="D130" s="203" t="s">
        <v>743</v>
      </c>
      <c r="E130" s="236">
        <f>'[8]Rec.-Disallow. &amp; Charges'!$G$45</f>
        <v>23333.02</v>
      </c>
      <c r="G130" s="209"/>
    </row>
    <row r="131" spans="1:7" ht="15.75" customHeight="1" thickTop="1" x14ac:dyDescent="0.2"/>
    <row r="132" spans="1:7" s="6" customFormat="1" ht="15.75" customHeight="1" thickBot="1" x14ac:dyDescent="0.25">
      <c r="A132" s="201" t="s">
        <v>1318</v>
      </c>
      <c r="B132" s="202" t="s">
        <v>1435</v>
      </c>
      <c r="C132" s="203" t="s">
        <v>1436</v>
      </c>
      <c r="D132" s="203" t="s">
        <v>207</v>
      </c>
      <c r="E132" s="236">
        <f>'[8]Due from Officers &amp; Employees'!$G$45</f>
        <v>4002.72</v>
      </c>
      <c r="G132" s="209"/>
    </row>
    <row r="133" spans="1:7" ht="15.75" customHeight="1" thickTop="1" x14ac:dyDescent="0.2"/>
    <row r="134" spans="1:7" s="6" customFormat="1" ht="15.75" customHeight="1" thickBot="1" x14ac:dyDescent="0.25">
      <c r="A134" s="201" t="s">
        <v>1318</v>
      </c>
      <c r="B134" s="202" t="s">
        <v>1437</v>
      </c>
      <c r="C134" s="203" t="s">
        <v>1438</v>
      </c>
      <c r="D134" s="203" t="s">
        <v>56</v>
      </c>
      <c r="E134" s="236">
        <f>'[8]Other Receivables'!$G$45</f>
        <v>250.84</v>
      </c>
      <c r="G134" s="209"/>
    </row>
    <row r="135" spans="1:7" ht="15.75" customHeight="1" thickTop="1" x14ac:dyDescent="0.2"/>
    <row r="136" spans="1:7" s="6" customFormat="1" ht="15.75" customHeight="1" thickBot="1" x14ac:dyDescent="0.25">
      <c r="A136" s="201" t="s">
        <v>1318</v>
      </c>
      <c r="B136" s="202" t="s">
        <v>1439</v>
      </c>
      <c r="C136" s="203" t="s">
        <v>1440</v>
      </c>
      <c r="D136" s="203" t="s">
        <v>760</v>
      </c>
      <c r="E136" s="236">
        <f>'[11]Property &amp; Equipment for Dist.'!$G$87</f>
        <v>1282599.21</v>
      </c>
      <c r="G136" s="209"/>
    </row>
    <row r="137" spans="1:7" ht="15.75" customHeight="1" thickTop="1" x14ac:dyDescent="0.2"/>
    <row r="138" spans="1:7" s="6" customFormat="1" ht="15.75" customHeight="1" thickBot="1" x14ac:dyDescent="0.25">
      <c r="A138" s="201" t="s">
        <v>1318</v>
      </c>
      <c r="B138" s="202" t="s">
        <v>1441</v>
      </c>
      <c r="C138" s="203" t="s">
        <v>1442</v>
      </c>
      <c r="D138" s="203" t="s">
        <v>338</v>
      </c>
      <c r="E138" s="236">
        <f>'[11]Office Supplies Inventory'!$G$87</f>
        <v>205150.44999999995</v>
      </c>
      <c r="G138" s="209"/>
    </row>
    <row r="139" spans="1:7" ht="15.75" customHeight="1" thickTop="1" x14ac:dyDescent="0.2"/>
    <row r="140" spans="1:7" s="6" customFormat="1" ht="15.75" customHeight="1" thickBot="1" x14ac:dyDescent="0.25">
      <c r="A140" s="201" t="s">
        <v>1318</v>
      </c>
      <c r="B140" s="202" t="s">
        <v>1443</v>
      </c>
      <c r="C140" s="203" t="s">
        <v>1444</v>
      </c>
      <c r="D140" s="203" t="s">
        <v>768</v>
      </c>
      <c r="E140" s="236">
        <f>'[11]Agricultural &amp; Marine Supp. Inv'!$G$45</f>
        <v>5406</v>
      </c>
      <c r="G140" s="209"/>
    </row>
    <row r="141" spans="1:7" ht="15.75" customHeight="1" thickTop="1" x14ac:dyDescent="0.2"/>
    <row r="142" spans="1:7" s="6" customFormat="1" ht="15.75" customHeight="1" thickBot="1" x14ac:dyDescent="0.25">
      <c r="A142" s="201" t="s">
        <v>1318</v>
      </c>
      <c r="B142" s="202" t="s">
        <v>1445</v>
      </c>
      <c r="C142" s="203" t="s">
        <v>1446</v>
      </c>
      <c r="D142" s="203" t="s">
        <v>775</v>
      </c>
      <c r="E142" s="236">
        <f>'[11]Other Supplies &amp; Materials Inv.'!$G$120</f>
        <v>1212707.7700000003</v>
      </c>
      <c r="G142" s="209"/>
    </row>
    <row r="143" spans="1:7" ht="15.75" customHeight="1" thickTop="1" x14ac:dyDescent="0.2"/>
    <row r="144" spans="1:7" s="6" customFormat="1" ht="15.75" customHeight="1" thickBot="1" x14ac:dyDescent="0.25">
      <c r="A144" s="201" t="s">
        <v>1318</v>
      </c>
      <c r="B144" s="202" t="s">
        <v>1447</v>
      </c>
      <c r="C144" s="203" t="s">
        <v>1448</v>
      </c>
      <c r="D144" s="203" t="s">
        <v>1449</v>
      </c>
      <c r="E144" s="236">
        <f>'[12]Advances to Contractors'!$G$46</f>
        <v>91395.66</v>
      </c>
      <c r="G144" s="209"/>
    </row>
    <row r="145" spans="1:7" ht="15.75" customHeight="1" thickTop="1" x14ac:dyDescent="0.2"/>
    <row r="146" spans="1:7" s="6" customFormat="1" ht="15.75" customHeight="1" thickBot="1" x14ac:dyDescent="0.25">
      <c r="A146" s="201" t="s">
        <v>1318</v>
      </c>
      <c r="B146" s="202" t="s">
        <v>1450</v>
      </c>
      <c r="C146" s="203" t="s">
        <v>1451</v>
      </c>
      <c r="D146" s="203" t="s">
        <v>227</v>
      </c>
      <c r="E146" s="236">
        <f>'[12]Prepaid Insurance'!$G$46</f>
        <v>9679.6899999999951</v>
      </c>
      <c r="G146" s="209"/>
    </row>
    <row r="147" spans="1:7" ht="15.75" customHeight="1" thickTop="1" x14ac:dyDescent="0.2"/>
    <row r="148" spans="1:7" s="6" customFormat="1" ht="15.75" customHeight="1" thickBot="1" x14ac:dyDescent="0.25">
      <c r="A148" s="201" t="s">
        <v>1318</v>
      </c>
      <c r="B148" s="202" t="s">
        <v>1452</v>
      </c>
      <c r="C148" s="203" t="s">
        <v>1453</v>
      </c>
      <c r="D148" s="203" t="s">
        <v>1454</v>
      </c>
      <c r="E148" s="236">
        <f>'[13]Construction in Progress'!$G$45</f>
        <v>1386775</v>
      </c>
      <c r="G148" s="209"/>
    </row>
    <row r="149" spans="1:7" ht="15.75" customHeight="1" thickTop="1" x14ac:dyDescent="0.2"/>
    <row r="150" spans="1:7" s="6" customFormat="1" ht="15.75" customHeight="1" thickBot="1" x14ac:dyDescent="0.25">
      <c r="A150" s="201" t="s">
        <v>1318</v>
      </c>
      <c r="B150" s="202" t="s">
        <v>1455</v>
      </c>
      <c r="C150" s="203" t="s">
        <v>1456</v>
      </c>
      <c r="D150" s="203" t="s">
        <v>8</v>
      </c>
      <c r="E150" s="236">
        <f>[9]December!$C$33</f>
        <v>7224640</v>
      </c>
      <c r="G150" s="209"/>
    </row>
    <row r="151" spans="1:7" ht="15.75" customHeight="1" thickTop="1" x14ac:dyDescent="0.2"/>
    <row r="152" spans="1:7" s="6" customFormat="1" ht="15.75" customHeight="1" thickBot="1" x14ac:dyDescent="0.25">
      <c r="A152" s="201" t="s">
        <v>1318</v>
      </c>
      <c r="B152" s="202" t="s">
        <v>1457</v>
      </c>
      <c r="C152" s="203" t="s">
        <v>1458</v>
      </c>
      <c r="D152" s="203" t="s">
        <v>1459</v>
      </c>
      <c r="E152" s="236">
        <f>'[14]Land Improvements'!$G$45</f>
        <v>14263749.449999999</v>
      </c>
      <c r="G152" s="209"/>
    </row>
    <row r="153" spans="1:7" ht="15.75" customHeight="1" thickTop="1" x14ac:dyDescent="0.2"/>
    <row r="154" spans="1:7" ht="15.75" customHeight="1" thickBot="1" x14ac:dyDescent="0.25">
      <c r="A154" s="201" t="s">
        <v>1318</v>
      </c>
      <c r="B154" s="202" t="s">
        <v>1460</v>
      </c>
      <c r="C154" s="203" t="s">
        <v>1979</v>
      </c>
      <c r="D154" s="203" t="s">
        <v>800</v>
      </c>
      <c r="E154" s="236">
        <f>'[14]Road Networks'!$G$46</f>
        <v>92141.5</v>
      </c>
    </row>
    <row r="155" spans="1:7" ht="15.75" customHeight="1" thickTop="1" x14ac:dyDescent="0.2"/>
    <row r="156" spans="1:7" s="6" customFormat="1" ht="15.75" customHeight="1" thickBot="1" x14ac:dyDescent="0.25">
      <c r="A156" s="201" t="s">
        <v>1318</v>
      </c>
      <c r="B156" s="202" t="s">
        <v>1462</v>
      </c>
      <c r="C156" s="203" t="s">
        <v>1461</v>
      </c>
      <c r="D156" s="203" t="s">
        <v>814</v>
      </c>
      <c r="E156" s="236">
        <f>'[14]Power Supply Systems'!$G$45</f>
        <v>2955.05</v>
      </c>
      <c r="G156" s="209"/>
    </row>
    <row r="157" spans="1:7" ht="15.75" customHeight="1" thickTop="1" x14ac:dyDescent="0.2"/>
    <row r="158" spans="1:7" s="6" customFormat="1" ht="15.75" customHeight="1" thickBot="1" x14ac:dyDescent="0.25">
      <c r="A158" s="201" t="s">
        <v>1318</v>
      </c>
      <c r="B158" s="202" t="s">
        <v>1464</v>
      </c>
      <c r="C158" s="203" t="s">
        <v>1463</v>
      </c>
      <c r="D158" s="203" t="s">
        <v>68</v>
      </c>
      <c r="E158" s="236">
        <f>'[14]Office Buildings'!$G$45</f>
        <v>4461196.5199999996</v>
      </c>
      <c r="G158" s="209"/>
    </row>
    <row r="159" spans="1:7" ht="15.75" customHeight="1" thickTop="1" x14ac:dyDescent="0.2"/>
    <row r="160" spans="1:7" s="6" customFormat="1" ht="16.5" customHeight="1" thickBot="1" x14ac:dyDescent="0.25">
      <c r="A160" s="201" t="s">
        <v>1318</v>
      </c>
      <c r="B160" s="202" t="s">
        <v>1466</v>
      </c>
      <c r="C160" s="203" t="s">
        <v>1465</v>
      </c>
      <c r="D160" s="203" t="s">
        <v>69</v>
      </c>
      <c r="E160" s="236">
        <f>'[14]School Buildings'!$G$45</f>
        <v>5572357.3899999997</v>
      </c>
      <c r="G160" s="209"/>
    </row>
    <row r="161" spans="1:7" s="6" customFormat="1" ht="16.5" customHeight="1" thickTop="1" x14ac:dyDescent="0.2">
      <c r="A161" s="201"/>
      <c r="B161" s="202"/>
      <c r="C161" s="203"/>
      <c r="D161" s="203"/>
      <c r="E161" s="201"/>
      <c r="G161" s="209"/>
    </row>
    <row r="162" spans="1:7" s="6" customFormat="1" ht="15.75" customHeight="1" thickBot="1" x14ac:dyDescent="0.25">
      <c r="A162" s="201" t="s">
        <v>1318</v>
      </c>
      <c r="B162" s="202" t="s">
        <v>1468</v>
      </c>
      <c r="C162" s="203" t="s">
        <v>1467</v>
      </c>
      <c r="D162" s="203" t="s">
        <v>845</v>
      </c>
      <c r="E162" s="236">
        <f>[14]Markets!$G$45</f>
        <v>38783276.109999999</v>
      </c>
      <c r="G162" s="209"/>
    </row>
    <row r="163" spans="1:7" ht="15.75" customHeight="1" thickTop="1" x14ac:dyDescent="0.2"/>
    <row r="164" spans="1:7" s="6" customFormat="1" ht="15.75" customHeight="1" thickBot="1" x14ac:dyDescent="0.25">
      <c r="A164" s="201" t="s">
        <v>1318</v>
      </c>
      <c r="B164" s="202" t="s">
        <v>1470</v>
      </c>
      <c r="C164" s="203" t="s">
        <v>1469</v>
      </c>
      <c r="D164" s="203" t="s">
        <v>76</v>
      </c>
      <c r="E164" s="236">
        <f>[14]Slaughterhouse!$G$45</f>
        <v>2496748.44</v>
      </c>
      <c r="G164" s="209"/>
    </row>
    <row r="165" spans="1:7" s="6" customFormat="1" ht="15.75" customHeight="1" thickTop="1" x14ac:dyDescent="0.2">
      <c r="A165" s="201"/>
      <c r="B165" s="202"/>
      <c r="C165" s="203"/>
      <c r="D165" s="203"/>
      <c r="E165" s="201"/>
      <c r="G165" s="209"/>
    </row>
    <row r="166" spans="1:7" s="6" customFormat="1" ht="15.75" customHeight="1" thickBot="1" x14ac:dyDescent="0.25">
      <c r="A166" s="201" t="s">
        <v>1318</v>
      </c>
      <c r="B166" s="202" t="s">
        <v>1472</v>
      </c>
      <c r="C166" s="203" t="s">
        <v>1471</v>
      </c>
      <c r="D166" s="203" t="s">
        <v>153</v>
      </c>
      <c r="E166" s="236">
        <f>[14]Machinery!$G$45</f>
        <v>1094131</v>
      </c>
      <c r="G166" s="209"/>
    </row>
    <row r="167" spans="1:7" s="6" customFormat="1" ht="15.75" customHeight="1" thickTop="1" x14ac:dyDescent="0.2">
      <c r="A167" s="201"/>
      <c r="B167" s="202"/>
      <c r="C167" s="203"/>
      <c r="D167" s="203"/>
      <c r="E167" s="201"/>
      <c r="G167" s="209"/>
    </row>
    <row r="168" spans="1:7" s="6" customFormat="1" ht="15.75" customHeight="1" thickBot="1" x14ac:dyDescent="0.25">
      <c r="A168" s="201" t="s">
        <v>1318</v>
      </c>
      <c r="B168" s="202" t="s">
        <v>1474</v>
      </c>
      <c r="C168" s="203" t="s">
        <v>1473</v>
      </c>
      <c r="D168" s="203" t="s">
        <v>9</v>
      </c>
      <c r="E168" s="236">
        <f>'[14]Office Equipment'!$G$45</f>
        <v>856776</v>
      </c>
      <c r="G168" s="209"/>
    </row>
    <row r="169" spans="1:7" ht="15.75" customHeight="1" thickTop="1" x14ac:dyDescent="0.2"/>
    <row r="170" spans="1:7" s="6" customFormat="1" ht="15.75" customHeight="1" thickBot="1" x14ac:dyDescent="0.25">
      <c r="A170" s="201" t="s">
        <v>1318</v>
      </c>
      <c r="B170" s="202" t="s">
        <v>1477</v>
      </c>
      <c r="C170" s="203" t="s">
        <v>1475</v>
      </c>
      <c r="D170" s="203" t="s">
        <v>1476</v>
      </c>
      <c r="E170" s="236">
        <f>'[14]Info. &amp; Comm''n Technology Equip'!$G$56</f>
        <v>6133087.54</v>
      </c>
      <c r="G170" s="209"/>
    </row>
    <row r="171" spans="1:7" s="6" customFormat="1" ht="15.75" customHeight="1" thickTop="1" x14ac:dyDescent="0.2">
      <c r="A171" s="201"/>
      <c r="B171" s="202"/>
      <c r="C171" s="203"/>
      <c r="D171" s="203"/>
      <c r="E171" s="201"/>
      <c r="G171" s="209"/>
    </row>
    <row r="172" spans="1:7" s="6" customFormat="1" ht="15.75" customHeight="1" thickBot="1" x14ac:dyDescent="0.25">
      <c r="A172" s="201" t="s">
        <v>1318</v>
      </c>
      <c r="B172" s="202" t="s">
        <v>1480</v>
      </c>
      <c r="C172" s="203" t="s">
        <v>1478</v>
      </c>
      <c r="D172" s="203" t="s">
        <v>1479</v>
      </c>
      <c r="E172" s="236">
        <f>'[14]Agricult''l &amp; Forestry Equip.'!$G$57</f>
        <v>1113332</v>
      </c>
      <c r="G172" s="209"/>
    </row>
    <row r="173" spans="1:7" s="6" customFormat="1" ht="15.75" customHeight="1" thickTop="1" x14ac:dyDescent="0.2">
      <c r="A173" s="201"/>
      <c r="B173" s="202"/>
      <c r="C173" s="203"/>
      <c r="D173" s="203"/>
      <c r="E173" s="201"/>
      <c r="G173" s="209"/>
    </row>
    <row r="174" spans="1:7" s="6" customFormat="1" ht="15.75" customHeight="1" thickBot="1" x14ac:dyDescent="0.25">
      <c r="A174" s="201" t="s">
        <v>1318</v>
      </c>
      <c r="B174" s="202" t="s">
        <v>1482</v>
      </c>
      <c r="C174" s="203" t="s">
        <v>1481</v>
      </c>
      <c r="D174" s="203" t="s">
        <v>12</v>
      </c>
      <c r="E174" s="236">
        <f>'[14]Communication Equip.'!$G$45</f>
        <v>90861.88</v>
      </c>
      <c r="G174" s="209"/>
    </row>
    <row r="175" spans="1:7" ht="15.75" customHeight="1" thickTop="1" x14ac:dyDescent="0.2"/>
    <row r="176" spans="1:7" s="6" customFormat="1" ht="15.75" customHeight="1" thickBot="1" x14ac:dyDescent="0.25">
      <c r="A176" s="201" t="s">
        <v>1318</v>
      </c>
      <c r="B176" s="202" t="s">
        <v>1484</v>
      </c>
      <c r="C176" s="203" t="s">
        <v>1483</v>
      </c>
      <c r="D176" s="203" t="s">
        <v>194</v>
      </c>
      <c r="E176" s="236">
        <f>'[14]Cont''n &amp; Heavy Equip.'!$G$45</f>
        <v>12978512.390000001</v>
      </c>
      <c r="G176" s="209"/>
    </row>
    <row r="177" spans="1:7" s="6" customFormat="1" ht="15.75" customHeight="1" thickTop="1" x14ac:dyDescent="0.2">
      <c r="A177" s="201"/>
      <c r="B177" s="202"/>
      <c r="C177" s="203"/>
      <c r="D177" s="203"/>
      <c r="E177" s="201"/>
      <c r="G177" s="209"/>
    </row>
    <row r="178" spans="1:7" s="6" customFormat="1" ht="15.75" customHeight="1" thickBot="1" x14ac:dyDescent="0.25">
      <c r="A178" s="201" t="s">
        <v>1318</v>
      </c>
      <c r="B178" s="202" t="s">
        <v>1486</v>
      </c>
      <c r="C178" s="203" t="s">
        <v>1485</v>
      </c>
      <c r="D178" s="203" t="s">
        <v>876</v>
      </c>
      <c r="E178" s="236">
        <f>'[14]Disaster Response &amp; Rescue Eqpt'!$G$45</f>
        <v>1823626</v>
      </c>
      <c r="G178" s="209"/>
    </row>
    <row r="179" spans="1:7" s="6" customFormat="1" ht="15.75" customHeight="1" thickTop="1" x14ac:dyDescent="0.2">
      <c r="A179" s="201"/>
      <c r="B179" s="202"/>
      <c r="C179" s="203"/>
      <c r="D179" s="203"/>
      <c r="E179" s="201"/>
      <c r="G179" s="209"/>
    </row>
    <row r="180" spans="1:7" s="6" customFormat="1" ht="15.75" customHeight="1" thickBot="1" x14ac:dyDescent="0.25">
      <c r="A180" s="201" t="s">
        <v>1318</v>
      </c>
      <c r="B180" s="202" t="s">
        <v>1488</v>
      </c>
      <c r="C180" s="203" t="s">
        <v>1980</v>
      </c>
      <c r="D180" s="203" t="s">
        <v>1981</v>
      </c>
      <c r="E180" s="236">
        <f>'[14]Military, Police &amp; Security Equ'!$G$45</f>
        <v>195316</v>
      </c>
      <c r="G180" s="209"/>
    </row>
    <row r="181" spans="1:7" s="6" customFormat="1" ht="15.75" customHeight="1" thickTop="1" x14ac:dyDescent="0.2">
      <c r="A181" s="201"/>
      <c r="B181" s="202"/>
      <c r="C181" s="203"/>
      <c r="D181" s="203"/>
      <c r="E181" s="201"/>
      <c r="G181" s="209"/>
    </row>
    <row r="182" spans="1:7" s="6" customFormat="1" ht="15.75" customHeight="1" thickBot="1" x14ac:dyDescent="0.25">
      <c r="A182" s="201" t="s">
        <v>1318</v>
      </c>
      <c r="B182" s="202" t="s">
        <v>1490</v>
      </c>
      <c r="C182" s="203" t="s">
        <v>1487</v>
      </c>
      <c r="D182" s="203" t="s">
        <v>13</v>
      </c>
      <c r="E182" s="236">
        <f>'[14]Sports Equip.'!$G$45</f>
        <v>127616.5</v>
      </c>
      <c r="G182" s="209"/>
    </row>
    <row r="183" spans="1:7" ht="15.75" customHeight="1" thickTop="1" x14ac:dyDescent="0.2"/>
    <row r="184" spans="1:7" s="6" customFormat="1" ht="15.75" customHeight="1" thickBot="1" x14ac:dyDescent="0.25">
      <c r="A184" s="201" t="s">
        <v>1318</v>
      </c>
      <c r="B184" s="202" t="s">
        <v>1493</v>
      </c>
      <c r="C184" s="203" t="s">
        <v>1489</v>
      </c>
      <c r="D184" s="203" t="s">
        <v>390</v>
      </c>
      <c r="E184" s="236">
        <f>'[14]Technical &amp; Scientific Equip.'!$G$45</f>
        <v>21340.17</v>
      </c>
      <c r="G184" s="209"/>
    </row>
    <row r="185" spans="1:7" s="6" customFormat="1" ht="15.75" customHeight="1" thickTop="1" x14ac:dyDescent="0.2">
      <c r="A185" s="201"/>
      <c r="B185" s="202"/>
      <c r="C185" s="203"/>
      <c r="D185" s="203"/>
      <c r="E185" s="201"/>
      <c r="G185" s="209"/>
    </row>
    <row r="186" spans="1:7" s="6" customFormat="1" ht="15.75" customHeight="1" thickBot="1" x14ac:dyDescent="0.25">
      <c r="A186" s="201" t="s">
        <v>1318</v>
      </c>
      <c r="B186" s="202" t="s">
        <v>1495</v>
      </c>
      <c r="C186" s="203" t="s">
        <v>1491</v>
      </c>
      <c r="D186" s="203" t="s">
        <v>1492</v>
      </c>
      <c r="E186" s="236">
        <f>'[14]Other Machinery &amp; Equip.'!$G$45</f>
        <v>476609</v>
      </c>
      <c r="G186" s="209"/>
    </row>
    <row r="187" spans="1:7" s="6" customFormat="1" ht="15.75" customHeight="1" thickTop="1" x14ac:dyDescent="0.2">
      <c r="A187" s="201"/>
      <c r="B187" s="202"/>
      <c r="C187" s="203"/>
      <c r="D187" s="203"/>
      <c r="E187" s="201"/>
      <c r="G187" s="209"/>
    </row>
    <row r="188" spans="1:7" s="6" customFormat="1" ht="15.75" customHeight="1" thickBot="1" x14ac:dyDescent="0.25">
      <c r="A188" s="201" t="s">
        <v>1318</v>
      </c>
      <c r="B188" s="202" t="s">
        <v>1497</v>
      </c>
      <c r="C188" s="203" t="s">
        <v>1494</v>
      </c>
      <c r="D188" s="203" t="s">
        <v>15</v>
      </c>
      <c r="E188" s="236">
        <f>'[14]Motor Vehicles'!$G$45</f>
        <v>3978623.16</v>
      </c>
      <c r="G188" s="209"/>
    </row>
    <row r="189" spans="1:7" ht="15.75" customHeight="1" thickTop="1" x14ac:dyDescent="0.2"/>
    <row r="190" spans="1:7" ht="15.75" customHeight="1" thickBot="1" x14ac:dyDescent="0.25">
      <c r="A190" s="201" t="s">
        <v>1318</v>
      </c>
      <c r="B190" s="202" t="s">
        <v>1500</v>
      </c>
      <c r="C190" s="203" t="s">
        <v>1496</v>
      </c>
      <c r="D190" s="203" t="s">
        <v>57</v>
      </c>
      <c r="E190" s="236">
        <f>'[14]Furniture &amp; Fixtures'!$G$47</f>
        <v>3607615.4</v>
      </c>
      <c r="F190" s="6"/>
    </row>
    <row r="191" spans="1:7" ht="15.75" customHeight="1" thickTop="1" x14ac:dyDescent="0.2">
      <c r="A191" s="201"/>
      <c r="B191" s="202"/>
      <c r="C191" s="203"/>
      <c r="D191" s="203"/>
      <c r="E191" s="201"/>
      <c r="F191" s="6"/>
    </row>
    <row r="192" spans="1:7" ht="15.75" customHeight="1" thickBot="1" x14ac:dyDescent="0.25">
      <c r="A192" s="201" t="s">
        <v>1318</v>
      </c>
      <c r="B192" s="202" t="s">
        <v>1505</v>
      </c>
      <c r="C192" s="203" t="s">
        <v>1498</v>
      </c>
      <c r="D192" s="203" t="s">
        <v>1499</v>
      </c>
      <c r="E192" s="236">
        <f>[14]Books!$G$45</f>
        <v>22350</v>
      </c>
      <c r="F192" s="6"/>
    </row>
    <row r="193" spans="1:6" ht="15.75" customHeight="1" thickTop="1" x14ac:dyDescent="0.2">
      <c r="A193" s="201"/>
      <c r="B193" s="202"/>
      <c r="C193" s="203"/>
      <c r="D193" s="203"/>
      <c r="E193" s="201"/>
      <c r="F193" s="6"/>
    </row>
    <row r="194" spans="1:6" ht="15.75" customHeight="1" thickBot="1" x14ac:dyDescent="0.25">
      <c r="A194" s="201" t="s">
        <v>1318</v>
      </c>
      <c r="B194" s="202" t="s">
        <v>1506</v>
      </c>
      <c r="C194" s="203" t="s">
        <v>1502</v>
      </c>
      <c r="D194" s="203" t="s">
        <v>1503</v>
      </c>
      <c r="E194" s="236">
        <f>'[14]Const''n in Progress-Infra.Asset'!$G$47</f>
        <v>36290647.399999999</v>
      </c>
      <c r="F194" s="6"/>
    </row>
    <row r="195" spans="1:6" ht="15.75" customHeight="1" thickTop="1" x14ac:dyDescent="0.2">
      <c r="A195" s="201"/>
      <c r="B195" s="202"/>
      <c r="C195" s="203"/>
      <c r="D195" s="203"/>
      <c r="E195" s="201"/>
      <c r="F195" s="6"/>
    </row>
    <row r="196" spans="1:6" ht="15.75" customHeight="1" thickBot="1" x14ac:dyDescent="0.25">
      <c r="A196" s="201" t="s">
        <v>1318</v>
      </c>
      <c r="B196" s="202" t="s">
        <v>1508</v>
      </c>
      <c r="C196" s="203" t="s">
        <v>1501</v>
      </c>
      <c r="D196" s="203" t="s">
        <v>1504</v>
      </c>
      <c r="E196" s="236">
        <f>'[14]Const''n in Progress-Bldgs.&amp; Oth'!$G$45</f>
        <v>17681125.109999999</v>
      </c>
      <c r="F196" s="6"/>
    </row>
    <row r="197" spans="1:6" ht="15.75" customHeight="1" thickTop="1" x14ac:dyDescent="0.2">
      <c r="A197" s="201"/>
      <c r="B197" s="202"/>
      <c r="C197" s="203"/>
      <c r="D197" s="203"/>
      <c r="E197" s="201"/>
      <c r="F197" s="6"/>
    </row>
    <row r="198" spans="1:6" ht="15.75" customHeight="1" thickBot="1" x14ac:dyDescent="0.25">
      <c r="A198" s="201" t="s">
        <v>1318</v>
      </c>
      <c r="B198" s="202" t="s">
        <v>1510</v>
      </c>
      <c r="C198" s="203" t="s">
        <v>1507</v>
      </c>
      <c r="D198" s="203" t="s">
        <v>70</v>
      </c>
      <c r="E198" s="236">
        <f>'[14]Other PPE'!$G$75</f>
        <v>2289715.85</v>
      </c>
      <c r="F198" s="6"/>
    </row>
    <row r="199" spans="1:6" ht="15.75" customHeight="1" thickTop="1" x14ac:dyDescent="0.2">
      <c r="A199" s="201"/>
      <c r="B199" s="202"/>
      <c r="C199" s="203"/>
      <c r="D199" s="203"/>
      <c r="E199" s="201"/>
      <c r="F199" s="6"/>
    </row>
    <row r="200" spans="1:6" ht="15.75" customHeight="1" thickBot="1" x14ac:dyDescent="0.25">
      <c r="A200" s="201" t="s">
        <v>1318</v>
      </c>
      <c r="B200" s="202" t="s">
        <v>1513</v>
      </c>
      <c r="C200" s="203" t="s">
        <v>1509</v>
      </c>
      <c r="D200" s="203" t="s">
        <v>978</v>
      </c>
      <c r="E200" s="236">
        <f>'[15]Computer Software'!$G$45</f>
        <v>306599</v>
      </c>
      <c r="F200" s="6"/>
    </row>
    <row r="201" spans="1:6" ht="15.75" customHeight="1" thickTop="1" x14ac:dyDescent="0.2">
      <c r="A201" s="201"/>
      <c r="B201" s="202"/>
      <c r="C201" s="203"/>
      <c r="D201" s="203"/>
      <c r="E201" s="201"/>
      <c r="F201" s="6"/>
    </row>
    <row r="202" spans="1:6" ht="15.75" customHeight="1" thickBot="1" x14ac:dyDescent="0.25">
      <c r="A202" s="201" t="s">
        <v>1318</v>
      </c>
      <c r="B202" s="202" t="s">
        <v>1520</v>
      </c>
      <c r="C202" s="203" t="s">
        <v>1511</v>
      </c>
      <c r="D202" s="203" t="s">
        <v>1512</v>
      </c>
      <c r="E202" s="236">
        <f>'[14]Accum.Dep''n-Power Supply System'!$G$45</f>
        <v>2659.55</v>
      </c>
      <c r="F202" s="6"/>
    </row>
    <row r="203" spans="1:6" ht="15.75" customHeight="1" thickTop="1" x14ac:dyDescent="0.2">
      <c r="A203" s="201"/>
      <c r="B203" s="202"/>
      <c r="C203" s="203"/>
      <c r="D203" s="203"/>
      <c r="E203" s="201"/>
      <c r="F203" s="6"/>
    </row>
    <row r="204" spans="1:6" ht="15.75" customHeight="1" thickBot="1" x14ac:dyDescent="0.25">
      <c r="A204" s="201" t="s">
        <v>1318</v>
      </c>
      <c r="B204" s="202" t="s">
        <v>1521</v>
      </c>
      <c r="C204" s="203" t="s">
        <v>1514</v>
      </c>
      <c r="D204" s="203" t="s">
        <v>1515</v>
      </c>
      <c r="E204" s="236">
        <f>'[14]Accum.Dep''n-Machinery'!$G$46</f>
        <v>387868.83999999997</v>
      </c>
      <c r="F204" s="6"/>
    </row>
    <row r="205" spans="1:6" ht="15.75" customHeight="1" thickTop="1" x14ac:dyDescent="0.2">
      <c r="A205" s="201"/>
      <c r="B205" s="202"/>
      <c r="C205" s="203"/>
      <c r="D205" s="203"/>
      <c r="E205" s="201"/>
      <c r="F205" s="6"/>
    </row>
    <row r="206" spans="1:6" ht="15.75" customHeight="1" thickBot="1" x14ac:dyDescent="0.25">
      <c r="A206" s="201" t="s">
        <v>1318</v>
      </c>
      <c r="B206" s="202" t="s">
        <v>1522</v>
      </c>
      <c r="C206" s="203" t="s">
        <v>1517</v>
      </c>
      <c r="D206" s="203" t="s">
        <v>1516</v>
      </c>
      <c r="E206" s="236">
        <f>'[14]Accum. Dep''n-Office Equipt.'!$G$46</f>
        <v>510940.54</v>
      </c>
      <c r="F206" s="6"/>
    </row>
    <row r="207" spans="1:6" ht="15.75" customHeight="1" thickTop="1" x14ac:dyDescent="0.2">
      <c r="A207" s="201"/>
      <c r="B207" s="202"/>
      <c r="C207" s="203"/>
      <c r="D207" s="203"/>
      <c r="E207" s="201"/>
      <c r="F207" s="6"/>
    </row>
    <row r="208" spans="1:6" ht="15.75" customHeight="1" thickBot="1" x14ac:dyDescent="0.25">
      <c r="A208" s="201" t="s">
        <v>1318</v>
      </c>
      <c r="B208" s="202" t="s">
        <v>1525</v>
      </c>
      <c r="C208" s="203" t="s">
        <v>1519</v>
      </c>
      <c r="D208" s="203" t="s">
        <v>1518</v>
      </c>
      <c r="E208" s="236">
        <f>'[14]Accum. Dep''n- IT'!$G$45</f>
        <v>3235209.88</v>
      </c>
      <c r="F208" s="6"/>
    </row>
    <row r="209" spans="1:6" ht="15.75" customHeight="1" thickTop="1" x14ac:dyDescent="0.2">
      <c r="A209" s="201"/>
      <c r="B209" s="202"/>
      <c r="C209" s="203"/>
      <c r="D209" s="203"/>
      <c r="E209" s="201"/>
      <c r="F209" s="6"/>
    </row>
    <row r="210" spans="1:6" ht="15.75" customHeight="1" thickBot="1" x14ac:dyDescent="0.25">
      <c r="A210" s="201" t="s">
        <v>1318</v>
      </c>
      <c r="B210" s="202" t="s">
        <v>1528</v>
      </c>
      <c r="C210" s="203" t="s">
        <v>1524</v>
      </c>
      <c r="D210" s="203" t="s">
        <v>1523</v>
      </c>
      <c r="E210" s="236">
        <f>'[14]Accum.Dep''n-Agri. Equip.'!$G$45</f>
        <v>514576.32</v>
      </c>
      <c r="F210" s="6"/>
    </row>
    <row r="211" spans="1:6" ht="15.75" customHeight="1" thickTop="1" x14ac:dyDescent="0.2">
      <c r="A211" s="201"/>
      <c r="B211" s="202"/>
      <c r="C211" s="203"/>
      <c r="D211" s="203"/>
      <c r="E211" s="201"/>
      <c r="F211" s="6"/>
    </row>
    <row r="212" spans="1:6" ht="15.75" customHeight="1" thickBot="1" x14ac:dyDescent="0.25">
      <c r="A212" s="201" t="s">
        <v>1318</v>
      </c>
      <c r="B212" s="202" t="s">
        <v>1531</v>
      </c>
      <c r="C212" s="203" t="s">
        <v>1526</v>
      </c>
      <c r="D212" s="203" t="s">
        <v>1527</v>
      </c>
      <c r="E212" s="236">
        <f>'[14]Accum. Dep''n-Comm.Equip.'!$G$45</f>
        <v>69141.5</v>
      </c>
      <c r="F212" s="6"/>
    </row>
    <row r="213" spans="1:6" ht="15.75" customHeight="1" thickTop="1" x14ac:dyDescent="0.2">
      <c r="A213" s="201"/>
      <c r="B213" s="202"/>
      <c r="C213" s="203"/>
      <c r="D213" s="203"/>
      <c r="E213" s="201"/>
      <c r="F213" s="6"/>
    </row>
    <row r="214" spans="1:6" ht="15.75" customHeight="1" thickBot="1" x14ac:dyDescent="0.25">
      <c r="A214" s="201" t="s">
        <v>1318</v>
      </c>
      <c r="B214" s="202" t="s">
        <v>1534</v>
      </c>
      <c r="C214" s="203" t="s">
        <v>1529</v>
      </c>
      <c r="D214" s="203" t="s">
        <v>1530</v>
      </c>
      <c r="E214" s="236">
        <f>'[14]Accum.Dep''n-Const''n &amp; Heavy '!$G$45</f>
        <v>3259981.02</v>
      </c>
      <c r="F214" s="6"/>
    </row>
    <row r="215" spans="1:6" ht="15.75" customHeight="1" thickTop="1" x14ac:dyDescent="0.2">
      <c r="A215" s="201"/>
      <c r="B215" s="202"/>
      <c r="C215" s="203"/>
      <c r="D215" s="203"/>
      <c r="E215" s="201"/>
      <c r="F215" s="6"/>
    </row>
    <row r="216" spans="1:6" ht="15.75" customHeight="1" thickBot="1" x14ac:dyDescent="0.25">
      <c r="A216" s="201" t="s">
        <v>1318</v>
      </c>
      <c r="B216" s="202" t="s">
        <v>1537</v>
      </c>
      <c r="C216" s="203" t="s">
        <v>1532</v>
      </c>
      <c r="D216" s="203" t="s">
        <v>1533</v>
      </c>
      <c r="E216" s="236">
        <f>'[14]Accumulated depre. rescue and r'!$G$45</f>
        <v>111462.24</v>
      </c>
      <c r="F216" s="6"/>
    </row>
    <row r="217" spans="1:6" ht="15.75" customHeight="1" thickTop="1" x14ac:dyDescent="0.2">
      <c r="A217" s="201"/>
      <c r="B217" s="202"/>
      <c r="C217" s="203"/>
      <c r="D217" s="203"/>
      <c r="E217" s="201"/>
      <c r="F217" s="6"/>
    </row>
    <row r="218" spans="1:6" ht="15.75" customHeight="1" thickBot="1" x14ac:dyDescent="0.25">
      <c r="A218" s="201" t="s">
        <v>1318</v>
      </c>
      <c r="B218" s="202" t="s">
        <v>1540</v>
      </c>
      <c r="C218" s="203" t="s">
        <v>1535</v>
      </c>
      <c r="D218" s="203" t="s">
        <v>1536</v>
      </c>
      <c r="E218" s="236">
        <f>'[14]Accum.Dep''n-Other Machinery'!$G$45</f>
        <v>124175.17</v>
      </c>
      <c r="F218" s="6"/>
    </row>
    <row r="219" spans="1:6" ht="15.75" customHeight="1" thickTop="1" x14ac:dyDescent="0.2">
      <c r="A219" s="201"/>
      <c r="B219" s="202"/>
      <c r="C219" s="203"/>
      <c r="D219" s="203"/>
      <c r="E219" s="201"/>
      <c r="F219" s="6"/>
    </row>
    <row r="220" spans="1:6" ht="15.75" customHeight="1" thickBot="1" x14ac:dyDescent="0.25">
      <c r="A220" s="201" t="s">
        <v>1318</v>
      </c>
      <c r="B220" s="202" t="s">
        <v>1543</v>
      </c>
      <c r="C220" s="203" t="s">
        <v>1538</v>
      </c>
      <c r="D220" s="203" t="s">
        <v>1539</v>
      </c>
      <c r="E220" s="236">
        <f>'[14]Accum.Dep''n- Motor Vehicles'!$G$45</f>
        <v>769851.23</v>
      </c>
      <c r="F220" s="6"/>
    </row>
    <row r="221" spans="1:6" ht="15.75" customHeight="1" thickTop="1" x14ac:dyDescent="0.2">
      <c r="A221" s="201"/>
      <c r="B221" s="202"/>
      <c r="C221" s="203"/>
      <c r="D221" s="203"/>
      <c r="E221" s="201"/>
      <c r="F221" s="6"/>
    </row>
    <row r="222" spans="1:6" ht="15.75" customHeight="1" thickBot="1" x14ac:dyDescent="0.25">
      <c r="A222" s="201" t="s">
        <v>1318</v>
      </c>
      <c r="B222" s="202" t="s">
        <v>1546</v>
      </c>
      <c r="C222" s="203" t="s">
        <v>1541</v>
      </c>
      <c r="D222" s="203" t="s">
        <v>1542</v>
      </c>
      <c r="E222" s="236">
        <f>'[14]Accum.Dep''n-F &amp; F'!$G$46</f>
        <v>1023335.52</v>
      </c>
      <c r="F222" s="6"/>
    </row>
    <row r="223" spans="1:6" ht="15.75" customHeight="1" thickTop="1" x14ac:dyDescent="0.2">
      <c r="A223" s="201"/>
      <c r="B223" s="202"/>
      <c r="C223" s="203"/>
      <c r="D223" s="203"/>
      <c r="E223" s="201"/>
      <c r="F223" s="6"/>
    </row>
    <row r="224" spans="1:6" ht="15.75" customHeight="1" thickBot="1" x14ac:dyDescent="0.25">
      <c r="A224" s="201" t="s">
        <v>1318</v>
      </c>
      <c r="B224" s="202" t="s">
        <v>1552</v>
      </c>
      <c r="C224" s="203" t="s">
        <v>1982</v>
      </c>
      <c r="D224" s="203" t="s">
        <v>1983</v>
      </c>
      <c r="E224" s="236">
        <f>'[14]Accum. Dep''n - Books'!$G$46</f>
        <v>220.5</v>
      </c>
      <c r="F224" s="6"/>
    </row>
    <row r="225" spans="1:7" ht="15.75" customHeight="1" thickTop="1" x14ac:dyDescent="0.2">
      <c r="A225" s="201"/>
      <c r="B225" s="202"/>
      <c r="C225" s="203"/>
      <c r="D225" s="203"/>
      <c r="E225" s="201"/>
      <c r="F225" s="6"/>
    </row>
    <row r="226" spans="1:7" ht="15.75" customHeight="1" thickBot="1" x14ac:dyDescent="0.25">
      <c r="A226" s="201" t="s">
        <v>1318</v>
      </c>
      <c r="B226" s="202" t="s">
        <v>1553</v>
      </c>
      <c r="C226" s="203" t="s">
        <v>1544</v>
      </c>
      <c r="D226" s="203" t="s">
        <v>1545</v>
      </c>
      <c r="E226" s="236">
        <f>'[14]Accum. Dep''n- Other PPE'!$G$45</f>
        <v>826075.33000000007</v>
      </c>
      <c r="F226" s="6"/>
    </row>
    <row r="227" spans="1:7" ht="15.75" customHeight="1" thickTop="1" x14ac:dyDescent="0.2">
      <c r="A227" s="201"/>
      <c r="B227" s="202"/>
      <c r="C227" s="203"/>
      <c r="D227" s="203"/>
      <c r="E227" s="201"/>
      <c r="F227" s="6"/>
    </row>
    <row r="228" spans="1:7" ht="15.75" customHeight="1" x14ac:dyDescent="0.2">
      <c r="A228" s="201" t="s">
        <v>1318</v>
      </c>
      <c r="B228" s="202" t="s">
        <v>1565</v>
      </c>
      <c r="C228" s="203" t="s">
        <v>1547</v>
      </c>
      <c r="D228" s="203" t="s">
        <v>78</v>
      </c>
      <c r="E228" s="201"/>
      <c r="F228" s="6"/>
    </row>
    <row r="229" spans="1:7" s="9" customFormat="1" ht="15.75" customHeight="1" x14ac:dyDescent="0.2">
      <c r="A229" s="175"/>
      <c r="B229" s="200"/>
      <c r="C229" s="199" t="s">
        <v>1548</v>
      </c>
      <c r="D229" s="199"/>
      <c r="E229" s="204">
        <f>'[16]Due to Officers &amp; Employees-1'!$G$12</f>
        <v>54287.35</v>
      </c>
      <c r="G229" s="210"/>
    </row>
    <row r="230" spans="1:7" s="9" customFormat="1" ht="15.75" customHeight="1" x14ac:dyDescent="0.2">
      <c r="A230" s="175"/>
      <c r="B230" s="200"/>
      <c r="C230" s="199" t="s">
        <v>1549</v>
      </c>
      <c r="D230" s="199" t="s">
        <v>1984</v>
      </c>
      <c r="E230" s="204">
        <f>'[16]Due to Officers &amp; Employees-2'!$G$12</f>
        <v>6557.58</v>
      </c>
      <c r="G230" s="210"/>
    </row>
    <row r="231" spans="1:7" s="9" customFormat="1" ht="15.75" customHeight="1" x14ac:dyDescent="0.2">
      <c r="A231" s="175"/>
      <c r="B231" s="200"/>
      <c r="C231" s="199" t="s">
        <v>1550</v>
      </c>
      <c r="D231" s="199" t="s">
        <v>1985</v>
      </c>
      <c r="E231" s="204">
        <f>'[16]Due to Officers &amp; Employees-3'!$G$12</f>
        <v>5773.31</v>
      </c>
      <c r="G231" s="210"/>
    </row>
    <row r="232" spans="1:7" s="9" customFormat="1" ht="15.75" customHeight="1" x14ac:dyDescent="0.2">
      <c r="A232" s="175"/>
      <c r="B232" s="200"/>
      <c r="C232" s="199" t="s">
        <v>1551</v>
      </c>
      <c r="D232" s="199" t="s">
        <v>1986</v>
      </c>
      <c r="E232" s="204">
        <f>'[16]Due to Officers &amp; Employees-4'!$G$12</f>
        <v>1075.71</v>
      </c>
      <c r="G232" s="210"/>
    </row>
    <row r="233" spans="1:7" ht="15.75" customHeight="1" thickBot="1" x14ac:dyDescent="0.25">
      <c r="A233" s="201"/>
      <c r="B233" s="202"/>
      <c r="C233" s="207" t="s">
        <v>50</v>
      </c>
      <c r="D233" s="203"/>
      <c r="E233" s="238">
        <f>SUM(E229:E232)</f>
        <v>67693.950000000012</v>
      </c>
      <c r="F233" s="6"/>
    </row>
    <row r="234" spans="1:7" ht="15.75" customHeight="1" thickTop="1" x14ac:dyDescent="0.2">
      <c r="A234" s="201"/>
      <c r="B234" s="202"/>
      <c r="C234" s="203"/>
      <c r="D234" s="203"/>
      <c r="E234" s="201"/>
      <c r="F234" s="6"/>
    </row>
    <row r="235" spans="1:7" ht="15.75" customHeight="1" thickBot="1" x14ac:dyDescent="0.25">
      <c r="A235" s="201" t="s">
        <v>1318</v>
      </c>
      <c r="B235" s="202" t="s">
        <v>1591</v>
      </c>
      <c r="C235" s="203" t="s">
        <v>1264</v>
      </c>
      <c r="D235" s="203" t="s">
        <v>109</v>
      </c>
      <c r="E235" s="236">
        <f>'[16]Loans Payable-Domestic'!$G$45</f>
        <v>12008527.82</v>
      </c>
      <c r="F235" s="6"/>
    </row>
    <row r="236" spans="1:7" ht="15.75" customHeight="1" thickTop="1" x14ac:dyDescent="0.2">
      <c r="A236" s="201"/>
      <c r="B236" s="202"/>
      <c r="C236" s="203"/>
      <c r="D236" s="203"/>
      <c r="E236" s="201"/>
      <c r="F236" s="6"/>
    </row>
    <row r="237" spans="1:7" ht="15.75" customHeight="1" x14ac:dyDescent="0.2">
      <c r="A237" s="201" t="s">
        <v>1318</v>
      </c>
      <c r="B237" s="202" t="s">
        <v>1597</v>
      </c>
      <c r="C237" s="203" t="s">
        <v>1554</v>
      </c>
      <c r="D237" s="203" t="s">
        <v>17</v>
      </c>
      <c r="E237" s="201"/>
      <c r="F237" s="6"/>
    </row>
    <row r="238" spans="1:7" ht="15.75" customHeight="1" x14ac:dyDescent="0.2">
      <c r="C238" s="199" t="s">
        <v>1555</v>
      </c>
      <c r="D238" s="199" t="s">
        <v>1556</v>
      </c>
      <c r="E238" s="204">
        <f>SUM('[17]DUE to BIR (GMP)'!$H$586,'[17]Due to BIR-4'!$H$40,'[17]Due to BIR-5'!$H$40)</f>
        <v>360119.55000000005</v>
      </c>
    </row>
    <row r="239" spans="1:7" ht="15.75" customHeight="1" x14ac:dyDescent="0.2">
      <c r="C239" s="199" t="s">
        <v>1557</v>
      </c>
      <c r="D239" s="199" t="s">
        <v>1558</v>
      </c>
      <c r="E239" s="204">
        <f>SUM('[17]DUE to BIR - (REG - GF)'!$H$393,'[17]DUE to BIR (REG - LEE)'!$H$70)</f>
        <v>292255.38999999955</v>
      </c>
    </row>
    <row r="240" spans="1:7" ht="15.75" customHeight="1" x14ac:dyDescent="0.2">
      <c r="C240" s="199" t="s">
        <v>1559</v>
      </c>
      <c r="D240" s="199" t="s">
        <v>1560</v>
      </c>
      <c r="E240" s="204">
        <f>'[17]Due to BIR-3 (DST)'!$H$146</f>
        <v>-28845</v>
      </c>
    </row>
    <row r="241" spans="1:22" ht="15.75" customHeight="1" x14ac:dyDescent="0.2">
      <c r="C241" s="199" t="s">
        <v>1561</v>
      </c>
      <c r="D241" s="199" t="s">
        <v>1563</v>
      </c>
      <c r="E241" s="204">
        <v>0</v>
      </c>
      <c r="V241" s="27"/>
    </row>
    <row r="242" spans="1:22" ht="15.75" customHeight="1" x14ac:dyDescent="0.2">
      <c r="C242" s="199" t="s">
        <v>1562</v>
      </c>
      <c r="D242" s="199" t="s">
        <v>1564</v>
      </c>
      <c r="E242" s="204">
        <f>'[17]Due to BIR-5'!$G$71</f>
        <v>2320.8000000000002</v>
      </c>
      <c r="V242" s="27">
        <f>E243-[9]December!$D$75</f>
        <v>0</v>
      </c>
    </row>
    <row r="243" spans="1:22" ht="15.75" customHeight="1" thickBot="1" x14ac:dyDescent="0.25">
      <c r="C243" s="207" t="s">
        <v>50</v>
      </c>
      <c r="E243" s="238">
        <f>SUM(E238:E242)</f>
        <v>625850.73999999964</v>
      </c>
    </row>
    <row r="244" spans="1:22" ht="15.75" customHeight="1" thickTop="1" x14ac:dyDescent="0.2"/>
    <row r="245" spans="1:22" s="9" customFormat="1" ht="15.75" customHeight="1" x14ac:dyDescent="0.2">
      <c r="A245" s="201" t="s">
        <v>1318</v>
      </c>
      <c r="B245" s="202" t="s">
        <v>1601</v>
      </c>
      <c r="C245" s="203" t="s">
        <v>1566</v>
      </c>
      <c r="D245" s="203" t="s">
        <v>18</v>
      </c>
      <c r="E245" s="201"/>
      <c r="G245" s="210"/>
    </row>
    <row r="246" spans="1:22" s="9" customFormat="1" ht="15.75" customHeight="1" x14ac:dyDescent="0.2">
      <c r="A246" s="175"/>
      <c r="B246" s="200"/>
      <c r="C246" s="199" t="s">
        <v>1567</v>
      </c>
      <c r="D246" s="199" t="s">
        <v>1579</v>
      </c>
      <c r="E246" s="204">
        <f>SUM('[17]DUE to GSIS (PS)-CASUALS'!$G$143,'[17]DUE to GSIS (PS) - REG (GF)'!$G$236,'[17]DUE to GSIS (PS) - REG (LEE)'!$G$149)</f>
        <v>321210.80000000063</v>
      </c>
      <c r="G246" s="210"/>
    </row>
    <row r="247" spans="1:22" s="9" customFormat="1" ht="15.75" customHeight="1" x14ac:dyDescent="0.2">
      <c r="A247" s="175"/>
      <c r="B247" s="200"/>
      <c r="C247" s="199" t="s">
        <v>1568</v>
      </c>
      <c r="D247" s="199" t="s">
        <v>1580</v>
      </c>
      <c r="E247" s="204">
        <f>SUM('[17]DUE to GSIS (GS) - CASUALS'!$G$150,'[17]DUE to GSIS (GS) - REG (GF)'!$G$234,'[17]DUE to GSIS (GS) - REG (LEE)'!$G$149)</f>
        <v>384621.59000000107</v>
      </c>
      <c r="G247" s="210"/>
    </row>
    <row r="248" spans="1:22" s="9" customFormat="1" ht="15.75" customHeight="1" x14ac:dyDescent="0.2">
      <c r="A248" s="175"/>
      <c r="B248" s="200"/>
      <c r="C248" s="199" t="s">
        <v>1569</v>
      </c>
      <c r="D248" s="199" t="s">
        <v>1581</v>
      </c>
      <c r="E248" s="204">
        <f>SUM('[17]DUE to GSIS (CONSOL-SAL) - CAS'!$G$138,'[17]DUE to GSIS (CONSOL) - REG (GF)'!$G$382,'[17]DUE to GSIS (CONSOL) - REG (LEE'!$G$237)</f>
        <v>421451.22999999981</v>
      </c>
      <c r="G248" s="210"/>
    </row>
    <row r="249" spans="1:22" s="9" customFormat="1" ht="15.75" customHeight="1" x14ac:dyDescent="0.2">
      <c r="A249" s="175"/>
      <c r="B249" s="200"/>
      <c r="C249" s="199" t="s">
        <v>1570</v>
      </c>
      <c r="D249" s="199" t="s">
        <v>1582</v>
      </c>
      <c r="E249" s="204">
        <f>SUM('[17]DUE to GSIS (POLICY)-CASUALS'!$G$100,'[17]DUE to GSIS (POLICY)-REG(GF)'!$G$210,'[17]DUE to GSIS (POLICY)-REG(LEE)'!$G$128)</f>
        <v>47348.53</v>
      </c>
      <c r="G249" s="210"/>
    </row>
    <row r="250" spans="1:22" s="9" customFormat="1" ht="15.75" customHeight="1" x14ac:dyDescent="0.2">
      <c r="A250" s="175"/>
      <c r="B250" s="200"/>
      <c r="C250" s="199" t="s">
        <v>1571</v>
      </c>
      <c r="D250" s="199" t="s">
        <v>1583</v>
      </c>
      <c r="E250" s="204">
        <f>SUM('[17]DUE to GSIS (HELP)-CASUALS'!$G$148,'[17]DUE to GSIS (HELP) - REG (GF)'!$G$249,'[17]DUE to GSIS (HELP) - REG (LEE)'!$G$160)</f>
        <v>173137.70000000016</v>
      </c>
      <c r="G250" s="210"/>
    </row>
    <row r="251" spans="1:22" s="9" customFormat="1" ht="15.75" customHeight="1" x14ac:dyDescent="0.2">
      <c r="A251" s="175"/>
      <c r="B251" s="200"/>
      <c r="C251" s="199" t="s">
        <v>1572</v>
      </c>
      <c r="D251" s="199" t="s">
        <v>1584</v>
      </c>
      <c r="E251" s="204">
        <f>SUM('[17]Due to GSIS-OULI(PREM)-REG(GF)'!$G$80)</f>
        <v>344.91999999999916</v>
      </c>
      <c r="G251" s="210"/>
    </row>
    <row r="252" spans="1:22" s="9" customFormat="1" ht="15.75" customHeight="1" x14ac:dyDescent="0.2">
      <c r="A252" s="175"/>
      <c r="B252" s="200"/>
      <c r="C252" s="199" t="s">
        <v>1573</v>
      </c>
      <c r="D252" s="199" t="s">
        <v>1585</v>
      </c>
      <c r="E252" s="204">
        <f>SUM('[17]DUE to GSIS-OULI(OPT)-REG(GF)'!$G$57)</f>
        <v>1560</v>
      </c>
      <c r="G252" s="210"/>
    </row>
    <row r="253" spans="1:22" s="9" customFormat="1" ht="15.75" customHeight="1" x14ac:dyDescent="0.2">
      <c r="A253" s="175"/>
      <c r="B253" s="200"/>
      <c r="C253" s="199" t="s">
        <v>1574</v>
      </c>
      <c r="D253" s="199" t="s">
        <v>1586</v>
      </c>
      <c r="E253" s="204">
        <f>SUM('[17]DUE to GSIS (EMERGENCY) - CASUA'!$G$134,'[17]DUE to GSIS (EMERGENCY)-REG(GF)'!$G$213,'[17]DUE to GSIS(EMERGENCY)-REG(LEE)'!$G$141)</f>
        <v>138976.71000000002</v>
      </c>
      <c r="G253" s="210"/>
    </row>
    <row r="254" spans="1:22" s="9" customFormat="1" ht="15.75" customHeight="1" x14ac:dyDescent="0.2">
      <c r="A254" s="175"/>
      <c r="B254" s="200"/>
      <c r="C254" s="199" t="s">
        <v>1575</v>
      </c>
      <c r="D254" s="199" t="s">
        <v>1587</v>
      </c>
      <c r="E254" s="204">
        <f>SUM('[17]Due to GSIS (LCH-DCS) - REG(GF)'!$G$57)</f>
        <v>3181.0999999999913</v>
      </c>
      <c r="G254" s="210"/>
    </row>
    <row r="255" spans="1:22" s="9" customFormat="1" ht="15.75" customHeight="1" x14ac:dyDescent="0.2">
      <c r="A255" s="175"/>
      <c r="B255" s="200"/>
      <c r="C255" s="199" t="s">
        <v>1576</v>
      </c>
      <c r="D255" s="199" t="s">
        <v>1588</v>
      </c>
      <c r="E255" s="204">
        <f>SUM('[17]Due to GSIS (Cash Ad.) REG-GF'!$G$45,'[17]Due to GSIS (Cash Ad.) - REG(LE'!$G$45)</f>
        <v>3955.46</v>
      </c>
      <c r="G255" s="210"/>
    </row>
    <row r="256" spans="1:22" s="9" customFormat="1" ht="15.75" customHeight="1" x14ac:dyDescent="0.2">
      <c r="A256" s="175"/>
      <c r="B256" s="200"/>
      <c r="C256" s="199" t="s">
        <v>1577</v>
      </c>
      <c r="D256" s="199" t="s">
        <v>1589</v>
      </c>
      <c r="E256" s="204">
        <f>SUM('[17]DUE to GSIS (ECP) - CASUALS'!$G$143,'[17]DUE to GSIS (EC PREM)-REG GF'!$G$233,'[17]DUE to GSIS (EC PREM)-REG LEE'!$G$149)</f>
        <v>31442.400000000009</v>
      </c>
      <c r="G256" s="210"/>
    </row>
    <row r="257" spans="1:22" s="9" customFormat="1" ht="15.75" customHeight="1" x14ac:dyDescent="0.2">
      <c r="A257" s="175"/>
      <c r="B257" s="200"/>
      <c r="C257" s="199" t="s">
        <v>1578</v>
      </c>
      <c r="D257" s="199" t="s">
        <v>1590</v>
      </c>
      <c r="E257" s="204">
        <f>SUM('[17]DUE to GSIS (EDUC) - CASUALS'!$G$54,'[17]DUE to GSIS (EDUC) - REG (GF)'!$G$249,'[17]DUE to GSIS (EDUC) - REG (LEE)'!$G$161)</f>
        <v>10008.120000000039</v>
      </c>
      <c r="G257" s="210"/>
    </row>
    <row r="258" spans="1:22" ht="15.75" customHeight="1" thickBot="1" x14ac:dyDescent="0.25">
      <c r="A258" s="201"/>
      <c r="B258" s="202"/>
      <c r="C258" s="207" t="s">
        <v>50</v>
      </c>
      <c r="D258" s="203"/>
      <c r="E258" s="238">
        <f>SUM(E246:E257)</f>
        <v>1537238.5600000017</v>
      </c>
      <c r="V258" s="27">
        <f>E258-[9]December!$D$76</f>
        <v>0</v>
      </c>
    </row>
    <row r="259" spans="1:22" ht="15.75" customHeight="1" thickTop="1" x14ac:dyDescent="0.2">
      <c r="A259" s="201"/>
      <c r="B259" s="202"/>
      <c r="C259" s="203"/>
      <c r="D259" s="203"/>
      <c r="E259" s="201"/>
    </row>
    <row r="260" spans="1:22" ht="15.75" customHeight="1" x14ac:dyDescent="0.2">
      <c r="A260" s="201" t="s">
        <v>1318</v>
      </c>
      <c r="B260" s="202" t="s">
        <v>1618</v>
      </c>
      <c r="C260" s="203" t="s">
        <v>1592</v>
      </c>
      <c r="D260" s="203" t="s">
        <v>34</v>
      </c>
      <c r="E260" s="201"/>
    </row>
    <row r="261" spans="1:22" s="9" customFormat="1" ht="15.75" customHeight="1" x14ac:dyDescent="0.2">
      <c r="A261" s="175"/>
      <c r="B261" s="200"/>
      <c r="C261" s="199" t="s">
        <v>1593</v>
      </c>
      <c r="D261" s="199" t="s">
        <v>1579</v>
      </c>
      <c r="E261" s="204">
        <f>SUM('[17]DUE to PAG-IBIG (PS)(REG-JO)-GF'!$G$283,'[17]DUE to PAG-IBIG (PS) - REG(LEE)'!$G$143,'[17]DUE to PAG-IBIG (PS) - CASUALS'!$G$143)</f>
        <v>23400.149999999849</v>
      </c>
      <c r="G261" s="210"/>
    </row>
    <row r="262" spans="1:22" s="9" customFormat="1" ht="15.75" customHeight="1" x14ac:dyDescent="0.2">
      <c r="A262" s="175"/>
      <c r="B262" s="200"/>
      <c r="C262" s="199" t="s">
        <v>1594</v>
      </c>
      <c r="D262" s="199" t="s">
        <v>1580</v>
      </c>
      <c r="E262" s="204">
        <f>SUM('[17]DUE to PAG-IBIG (GS) - REG(GF)'!$G$217,'[17]DUE to PAG-IBIG (GS) - REG(LEE)'!$G$143,'[17]DUE to PAG-IBIG (GS) - CASUALS'!$G$143)</f>
        <v>1671.5599999999977</v>
      </c>
      <c r="G262" s="210"/>
    </row>
    <row r="263" spans="1:22" s="9" customFormat="1" ht="15.75" customHeight="1" x14ac:dyDescent="0.2">
      <c r="A263" s="175"/>
      <c r="B263" s="200"/>
      <c r="C263" s="199" t="s">
        <v>1595</v>
      </c>
      <c r="D263" s="199" t="s">
        <v>1596</v>
      </c>
      <c r="E263" s="204">
        <f>SUM('[17]DUE to PAG-IBIG(SAL-CAL)-REG(GF'!$G$260,'[17]DUE to PAG-IBIG(SAL-CAL)-REG(LE'!$G$136,'[17]DUE to PAG-IBIG (SAL-CAL) - CAS'!$G$89)</f>
        <v>-17492.900000000023</v>
      </c>
      <c r="G263" s="210"/>
    </row>
    <row r="264" spans="1:22" ht="15.75" thickBot="1" x14ac:dyDescent="0.25">
      <c r="A264" s="201"/>
      <c r="B264" s="202"/>
      <c r="C264" s="207" t="s">
        <v>50</v>
      </c>
      <c r="D264" s="203"/>
      <c r="E264" s="238">
        <f>SUM(E261:E263)</f>
        <v>7578.809999999823</v>
      </c>
    </row>
    <row r="265" spans="1:22" ht="15.75" thickTop="1" x14ac:dyDescent="0.2">
      <c r="A265" s="201"/>
      <c r="B265" s="202"/>
      <c r="C265" s="203"/>
      <c r="D265" s="203"/>
      <c r="E265" s="201"/>
    </row>
    <row r="266" spans="1:22" ht="15" x14ac:dyDescent="0.2">
      <c r="A266" s="201" t="s">
        <v>1318</v>
      </c>
      <c r="B266" s="202" t="s">
        <v>1626</v>
      </c>
      <c r="C266" s="203" t="s">
        <v>1598</v>
      </c>
      <c r="D266" s="203" t="s">
        <v>429</v>
      </c>
      <c r="E266" s="201"/>
    </row>
    <row r="267" spans="1:22" s="9" customFormat="1" x14ac:dyDescent="0.2">
      <c r="A267" s="175"/>
      <c r="B267" s="200"/>
      <c r="C267" s="199" t="s">
        <v>1599</v>
      </c>
      <c r="D267" s="199"/>
      <c r="E267" s="204">
        <f>SUM('[17]DUE to PHILHEALTH (PS)-CASUALS'!$G$142,'[17]DUE to PHILHEALTH(PS)-REG(GF)'!$G$233,'[17]DUE to PHILHEALTH(PS)-REG(LEE)'!$G$150)</f>
        <v>3652.9599999999627</v>
      </c>
      <c r="G267" s="210"/>
    </row>
    <row r="268" spans="1:22" s="9" customFormat="1" x14ac:dyDescent="0.2">
      <c r="A268" s="175"/>
      <c r="B268" s="200"/>
      <c r="C268" s="199" t="s">
        <v>1600</v>
      </c>
      <c r="D268" s="199"/>
      <c r="E268" s="204">
        <f>SUM('[17]DUE to PHILHEALTH (GS)-CASUALS'!$G$142,'[17]DUE to PHILHEALTH(GS)-REG(GF)'!$G$232,'[17]DUE to PHILHEALTH(GS)-REG(LEE)'!$G$150)</f>
        <v>5178.8200000000652</v>
      </c>
      <c r="G268" s="210"/>
    </row>
    <row r="269" spans="1:22" ht="15.75" thickBot="1" x14ac:dyDescent="0.25">
      <c r="A269" s="201"/>
      <c r="B269" s="202"/>
      <c r="C269" s="207" t="s">
        <v>50</v>
      </c>
      <c r="D269" s="203"/>
      <c r="E269" s="238">
        <f>SUM(E267:E268)</f>
        <v>8831.7800000000279</v>
      </c>
    </row>
    <row r="270" spans="1:22" ht="15.75" thickTop="1" x14ac:dyDescent="0.2">
      <c r="A270" s="201"/>
      <c r="B270" s="202"/>
      <c r="C270" s="203"/>
      <c r="D270" s="203"/>
      <c r="E270" s="201"/>
    </row>
    <row r="271" spans="1:22" ht="15" x14ac:dyDescent="0.2">
      <c r="A271" s="201" t="s">
        <v>1318</v>
      </c>
      <c r="B271" s="202" t="s">
        <v>1632</v>
      </c>
      <c r="C271" s="203" t="s">
        <v>1602</v>
      </c>
      <c r="D271" s="203" t="s">
        <v>1603</v>
      </c>
      <c r="E271" s="201"/>
    </row>
    <row r="272" spans="1:22" s="9" customFormat="1" x14ac:dyDescent="0.2">
      <c r="A272" s="175"/>
      <c r="B272" s="200"/>
      <c r="C272" s="199" t="s">
        <v>1604</v>
      </c>
      <c r="D272" s="199" t="s">
        <v>1611</v>
      </c>
      <c r="E272" s="204">
        <f>'[17]Due to NGAs-BPCI'!$G$45</f>
        <v>400</v>
      </c>
      <c r="G272" s="210"/>
    </row>
    <row r="273" spans="1:7" s="9" customFormat="1" x14ac:dyDescent="0.2">
      <c r="A273" s="175"/>
      <c r="B273" s="200"/>
      <c r="C273" s="199" t="s">
        <v>1605</v>
      </c>
      <c r="D273" s="199" t="s">
        <v>1612</v>
      </c>
      <c r="E273" s="204">
        <f>'[17]Due to NGAs-FIRE &amp; SAFETY FEES'!$G$45</f>
        <v>-310.89999999999998</v>
      </c>
      <c r="G273" s="210"/>
    </row>
    <row r="274" spans="1:7" s="9" customFormat="1" x14ac:dyDescent="0.2">
      <c r="A274" s="175"/>
      <c r="B274" s="200"/>
      <c r="C274" s="199" t="s">
        <v>1606</v>
      </c>
      <c r="D274" s="199" t="s">
        <v>1613</v>
      </c>
      <c r="E274" s="204">
        <f>'[17]Due to NGAs-BLDG PERMIT&amp;LARGE '!$G$150</f>
        <v>107717.87</v>
      </c>
      <c r="G274" s="210"/>
    </row>
    <row r="275" spans="1:7" s="9" customFormat="1" x14ac:dyDescent="0.2">
      <c r="A275" s="175"/>
      <c r="B275" s="200"/>
      <c r="C275" s="199" t="s">
        <v>1607</v>
      </c>
      <c r="D275" s="199" t="s">
        <v>1614</v>
      </c>
      <c r="E275" s="204">
        <f>'[17]Due to NGAs-SHARE FROM PCA'!$G$46</f>
        <v>1652404.38</v>
      </c>
      <c r="G275" s="210"/>
    </row>
    <row r="276" spans="1:7" s="9" customFormat="1" x14ac:dyDescent="0.2">
      <c r="A276" s="175"/>
      <c r="B276" s="200"/>
      <c r="C276" s="199" t="s">
        <v>1608</v>
      </c>
      <c r="D276" s="199" t="s">
        <v>1615</v>
      </c>
      <c r="E276" s="204">
        <f>'[17]Due to NGAs-KILOS ASENSO'!$G$45</f>
        <v>847812</v>
      </c>
      <c r="G276" s="210"/>
    </row>
    <row r="277" spans="1:7" s="9" customFormat="1" x14ac:dyDescent="0.2">
      <c r="A277" s="175"/>
      <c r="B277" s="200"/>
      <c r="C277" s="199" t="s">
        <v>1609</v>
      </c>
      <c r="D277" s="199" t="s">
        <v>1616</v>
      </c>
      <c r="E277" s="204">
        <f>'[17]Due to NGAs-NATL SHARE MONETIZA'!$G$45</f>
        <v>0.93</v>
      </c>
      <c r="G277" s="210"/>
    </row>
    <row r="278" spans="1:7" s="9" customFormat="1" x14ac:dyDescent="0.2">
      <c r="A278" s="175"/>
      <c r="B278" s="200"/>
      <c r="C278" s="199" t="s">
        <v>1610</v>
      </c>
      <c r="D278" s="199" t="s">
        <v>1617</v>
      </c>
      <c r="E278" s="204">
        <f>'[17]Due to NGA''s-7'!$G$45</f>
        <v>-71000</v>
      </c>
      <c r="G278" s="210"/>
    </row>
    <row r="279" spans="1:7" ht="15.75" thickBot="1" x14ac:dyDescent="0.25">
      <c r="A279" s="201"/>
      <c r="B279" s="202"/>
      <c r="C279" s="207" t="s">
        <v>50</v>
      </c>
      <c r="D279" s="203"/>
      <c r="E279" s="238">
        <f>SUM(E272:E278)</f>
        <v>2537024.2799999998</v>
      </c>
    </row>
    <row r="280" spans="1:7" ht="15.75" thickTop="1" x14ac:dyDescent="0.2">
      <c r="A280" s="201"/>
      <c r="B280" s="202"/>
      <c r="C280" s="203"/>
      <c r="D280" s="203"/>
      <c r="E280" s="201"/>
    </row>
    <row r="281" spans="1:7" ht="15" x14ac:dyDescent="0.2">
      <c r="A281" s="201" t="s">
        <v>1318</v>
      </c>
      <c r="B281" s="202" t="s">
        <v>1645</v>
      </c>
      <c r="C281" s="203" t="s">
        <v>1619</v>
      </c>
      <c r="D281" s="203" t="s">
        <v>1000</v>
      </c>
      <c r="E281" s="201"/>
    </row>
    <row r="282" spans="1:7" s="9" customFormat="1" x14ac:dyDescent="0.2">
      <c r="A282" s="175"/>
      <c r="B282" s="200"/>
      <c r="C282" s="199" t="s">
        <v>1620</v>
      </c>
      <c r="D282" s="199" t="s">
        <v>1621</v>
      </c>
      <c r="E282" s="204">
        <f>SUM('[17]Due to GOCCs(PPSB)-REG(GF)'!$G$209,'[17]Due to GOCCs(PPSB)-REG(LEE)'!$G$125)</f>
        <v>103809.12</v>
      </c>
      <c r="G282" s="210"/>
    </row>
    <row r="283" spans="1:7" s="9" customFormat="1" x14ac:dyDescent="0.2">
      <c r="A283" s="175"/>
      <c r="B283" s="200"/>
      <c r="C283" s="199" t="s">
        <v>1620</v>
      </c>
      <c r="D283" s="199" t="s">
        <v>1622</v>
      </c>
      <c r="E283" s="204">
        <f>SUM('[17]Due to GOCCs(LBP)-REG(GF)'!$G$63)</f>
        <v>-61906.58</v>
      </c>
      <c r="G283" s="210"/>
    </row>
    <row r="284" spans="1:7" s="9" customFormat="1" x14ac:dyDescent="0.2">
      <c r="A284" s="175"/>
      <c r="B284" s="200"/>
      <c r="C284" s="199" t="s">
        <v>1620</v>
      </c>
      <c r="D284" s="199" t="s">
        <v>1623</v>
      </c>
      <c r="E284" s="204">
        <f>'[17]Due to GOCCs (Quedancor)'!$G$12</f>
        <v>-12062.91</v>
      </c>
      <c r="G284" s="210"/>
    </row>
    <row r="285" spans="1:7" s="9" customFormat="1" x14ac:dyDescent="0.2">
      <c r="A285" s="175"/>
      <c r="B285" s="200"/>
      <c r="C285" s="199" t="s">
        <v>1620</v>
      </c>
      <c r="D285" s="199" t="s">
        <v>1624</v>
      </c>
      <c r="E285" s="204">
        <f>'[17]Due to GOCCs (PCSO)'!$G$12</f>
        <v>119800</v>
      </c>
      <c r="G285" s="210"/>
    </row>
    <row r="286" spans="1:7" s="9" customFormat="1" x14ac:dyDescent="0.2">
      <c r="A286" s="175"/>
      <c r="B286" s="200"/>
      <c r="C286" s="199" t="s">
        <v>1620</v>
      </c>
      <c r="D286" s="199" t="s">
        <v>1625</v>
      </c>
      <c r="E286" s="204">
        <f>SUM('[17]Due to GOCCs(DBP)-REG(GF)'!$G$241,'[17]Due to GOCCs(DBP)-REG(LEE)'!$G$163)</f>
        <v>-0.25999999977648258</v>
      </c>
      <c r="G286" s="210"/>
    </row>
    <row r="287" spans="1:7" ht="15.75" thickBot="1" x14ac:dyDescent="0.25">
      <c r="A287" s="201"/>
      <c r="B287" s="202"/>
      <c r="C287" s="207" t="s">
        <v>50</v>
      </c>
      <c r="D287" s="203"/>
      <c r="E287" s="238">
        <f>SUM(E282:E286)</f>
        <v>149639.37000000023</v>
      </c>
    </row>
    <row r="288" spans="1:7" ht="15.75" thickTop="1" x14ac:dyDescent="0.2">
      <c r="A288" s="201"/>
      <c r="B288" s="202"/>
      <c r="C288" s="203"/>
      <c r="D288" s="203"/>
      <c r="E288" s="201"/>
    </row>
    <row r="289" spans="1:7" ht="15" x14ac:dyDescent="0.2">
      <c r="A289" s="201" t="s">
        <v>1318</v>
      </c>
      <c r="B289" s="202" t="s">
        <v>1648</v>
      </c>
      <c r="C289" s="203" t="s">
        <v>1627</v>
      </c>
      <c r="D289" s="203" t="s">
        <v>35</v>
      </c>
      <c r="E289" s="201"/>
    </row>
    <row r="290" spans="1:7" s="9" customFormat="1" x14ac:dyDescent="0.2">
      <c r="A290" s="175"/>
      <c r="B290" s="200"/>
      <c r="C290" s="199" t="s">
        <v>1628</v>
      </c>
      <c r="D290" s="199" t="s">
        <v>1630</v>
      </c>
      <c r="E290" s="204">
        <f>'[17]Due to LGus-PROVINCE'!$G$154</f>
        <v>825809.77999999956</v>
      </c>
      <c r="G290" s="210"/>
    </row>
    <row r="291" spans="1:7" s="9" customFormat="1" x14ac:dyDescent="0.2">
      <c r="A291" s="175"/>
      <c r="B291" s="200"/>
      <c r="C291" s="199" t="s">
        <v>1629</v>
      </c>
      <c r="D291" s="199" t="s">
        <v>1631</v>
      </c>
      <c r="E291" s="204">
        <f>'[17]Due to LGUs-BARANGAY'!$G$187</f>
        <v>2108021.9899999998</v>
      </c>
      <c r="G291" s="210"/>
    </row>
    <row r="292" spans="1:7" ht="15.75" thickBot="1" x14ac:dyDescent="0.25">
      <c r="A292" s="201"/>
      <c r="B292" s="202"/>
      <c r="C292" s="207" t="s">
        <v>50</v>
      </c>
      <c r="D292" s="203"/>
      <c r="E292" s="238">
        <f>SUM(E290:E291)</f>
        <v>2933831.7699999996</v>
      </c>
    </row>
    <row r="293" spans="1:7" ht="15.75" thickTop="1" x14ac:dyDescent="0.2">
      <c r="A293" s="201"/>
      <c r="B293" s="202"/>
      <c r="C293" s="203"/>
      <c r="D293" s="203"/>
      <c r="E293" s="201"/>
    </row>
    <row r="294" spans="1:7" ht="15" x14ac:dyDescent="0.2">
      <c r="A294" s="201" t="s">
        <v>1318</v>
      </c>
      <c r="B294" s="202" t="s">
        <v>1650</v>
      </c>
      <c r="C294" s="203" t="s">
        <v>1633</v>
      </c>
      <c r="D294" s="203" t="s">
        <v>79</v>
      </c>
      <c r="E294" s="201"/>
    </row>
    <row r="295" spans="1:7" s="9" customFormat="1" x14ac:dyDescent="0.2">
      <c r="A295" s="175"/>
      <c r="B295" s="200"/>
      <c r="C295" s="199" t="s">
        <v>1634</v>
      </c>
      <c r="D295" s="199" t="s">
        <v>1635</v>
      </c>
      <c r="E295" s="204">
        <f>'[18]Due to Other Funds- SEF'!$G$12</f>
        <v>634.02</v>
      </c>
      <c r="G295" s="210"/>
    </row>
    <row r="296" spans="1:7" s="9" customFormat="1" x14ac:dyDescent="0.2">
      <c r="A296" s="175"/>
      <c r="B296" s="200"/>
      <c r="C296" s="199" t="s">
        <v>1636</v>
      </c>
      <c r="D296" s="199"/>
      <c r="E296" s="204">
        <f>'[18]Due to Other Funds'!$G$12</f>
        <v>396555.99</v>
      </c>
      <c r="G296" s="210"/>
    </row>
    <row r="297" spans="1:7" s="9" customFormat="1" x14ac:dyDescent="0.2">
      <c r="A297" s="175"/>
      <c r="B297" s="200"/>
      <c r="C297" s="199" t="s">
        <v>1637</v>
      </c>
      <c r="D297" s="199" t="s">
        <v>1638</v>
      </c>
      <c r="E297" s="204">
        <f>'[18]Due to Other Funds- TF'!$G$12</f>
        <v>7390612.54</v>
      </c>
      <c r="G297" s="210"/>
    </row>
    <row r="298" spans="1:7" s="9" customFormat="1" x14ac:dyDescent="0.2">
      <c r="A298" s="175"/>
      <c r="B298" s="200"/>
      <c r="C298" s="199" t="s">
        <v>1639</v>
      </c>
      <c r="D298" s="199" t="s">
        <v>1640</v>
      </c>
      <c r="E298" s="204">
        <f>'[18]Due to Other Funds-PCF'!$G$12</f>
        <v>-5282.46</v>
      </c>
      <c r="G298" s="210"/>
    </row>
    <row r="299" spans="1:7" s="9" customFormat="1" x14ac:dyDescent="0.2">
      <c r="A299" s="175"/>
      <c r="B299" s="200"/>
      <c r="C299" s="199" t="s">
        <v>1641</v>
      </c>
      <c r="D299" s="199" t="s">
        <v>1642</v>
      </c>
      <c r="E299" s="204">
        <f>'[18]Due to Other Funds-RAY'!$G$12</f>
        <v>-14363.24</v>
      </c>
      <c r="G299" s="210"/>
    </row>
    <row r="300" spans="1:7" s="9" customFormat="1" x14ac:dyDescent="0.2">
      <c r="A300" s="175"/>
      <c r="B300" s="200"/>
      <c r="C300" s="199" t="s">
        <v>1643</v>
      </c>
      <c r="D300" s="199" t="s">
        <v>1644</v>
      </c>
      <c r="E300" s="204">
        <f>'[18]Due to other funds SALINTUBIG'!$G$47</f>
        <v>-7428222.9800000004</v>
      </c>
      <c r="G300" s="210"/>
    </row>
    <row r="301" spans="1:7" ht="15.75" thickBot="1" x14ac:dyDescent="0.25">
      <c r="A301" s="201"/>
      <c r="B301" s="202"/>
      <c r="C301" s="207" t="s">
        <v>50</v>
      </c>
      <c r="D301" s="203"/>
      <c r="E301" s="238">
        <f>SUM(E295:E300)</f>
        <v>339933.86999999918</v>
      </c>
    </row>
    <row r="302" spans="1:7" ht="15.75" thickTop="1" x14ac:dyDescent="0.2">
      <c r="A302" s="201"/>
      <c r="B302" s="202"/>
      <c r="C302" s="203"/>
      <c r="D302" s="203"/>
      <c r="E302" s="201"/>
    </row>
    <row r="303" spans="1:7" ht="15.75" thickBot="1" x14ac:dyDescent="0.25">
      <c r="A303" s="201" t="s">
        <v>1318</v>
      </c>
      <c r="B303" s="202" t="s">
        <v>1652</v>
      </c>
      <c r="C303" s="203" t="s">
        <v>1646</v>
      </c>
      <c r="D303" s="203" t="s">
        <v>1647</v>
      </c>
      <c r="E303" s="238">
        <f>'[19]Guaranty Deposit Payable'!$G$49</f>
        <v>1470049.9000000004</v>
      </c>
    </row>
    <row r="304" spans="1:7" ht="15.75" thickTop="1" x14ac:dyDescent="0.2">
      <c r="A304" s="201"/>
      <c r="B304" s="202"/>
      <c r="C304" s="203"/>
      <c r="D304" s="203"/>
      <c r="E304" s="212"/>
    </row>
    <row r="305" spans="1:5" ht="15.75" thickBot="1" x14ac:dyDescent="0.25">
      <c r="A305" s="201" t="s">
        <v>1318</v>
      </c>
      <c r="B305" s="202" t="s">
        <v>1987</v>
      </c>
      <c r="C305" s="203" t="s">
        <v>1649</v>
      </c>
      <c r="D305" s="203" t="s">
        <v>1012</v>
      </c>
      <c r="E305" s="238">
        <f>'[20]Deferred RPT'!$G$141</f>
        <v>16962153.740000002</v>
      </c>
    </row>
    <row r="306" spans="1:5" ht="15.75" thickTop="1" x14ac:dyDescent="0.2">
      <c r="A306" s="201"/>
      <c r="B306" s="202"/>
      <c r="C306" s="203"/>
      <c r="D306" s="203"/>
      <c r="E306" s="201"/>
    </row>
    <row r="307" spans="1:5" ht="15" x14ac:dyDescent="0.2">
      <c r="A307" s="201" t="s">
        <v>1318</v>
      </c>
      <c r="B307" s="202" t="s">
        <v>1655</v>
      </c>
      <c r="C307" s="203" t="s">
        <v>1651</v>
      </c>
      <c r="D307" s="203" t="s">
        <v>55</v>
      </c>
      <c r="E307" s="212"/>
    </row>
    <row r="308" spans="1:5" ht="15" x14ac:dyDescent="0.2">
      <c r="A308" s="201"/>
      <c r="B308" s="202"/>
      <c r="C308" s="199" t="s">
        <v>1988</v>
      </c>
      <c r="D308" s="199" t="s">
        <v>1989</v>
      </c>
      <c r="E308" s="217">
        <f>SUM('[21]Other Payables (CFI)-REG(GF)'!$G$379,'[21]Other Payables (CFI) - REG(LEE)'!$G$243)</f>
        <v>546803.86999999918</v>
      </c>
    </row>
    <row r="309" spans="1:5" ht="15" x14ac:dyDescent="0.2">
      <c r="A309" s="201"/>
      <c r="B309" s="202"/>
      <c r="C309" s="199" t="s">
        <v>1990</v>
      </c>
      <c r="D309" s="199" t="s">
        <v>1991</v>
      </c>
      <c r="E309" s="217">
        <f>SUM('[21]Other Payables (OCCCI)-REG(GF)'!$G$178,'[21]Other Payables (OCCCI)-REG(LEE)'!$G$108,'[21]Other Payables - OCCCI CASUALS'!$G$167)</f>
        <v>0</v>
      </c>
    </row>
    <row r="310" spans="1:5" ht="15.75" thickBot="1" x14ac:dyDescent="0.25">
      <c r="A310" s="201"/>
      <c r="B310" s="202"/>
      <c r="C310" s="203"/>
      <c r="D310" s="203"/>
      <c r="E310" s="238">
        <f>SUM(E308:E309)</f>
        <v>546803.86999999918</v>
      </c>
    </row>
    <row r="311" spans="1:5" ht="15.75" thickTop="1" x14ac:dyDescent="0.2">
      <c r="A311" s="201"/>
      <c r="B311" s="202"/>
      <c r="C311" s="203"/>
      <c r="D311" s="203"/>
      <c r="E311" s="201"/>
    </row>
    <row r="312" spans="1:5" ht="15.75" thickBot="1" x14ac:dyDescent="0.25">
      <c r="A312" s="201" t="s">
        <v>1318</v>
      </c>
      <c r="B312" s="202" t="s">
        <v>1658</v>
      </c>
      <c r="C312" s="203" t="s">
        <v>1653</v>
      </c>
      <c r="D312" s="203" t="s">
        <v>80</v>
      </c>
      <c r="E312" s="238">
        <f>'[22]Government Equity'!$G$45</f>
        <v>206331728.61000001</v>
      </c>
    </row>
    <row r="313" spans="1:5" ht="15.75" thickTop="1" x14ac:dyDescent="0.2">
      <c r="A313" s="201"/>
      <c r="B313" s="202"/>
      <c r="C313" s="203"/>
      <c r="D313" s="203"/>
      <c r="E313" s="201"/>
    </row>
    <row r="314" spans="1:5" ht="15.75" thickBot="1" x14ac:dyDescent="0.25">
      <c r="A314" s="201" t="s">
        <v>1318</v>
      </c>
      <c r="B314" s="202" t="s">
        <v>1992</v>
      </c>
      <c r="C314" s="203" t="s">
        <v>1654</v>
      </c>
      <c r="D314" s="203" t="s">
        <v>1023</v>
      </c>
      <c r="E314" s="238">
        <f>'[22]Prior Period Adjustment'!$G$53</f>
        <v>16512.580000000002</v>
      </c>
    </row>
    <row r="315" spans="1:5" ht="15.75" thickTop="1" x14ac:dyDescent="0.2">
      <c r="A315" s="201"/>
      <c r="B315" s="202"/>
      <c r="C315" s="203"/>
      <c r="D315" s="203"/>
      <c r="E315" s="201"/>
    </row>
    <row r="316" spans="1:5" ht="15.75" hidden="1" thickBot="1" x14ac:dyDescent="0.25">
      <c r="A316" s="201" t="s">
        <v>1318</v>
      </c>
      <c r="B316" s="202" t="s">
        <v>1663</v>
      </c>
      <c r="C316" s="203" t="s">
        <v>1656</v>
      </c>
      <c r="D316" s="203" t="s">
        <v>1657</v>
      </c>
      <c r="E316" s="211">
        <f>'[23]40101020'!$F$44</f>
        <v>1500</v>
      </c>
    </row>
    <row r="317" spans="1:5" ht="15.75" hidden="1" thickTop="1" x14ac:dyDescent="0.2">
      <c r="A317" s="201"/>
      <c r="B317" s="202"/>
      <c r="C317" s="203"/>
      <c r="D317" s="203"/>
      <c r="E317" s="201"/>
    </row>
    <row r="318" spans="1:5" ht="15.75" hidden="1" thickBot="1" x14ac:dyDescent="0.25">
      <c r="A318" s="201" t="s">
        <v>1318</v>
      </c>
      <c r="B318" s="202" t="s">
        <v>1658</v>
      </c>
      <c r="C318" s="203" t="s">
        <v>1660</v>
      </c>
      <c r="D318" s="203" t="s">
        <v>38</v>
      </c>
      <c r="E318" s="211">
        <f>'[23]40101050'!$F$44</f>
        <v>771909.7799999998</v>
      </c>
    </row>
    <row r="319" spans="1:5" ht="15.75" hidden="1" thickTop="1" x14ac:dyDescent="0.2">
      <c r="A319" s="201"/>
      <c r="B319" s="202"/>
      <c r="C319" s="203"/>
      <c r="D319" s="203"/>
      <c r="E319" s="201"/>
    </row>
    <row r="320" spans="1:5" ht="15.75" hidden="1" thickBot="1" x14ac:dyDescent="0.25">
      <c r="A320" s="201" t="s">
        <v>1318</v>
      </c>
      <c r="B320" s="202" t="s">
        <v>1661</v>
      </c>
      <c r="C320" s="203" t="s">
        <v>1659</v>
      </c>
      <c r="D320" s="203" t="s">
        <v>1662</v>
      </c>
      <c r="E320" s="211">
        <f>'[23]40102040'!$F$44</f>
        <v>757112.34</v>
      </c>
    </row>
    <row r="321" spans="1:5" ht="15.75" hidden="1" thickTop="1" x14ac:dyDescent="0.2">
      <c r="A321" s="201"/>
      <c r="B321" s="202"/>
      <c r="C321" s="203"/>
      <c r="D321" s="203"/>
      <c r="E321" s="201"/>
    </row>
    <row r="322" spans="1:5" ht="15.75" hidden="1" thickBot="1" x14ac:dyDescent="0.25">
      <c r="A322" s="201" t="s">
        <v>1318</v>
      </c>
      <c r="B322" s="202" t="s">
        <v>1663</v>
      </c>
      <c r="C322" s="203" t="s">
        <v>1664</v>
      </c>
      <c r="D322" s="203" t="s">
        <v>1665</v>
      </c>
      <c r="E322" s="211">
        <f>'[24]40102041'!$F$44</f>
        <v>87927.35</v>
      </c>
    </row>
    <row r="323" spans="1:5" ht="15.75" hidden="1" thickTop="1" x14ac:dyDescent="0.2">
      <c r="A323" s="201"/>
      <c r="B323" s="202"/>
      <c r="C323" s="203"/>
      <c r="D323" s="203"/>
      <c r="E323" s="201"/>
    </row>
    <row r="324" spans="1:5" ht="15.75" hidden="1" thickBot="1" x14ac:dyDescent="0.25">
      <c r="A324" s="201" t="s">
        <v>1318</v>
      </c>
      <c r="B324" s="202" t="s">
        <v>1666</v>
      </c>
      <c r="C324" s="203" t="s">
        <v>1667</v>
      </c>
      <c r="D324" s="203" t="s">
        <v>1668</v>
      </c>
      <c r="E324" s="211">
        <f>'[23]40102080'!$F$44</f>
        <v>12166.83</v>
      </c>
    </row>
    <row r="325" spans="1:5" ht="15.75" hidden="1" thickTop="1" x14ac:dyDescent="0.2">
      <c r="A325" s="201"/>
      <c r="B325" s="202"/>
      <c r="C325" s="203"/>
      <c r="D325" s="203"/>
      <c r="E325" s="201"/>
    </row>
    <row r="326" spans="1:5" ht="15.75" hidden="1" thickBot="1" x14ac:dyDescent="0.25">
      <c r="A326" s="201" t="s">
        <v>1318</v>
      </c>
      <c r="B326" s="202" t="s">
        <v>1669</v>
      </c>
      <c r="C326" s="203" t="s">
        <v>1670</v>
      </c>
      <c r="D326" s="203" t="s">
        <v>1671</v>
      </c>
      <c r="E326" s="211">
        <f>'[23]40103030'!$F$44</f>
        <v>1542603.89</v>
      </c>
    </row>
    <row r="327" spans="1:5" ht="15.75" hidden="1" thickTop="1" x14ac:dyDescent="0.2">
      <c r="A327" s="201"/>
      <c r="B327" s="202"/>
      <c r="C327" s="203"/>
      <c r="D327" s="203"/>
      <c r="E327" s="201"/>
    </row>
    <row r="328" spans="1:5" ht="15.75" hidden="1" thickBot="1" x14ac:dyDescent="0.25">
      <c r="A328" s="201" t="s">
        <v>1318</v>
      </c>
      <c r="B328" s="202" t="s">
        <v>1672</v>
      </c>
      <c r="C328" s="203" t="s">
        <v>1673</v>
      </c>
      <c r="D328" s="203" t="s">
        <v>1674</v>
      </c>
      <c r="E328" s="211">
        <f>'[23]40103040'!$F$44</f>
        <v>1456433</v>
      </c>
    </row>
    <row r="329" spans="1:5" ht="15.75" hidden="1" thickTop="1" x14ac:dyDescent="0.2">
      <c r="A329" s="201"/>
      <c r="B329" s="202"/>
      <c r="C329" s="203"/>
      <c r="D329" s="203"/>
      <c r="E329" s="201"/>
    </row>
    <row r="330" spans="1:5" ht="15.75" hidden="1" thickBot="1" x14ac:dyDescent="0.25">
      <c r="A330" s="201" t="s">
        <v>1318</v>
      </c>
      <c r="B330" s="202" t="s">
        <v>1675</v>
      </c>
      <c r="C330" s="203" t="s">
        <v>1676</v>
      </c>
      <c r="D330" s="203" t="s">
        <v>1677</v>
      </c>
      <c r="E330" s="211">
        <f>'[23]40103050'!$F$44</f>
        <v>4200</v>
      </c>
    </row>
    <row r="331" spans="1:5" ht="15.75" hidden="1" thickTop="1" x14ac:dyDescent="0.2">
      <c r="A331" s="201"/>
      <c r="B331" s="202"/>
      <c r="C331" s="203"/>
      <c r="D331" s="203"/>
      <c r="E331" s="201"/>
    </row>
    <row r="332" spans="1:5" ht="15.75" hidden="1" thickBot="1" x14ac:dyDescent="0.25">
      <c r="A332" s="201" t="s">
        <v>1318</v>
      </c>
      <c r="B332" s="202" t="s">
        <v>1678</v>
      </c>
      <c r="C332" s="203" t="s">
        <v>1679</v>
      </c>
      <c r="D332" s="203" t="s">
        <v>37</v>
      </c>
      <c r="E332" s="211">
        <f>'[23]40103060'!$F$44</f>
        <v>12400</v>
      </c>
    </row>
    <row r="333" spans="1:5" ht="15.75" hidden="1" thickTop="1" x14ac:dyDescent="0.2">
      <c r="A333" s="201"/>
      <c r="B333" s="202"/>
      <c r="C333" s="203"/>
      <c r="D333" s="203"/>
      <c r="E333" s="201"/>
    </row>
    <row r="334" spans="1:5" ht="15.75" hidden="1" thickBot="1" x14ac:dyDescent="0.25">
      <c r="A334" s="201" t="s">
        <v>1318</v>
      </c>
      <c r="B334" s="202" t="s">
        <v>1680</v>
      </c>
      <c r="C334" s="203" t="s">
        <v>1681</v>
      </c>
      <c r="D334" s="203" t="s">
        <v>258</v>
      </c>
      <c r="E334" s="211">
        <f>'[23]40103070'!$F$44</f>
        <v>6970</v>
      </c>
    </row>
    <row r="335" spans="1:5" ht="15.75" hidden="1" thickTop="1" x14ac:dyDescent="0.2">
      <c r="A335" s="201"/>
      <c r="B335" s="202"/>
      <c r="C335" s="203"/>
      <c r="D335" s="203"/>
      <c r="E335" s="201"/>
    </row>
    <row r="336" spans="1:5" ht="15.75" hidden="1" thickBot="1" x14ac:dyDescent="0.25">
      <c r="A336" s="201" t="s">
        <v>1318</v>
      </c>
      <c r="B336" s="202" t="s">
        <v>1682</v>
      </c>
      <c r="C336" s="203" t="s">
        <v>1683</v>
      </c>
      <c r="D336" s="203" t="s">
        <v>1043</v>
      </c>
      <c r="E336" s="211">
        <f>'[23]40104990'!$F$44</f>
        <v>3520</v>
      </c>
    </row>
    <row r="337" spans="1:5" ht="15.75" hidden="1" thickTop="1" x14ac:dyDescent="0.2">
      <c r="A337" s="201"/>
      <c r="B337" s="202"/>
      <c r="C337" s="203"/>
      <c r="D337" s="203"/>
      <c r="E337" s="201"/>
    </row>
    <row r="338" spans="1:5" ht="15.75" hidden="1" thickBot="1" x14ac:dyDescent="0.25">
      <c r="A338" s="201" t="s">
        <v>1318</v>
      </c>
      <c r="B338" s="202" t="s">
        <v>1684</v>
      </c>
      <c r="C338" s="203" t="s">
        <v>1685</v>
      </c>
      <c r="D338" s="203" t="s">
        <v>1686</v>
      </c>
      <c r="E338" s="211">
        <f>'[23]40105020'!$F$44</f>
        <v>132016.37</v>
      </c>
    </row>
    <row r="339" spans="1:5" ht="15.75" hidden="1" thickTop="1" x14ac:dyDescent="0.2">
      <c r="A339" s="201"/>
      <c r="B339" s="202"/>
      <c r="C339" s="203"/>
      <c r="D339" s="203"/>
      <c r="E339" s="201"/>
    </row>
    <row r="340" spans="1:5" ht="15.75" hidden="1" thickBot="1" x14ac:dyDescent="0.25">
      <c r="A340" s="201" t="s">
        <v>1318</v>
      </c>
      <c r="B340" s="202" t="s">
        <v>1687</v>
      </c>
      <c r="C340" s="203" t="s">
        <v>1688</v>
      </c>
      <c r="D340" s="203" t="s">
        <v>1050</v>
      </c>
      <c r="E340" s="211">
        <f>'[23]40106010'!$F$44</f>
        <v>125555631</v>
      </c>
    </row>
    <row r="341" spans="1:5" ht="15.75" hidden="1" thickTop="1" x14ac:dyDescent="0.2">
      <c r="A341" s="201"/>
      <c r="B341" s="202"/>
      <c r="C341" s="203"/>
      <c r="D341" s="203"/>
      <c r="E341" s="201"/>
    </row>
    <row r="342" spans="1:5" ht="15.75" hidden="1" thickBot="1" x14ac:dyDescent="0.25">
      <c r="A342" s="201" t="s">
        <v>1318</v>
      </c>
      <c r="B342" s="202" t="s">
        <v>1689</v>
      </c>
      <c r="C342" s="203" t="s">
        <v>1690</v>
      </c>
      <c r="D342" s="203" t="s">
        <v>285</v>
      </c>
      <c r="E342" s="211">
        <f>'[23]40106030'!$F$44</f>
        <v>2108.3200000000002</v>
      </c>
    </row>
    <row r="343" spans="1:5" ht="15.75" hidden="1" thickTop="1" x14ac:dyDescent="0.2">
      <c r="A343" s="201"/>
      <c r="B343" s="202"/>
      <c r="C343" s="203"/>
      <c r="D343" s="203"/>
      <c r="E343" s="201"/>
    </row>
    <row r="344" spans="1:5" ht="15.75" hidden="1" thickBot="1" x14ac:dyDescent="0.25">
      <c r="A344" s="201" t="s">
        <v>1318</v>
      </c>
      <c r="B344" s="202" t="s">
        <v>1691</v>
      </c>
      <c r="C344" s="203" t="s">
        <v>1692</v>
      </c>
      <c r="D344" s="203" t="s">
        <v>130</v>
      </c>
      <c r="E344" s="211">
        <f>'[23]40201010'!$F$44</f>
        <v>787325.23</v>
      </c>
    </row>
    <row r="345" spans="1:5" ht="15.75" hidden="1" thickTop="1" x14ac:dyDescent="0.2">
      <c r="A345" s="201"/>
      <c r="B345" s="202"/>
      <c r="C345" s="203"/>
      <c r="D345" s="203"/>
      <c r="E345" s="201"/>
    </row>
    <row r="346" spans="1:5" ht="15.75" hidden="1" thickBot="1" x14ac:dyDescent="0.25">
      <c r="A346" s="201" t="s">
        <v>1318</v>
      </c>
      <c r="B346" s="202" t="s">
        <v>1693</v>
      </c>
      <c r="C346" s="203" t="s">
        <v>1694</v>
      </c>
      <c r="D346" s="203" t="s">
        <v>43</v>
      </c>
      <c r="E346" s="211">
        <f>'[23]40201020'!$F$44</f>
        <v>46726</v>
      </c>
    </row>
    <row r="347" spans="1:5" ht="15.75" hidden="1" thickTop="1" x14ac:dyDescent="0.2">
      <c r="A347" s="201"/>
      <c r="B347" s="202"/>
      <c r="C347" s="203"/>
      <c r="D347" s="203"/>
      <c r="E347" s="201"/>
    </row>
    <row r="348" spans="1:5" ht="15.75" hidden="1" thickBot="1" x14ac:dyDescent="0.25">
      <c r="A348" s="201" t="s">
        <v>1318</v>
      </c>
      <c r="B348" s="202" t="s">
        <v>1695</v>
      </c>
      <c r="C348" s="203" t="s">
        <v>1696</v>
      </c>
      <c r="D348" s="203" t="s">
        <v>1697</v>
      </c>
      <c r="E348" s="211">
        <f>'[23]40201040'!$F$44</f>
        <v>1031255</v>
      </c>
    </row>
    <row r="349" spans="1:5" ht="15.75" hidden="1" thickTop="1" x14ac:dyDescent="0.2">
      <c r="A349" s="201"/>
      <c r="B349" s="202"/>
      <c r="C349" s="203"/>
      <c r="D349" s="203"/>
      <c r="E349" s="201"/>
    </row>
    <row r="350" spans="1:5" ht="15.75" hidden="1" thickBot="1" x14ac:dyDescent="0.25">
      <c r="A350" s="201" t="s">
        <v>1318</v>
      </c>
      <c r="B350" s="202" t="s">
        <v>1698</v>
      </c>
      <c r="C350" s="203" t="s">
        <v>1699</v>
      </c>
      <c r="D350" s="203" t="s">
        <v>46</v>
      </c>
      <c r="E350" s="211">
        <f>'[23]40201100'!$F$44</f>
        <v>1673650</v>
      </c>
    </row>
    <row r="351" spans="1:5" ht="15.75" hidden="1" thickTop="1" x14ac:dyDescent="0.2">
      <c r="A351" s="201"/>
      <c r="B351" s="202"/>
      <c r="C351" s="203"/>
      <c r="D351" s="203"/>
      <c r="E351" s="201"/>
    </row>
    <row r="352" spans="1:5" ht="15.75" hidden="1" thickBot="1" x14ac:dyDescent="0.25">
      <c r="A352" s="201" t="s">
        <v>1318</v>
      </c>
      <c r="B352" s="202" t="s">
        <v>1700</v>
      </c>
      <c r="C352" s="203" t="s">
        <v>1701</v>
      </c>
      <c r="D352" s="203" t="s">
        <v>1058</v>
      </c>
      <c r="E352" s="211">
        <f>'[23]40201140'!$F$44</f>
        <v>57600</v>
      </c>
    </row>
    <row r="353" spans="1:5" ht="15.75" hidden="1" thickTop="1" x14ac:dyDescent="0.2">
      <c r="A353" s="201"/>
      <c r="B353" s="202"/>
      <c r="C353" s="203"/>
      <c r="D353" s="203"/>
      <c r="E353" s="201"/>
    </row>
    <row r="354" spans="1:5" ht="15.75" hidden="1" thickBot="1" x14ac:dyDescent="0.25">
      <c r="A354" s="201" t="s">
        <v>1318</v>
      </c>
      <c r="B354" s="202" t="s">
        <v>1702</v>
      </c>
      <c r="C354" s="203" t="s">
        <v>1703</v>
      </c>
      <c r="D354" s="203" t="s">
        <v>1704</v>
      </c>
      <c r="E354" s="211">
        <f>'[23]40201160'!$F$44</f>
        <v>9959</v>
      </c>
    </row>
    <row r="355" spans="1:5" ht="15.75" hidden="1" thickTop="1" x14ac:dyDescent="0.2">
      <c r="A355" s="201"/>
      <c r="B355" s="202"/>
      <c r="C355" s="203"/>
      <c r="D355" s="203"/>
      <c r="E355" s="201"/>
    </row>
    <row r="356" spans="1:5" ht="15.75" hidden="1" thickBot="1" x14ac:dyDescent="0.25">
      <c r="A356" s="201" t="s">
        <v>1318</v>
      </c>
      <c r="B356" s="202" t="s">
        <v>1705</v>
      </c>
      <c r="C356" s="203" t="s">
        <v>1706</v>
      </c>
      <c r="D356" s="203" t="s">
        <v>1707</v>
      </c>
      <c r="E356" s="211">
        <f>'[23]40201980'!$F$44</f>
        <v>89174.51999999999</v>
      </c>
    </row>
    <row r="357" spans="1:5" ht="15.75" hidden="1" thickTop="1" x14ac:dyDescent="0.2">
      <c r="A357" s="201"/>
      <c r="B357" s="202"/>
      <c r="C357" s="203"/>
      <c r="D357" s="203"/>
      <c r="E357" s="201"/>
    </row>
    <row r="358" spans="1:5" ht="15.75" hidden="1" thickBot="1" x14ac:dyDescent="0.25">
      <c r="A358" s="201" t="s">
        <v>1318</v>
      </c>
      <c r="B358" s="202" t="s">
        <v>1708</v>
      </c>
      <c r="C358" s="203" t="s">
        <v>1709</v>
      </c>
      <c r="D358" s="203" t="s">
        <v>168</v>
      </c>
      <c r="E358" s="211">
        <f>'[23]40201990'!$F$44</f>
        <v>618104.79999999993</v>
      </c>
    </row>
    <row r="359" spans="1:5" ht="15.75" hidden="1" thickTop="1" x14ac:dyDescent="0.2">
      <c r="A359" s="201"/>
      <c r="B359" s="202"/>
      <c r="C359" s="203"/>
      <c r="D359" s="203"/>
      <c r="E359" s="201"/>
    </row>
    <row r="360" spans="1:5" ht="15.75" hidden="1" thickBot="1" x14ac:dyDescent="0.25">
      <c r="A360" s="201" t="s">
        <v>1318</v>
      </c>
      <c r="B360" s="202" t="s">
        <v>1710</v>
      </c>
      <c r="C360" s="203" t="s">
        <v>1711</v>
      </c>
      <c r="D360" s="203" t="s">
        <v>170</v>
      </c>
      <c r="E360" s="211">
        <f>'[23]40202050'!$F$44</f>
        <v>24620</v>
      </c>
    </row>
    <row r="361" spans="1:5" ht="15.75" hidden="1" thickTop="1" x14ac:dyDescent="0.2">
      <c r="A361" s="201"/>
      <c r="B361" s="202"/>
      <c r="C361" s="203"/>
      <c r="D361" s="203"/>
      <c r="E361" s="201"/>
    </row>
    <row r="362" spans="1:5" ht="15.75" hidden="1" thickBot="1" x14ac:dyDescent="0.25">
      <c r="A362" s="201" t="s">
        <v>1318</v>
      </c>
      <c r="B362" s="202" t="s">
        <v>1712</v>
      </c>
      <c r="C362" s="203" t="s">
        <v>1713</v>
      </c>
      <c r="D362" s="203" t="s">
        <v>1714</v>
      </c>
      <c r="E362" s="211">
        <f>'[23]40202140'!$F$44</f>
        <v>854555</v>
      </c>
    </row>
    <row r="363" spans="1:5" ht="15.75" hidden="1" thickTop="1" x14ac:dyDescent="0.2">
      <c r="A363" s="201"/>
      <c r="B363" s="202"/>
      <c r="C363" s="203"/>
      <c r="D363" s="203"/>
      <c r="E363" s="201"/>
    </row>
    <row r="364" spans="1:5" ht="15.75" hidden="1" thickBot="1" x14ac:dyDescent="0.25">
      <c r="A364" s="201" t="s">
        <v>1318</v>
      </c>
      <c r="B364" s="202" t="s">
        <v>1715</v>
      </c>
      <c r="C364" s="203" t="s">
        <v>1716</v>
      </c>
      <c r="D364" s="203" t="s">
        <v>1717</v>
      </c>
      <c r="E364" s="211">
        <f>'[23]40202150'!$F$44</f>
        <v>296770</v>
      </c>
    </row>
    <row r="365" spans="1:5" ht="15.75" hidden="1" thickTop="1" x14ac:dyDescent="0.2">
      <c r="A365" s="201"/>
      <c r="B365" s="202"/>
      <c r="C365" s="203"/>
      <c r="D365" s="203"/>
      <c r="E365" s="201"/>
    </row>
    <row r="366" spans="1:5" ht="15.75" hidden="1" thickBot="1" x14ac:dyDescent="0.25">
      <c r="A366" s="201" t="s">
        <v>1318</v>
      </c>
      <c r="B366" s="202" t="s">
        <v>1718</v>
      </c>
      <c r="C366" s="203" t="s">
        <v>1719</v>
      </c>
      <c r="D366" s="203" t="s">
        <v>1720</v>
      </c>
      <c r="E366" s="211">
        <f>'[23]40202160'!$F$44</f>
        <v>1215870</v>
      </c>
    </row>
    <row r="367" spans="1:5" ht="15.75" hidden="1" thickTop="1" x14ac:dyDescent="0.2">
      <c r="A367" s="201"/>
      <c r="B367" s="202"/>
      <c r="C367" s="203"/>
      <c r="D367" s="203"/>
      <c r="E367" s="201"/>
    </row>
    <row r="368" spans="1:5" ht="15.75" hidden="1" thickBot="1" x14ac:dyDescent="0.25">
      <c r="A368" s="201" t="s">
        <v>1318</v>
      </c>
      <c r="B368" s="202" t="s">
        <v>1721</v>
      </c>
      <c r="C368" s="203" t="s">
        <v>1722</v>
      </c>
      <c r="D368" s="203" t="s">
        <v>83</v>
      </c>
      <c r="E368" s="211">
        <f>'[23]40202190'!$F$44</f>
        <v>131000</v>
      </c>
    </row>
    <row r="369" spans="1:5" ht="15.75" hidden="1" thickTop="1" x14ac:dyDescent="0.2">
      <c r="A369" s="201"/>
      <c r="B369" s="202"/>
      <c r="C369" s="203"/>
      <c r="D369" s="203"/>
      <c r="E369" s="201"/>
    </row>
    <row r="370" spans="1:5" ht="15.75" hidden="1" thickBot="1" x14ac:dyDescent="0.25">
      <c r="A370" s="201" t="s">
        <v>1318</v>
      </c>
      <c r="B370" s="202" t="s">
        <v>1723</v>
      </c>
      <c r="C370" s="203" t="s">
        <v>1724</v>
      </c>
      <c r="D370" s="203" t="s">
        <v>49</v>
      </c>
      <c r="E370" s="211">
        <f>'[23]40202220'!$F$44</f>
        <v>88103.92</v>
      </c>
    </row>
    <row r="371" spans="1:5" ht="15.75" hidden="1" thickTop="1" x14ac:dyDescent="0.2">
      <c r="A371" s="201"/>
      <c r="B371" s="202"/>
      <c r="C371" s="203"/>
      <c r="D371" s="203"/>
      <c r="E371" s="201"/>
    </row>
    <row r="372" spans="1:5" ht="15.75" hidden="1" thickBot="1" x14ac:dyDescent="0.25">
      <c r="A372" s="201" t="s">
        <v>1318</v>
      </c>
      <c r="B372" s="202" t="s">
        <v>1725</v>
      </c>
      <c r="C372" s="203" t="s">
        <v>1726</v>
      </c>
      <c r="D372" s="203" t="s">
        <v>185</v>
      </c>
      <c r="E372" s="211">
        <f>'[23]40202990'!$F$44</f>
        <v>45040.24</v>
      </c>
    </row>
    <row r="373" spans="1:5" ht="15.75" hidden="1" thickTop="1" x14ac:dyDescent="0.2">
      <c r="A373" s="201"/>
      <c r="B373" s="202"/>
      <c r="C373" s="203"/>
      <c r="D373" s="203"/>
      <c r="E373" s="201"/>
    </row>
    <row r="374" spans="1:5" ht="15.75" hidden="1" thickBot="1" x14ac:dyDescent="0.25">
      <c r="A374" s="201" t="s">
        <v>1318</v>
      </c>
      <c r="B374" s="202" t="s">
        <v>1727</v>
      </c>
      <c r="C374" s="203" t="s">
        <v>1728</v>
      </c>
      <c r="D374" s="203" t="s">
        <v>1110</v>
      </c>
      <c r="E374" s="211">
        <f>'[23]40401020'!$F$44</f>
        <v>802877.62</v>
      </c>
    </row>
    <row r="375" spans="1:5" ht="15.75" hidden="1" thickTop="1" x14ac:dyDescent="0.2">
      <c r="A375" s="201"/>
      <c r="B375" s="202"/>
      <c r="C375" s="203"/>
      <c r="D375" s="203"/>
      <c r="E375" s="201"/>
    </row>
    <row r="376" spans="1:5" ht="15.75" hidden="1" thickBot="1" x14ac:dyDescent="0.25">
      <c r="A376" s="201" t="s">
        <v>1318</v>
      </c>
      <c r="B376" s="202" t="s">
        <v>1729</v>
      </c>
      <c r="C376" s="203" t="s">
        <v>1730</v>
      </c>
      <c r="D376" s="203" t="s">
        <v>1112</v>
      </c>
      <c r="E376" s="211">
        <f>'[23]40402010'!$F$44</f>
        <v>115000</v>
      </c>
    </row>
    <row r="377" spans="1:5" ht="15.75" hidden="1" thickTop="1" x14ac:dyDescent="0.2">
      <c r="A377" s="201"/>
      <c r="B377" s="202"/>
      <c r="C377" s="203"/>
      <c r="D377" s="203"/>
      <c r="E377" s="201"/>
    </row>
    <row r="378" spans="1:5" ht="15.75" hidden="1" thickBot="1" x14ac:dyDescent="0.25">
      <c r="A378" s="201" t="s">
        <v>1318</v>
      </c>
      <c r="B378" s="202" t="s">
        <v>1731</v>
      </c>
      <c r="C378" s="203" t="s">
        <v>1732</v>
      </c>
      <c r="D378" s="203" t="s">
        <v>1733</v>
      </c>
      <c r="E378" s="211">
        <f>'[24]50101010'!$F$48</f>
        <v>38044617.489999995</v>
      </c>
    </row>
    <row r="379" spans="1:5" ht="15.75" hidden="1" thickTop="1" x14ac:dyDescent="0.2">
      <c r="A379" s="201"/>
      <c r="B379" s="202"/>
      <c r="C379" s="203"/>
      <c r="D379" s="203"/>
      <c r="E379" s="201"/>
    </row>
    <row r="380" spans="1:5" ht="15.75" hidden="1" thickBot="1" x14ac:dyDescent="0.25">
      <c r="A380" s="201" t="s">
        <v>1318</v>
      </c>
      <c r="B380" s="202" t="s">
        <v>1734</v>
      </c>
      <c r="C380" s="203" t="s">
        <v>1735</v>
      </c>
      <c r="D380" s="203" t="s">
        <v>1736</v>
      </c>
      <c r="E380" s="211">
        <f>'[24]50101020'!$F$46</f>
        <v>11671987.190000001</v>
      </c>
    </row>
    <row r="381" spans="1:5" ht="15.75" hidden="1" thickTop="1" x14ac:dyDescent="0.2">
      <c r="A381" s="201"/>
      <c r="B381" s="202"/>
      <c r="C381" s="203"/>
      <c r="D381" s="203"/>
      <c r="E381" s="201"/>
    </row>
    <row r="382" spans="1:5" ht="15.75" hidden="1" thickBot="1" x14ac:dyDescent="0.25">
      <c r="A382" s="201" t="s">
        <v>1318</v>
      </c>
      <c r="B382" s="202" t="s">
        <v>1737</v>
      </c>
      <c r="C382" s="203" t="s">
        <v>1738</v>
      </c>
      <c r="D382" s="203" t="s">
        <v>52</v>
      </c>
      <c r="E382" s="211">
        <f>'[24]50102010'!$F$47</f>
        <v>5537108.1799999997</v>
      </c>
    </row>
    <row r="383" spans="1:5" ht="15.75" hidden="1" thickTop="1" x14ac:dyDescent="0.2">
      <c r="A383" s="201"/>
      <c r="B383" s="202"/>
      <c r="C383" s="203"/>
      <c r="D383" s="203"/>
      <c r="E383" s="201"/>
    </row>
    <row r="384" spans="1:5" ht="15.75" hidden="1" thickBot="1" x14ac:dyDescent="0.25">
      <c r="A384" s="201" t="s">
        <v>1318</v>
      </c>
      <c r="B384" s="202" t="s">
        <v>1739</v>
      </c>
      <c r="C384" s="203" t="s">
        <v>1740</v>
      </c>
      <c r="D384" s="203" t="s">
        <v>58</v>
      </c>
      <c r="E384" s="211">
        <f>'[24]50102020'!$F$45</f>
        <v>1791000</v>
      </c>
    </row>
    <row r="385" spans="1:5" ht="15.75" hidden="1" thickTop="1" x14ac:dyDescent="0.2">
      <c r="A385" s="201"/>
      <c r="B385" s="202"/>
      <c r="C385" s="203"/>
      <c r="D385" s="203"/>
      <c r="E385" s="201"/>
    </row>
    <row r="386" spans="1:5" ht="15.75" hidden="1" thickBot="1" x14ac:dyDescent="0.25">
      <c r="A386" s="201" t="s">
        <v>1318</v>
      </c>
      <c r="B386" s="202" t="s">
        <v>1741</v>
      </c>
      <c r="C386" s="203" t="s">
        <v>1742</v>
      </c>
      <c r="D386" s="203" t="s">
        <v>59</v>
      </c>
      <c r="E386" s="211">
        <f>'[24]50102030'!$F$46</f>
        <v>1791000</v>
      </c>
    </row>
    <row r="387" spans="1:5" ht="15.75" hidden="1" thickTop="1" x14ac:dyDescent="0.2">
      <c r="A387" s="201"/>
      <c r="B387" s="202"/>
      <c r="C387" s="203"/>
      <c r="D387" s="203"/>
      <c r="E387" s="201"/>
    </row>
    <row r="388" spans="1:5" ht="15.75" hidden="1" thickBot="1" x14ac:dyDescent="0.25">
      <c r="A388" s="201" t="s">
        <v>1318</v>
      </c>
      <c r="B388" s="202" t="s">
        <v>1743</v>
      </c>
      <c r="C388" s="203" t="s">
        <v>1744</v>
      </c>
      <c r="D388" s="203" t="s">
        <v>19</v>
      </c>
      <c r="E388" s="211">
        <f>'[24]50102040'!$F$44</f>
        <v>1467000</v>
      </c>
    </row>
    <row r="389" spans="1:5" ht="15.75" hidden="1" thickTop="1" x14ac:dyDescent="0.2">
      <c r="A389" s="201"/>
      <c r="B389" s="202"/>
      <c r="C389" s="203"/>
      <c r="D389" s="203"/>
      <c r="E389" s="201"/>
    </row>
    <row r="390" spans="1:5" ht="15.75" hidden="1" thickBot="1" x14ac:dyDescent="0.25">
      <c r="A390" s="201" t="s">
        <v>1318</v>
      </c>
      <c r="B390" s="202" t="s">
        <v>1745</v>
      </c>
      <c r="C390" s="203" t="s">
        <v>1746</v>
      </c>
      <c r="D390" s="203" t="s">
        <v>1134</v>
      </c>
      <c r="E390" s="211">
        <f>'[24]50102050'!$F$45</f>
        <v>435150</v>
      </c>
    </row>
    <row r="391" spans="1:5" ht="15.75" hidden="1" thickTop="1" x14ac:dyDescent="0.2">
      <c r="A391" s="201"/>
      <c r="B391" s="202"/>
      <c r="C391" s="203"/>
      <c r="D391" s="203"/>
      <c r="E391" s="201"/>
    </row>
    <row r="392" spans="1:5" ht="15.75" hidden="1" thickBot="1" x14ac:dyDescent="0.25">
      <c r="A392" s="201" t="s">
        <v>1318</v>
      </c>
      <c r="B392" s="202" t="s">
        <v>1747</v>
      </c>
      <c r="C392" s="203" t="s">
        <v>1748</v>
      </c>
      <c r="D392" s="203" t="s">
        <v>1749</v>
      </c>
      <c r="E392" s="211">
        <f>'[24]50102060'!$F$45</f>
        <v>42450</v>
      </c>
    </row>
    <row r="393" spans="1:5" ht="15.75" hidden="1" thickTop="1" x14ac:dyDescent="0.2">
      <c r="A393" s="201"/>
      <c r="B393" s="202"/>
      <c r="C393" s="203"/>
      <c r="D393" s="203"/>
      <c r="E393" s="201"/>
    </row>
    <row r="394" spans="1:5" ht="15.75" hidden="1" thickBot="1" x14ac:dyDescent="0.25">
      <c r="A394" s="201" t="s">
        <v>1318</v>
      </c>
      <c r="B394" s="202" t="s">
        <v>1750</v>
      </c>
      <c r="C394" s="203" t="s">
        <v>1751</v>
      </c>
      <c r="D394" s="203" t="s">
        <v>21</v>
      </c>
      <c r="E394" s="211">
        <f>'[24]50102100'!$F$49</f>
        <v>885427</v>
      </c>
    </row>
    <row r="395" spans="1:5" ht="15.75" hidden="1" thickTop="1" x14ac:dyDescent="0.2">
      <c r="A395" s="201"/>
      <c r="B395" s="202"/>
      <c r="C395" s="203"/>
      <c r="D395" s="203"/>
      <c r="E395" s="201"/>
    </row>
    <row r="396" spans="1:5" ht="15.75" hidden="1" thickBot="1" x14ac:dyDescent="0.25">
      <c r="A396" s="201" t="s">
        <v>1318</v>
      </c>
      <c r="B396" s="202" t="s">
        <v>1752</v>
      </c>
      <c r="C396" s="203" t="s">
        <v>1753</v>
      </c>
      <c r="D396" s="203" t="s">
        <v>139</v>
      </c>
      <c r="E396" s="211">
        <f>'[24]50102110'!$F$45</f>
        <v>650677.5</v>
      </c>
    </row>
    <row r="397" spans="1:5" ht="15.75" hidden="1" thickTop="1" x14ac:dyDescent="0.2">
      <c r="A397" s="201"/>
      <c r="B397" s="202"/>
      <c r="C397" s="203"/>
      <c r="D397" s="203"/>
      <c r="E397" s="201"/>
    </row>
    <row r="398" spans="1:5" ht="15.75" hidden="1" thickBot="1" x14ac:dyDescent="0.25">
      <c r="A398" s="201" t="s">
        <v>1318</v>
      </c>
      <c r="B398" s="202" t="s">
        <v>1754</v>
      </c>
      <c r="C398" s="203" t="s">
        <v>1755</v>
      </c>
      <c r="D398" s="203" t="s">
        <v>1756</v>
      </c>
      <c r="E398" s="211">
        <f>'[24]50102130'!$F$47</f>
        <v>583620.73</v>
      </c>
    </row>
    <row r="399" spans="1:5" ht="15.75" hidden="1" thickTop="1" x14ac:dyDescent="0.2">
      <c r="A399" s="201"/>
      <c r="B399" s="202"/>
      <c r="C399" s="203"/>
      <c r="D399" s="203"/>
      <c r="E399" s="201"/>
    </row>
    <row r="400" spans="1:5" ht="15.75" hidden="1" thickBot="1" x14ac:dyDescent="0.25">
      <c r="A400" s="201" t="s">
        <v>1318</v>
      </c>
      <c r="B400" s="202" t="s">
        <v>1757</v>
      </c>
      <c r="C400" s="203" t="s">
        <v>1758</v>
      </c>
      <c r="D400" s="203" t="s">
        <v>1759</v>
      </c>
      <c r="E400" s="211">
        <f>'[24]50102140'!$F$44</f>
        <v>7216012.0999999996</v>
      </c>
    </row>
    <row r="401" spans="1:5" ht="15.75" hidden="1" thickTop="1" x14ac:dyDescent="0.2">
      <c r="A401" s="201"/>
      <c r="B401" s="202"/>
      <c r="C401" s="203"/>
      <c r="D401" s="203"/>
      <c r="E401" s="201"/>
    </row>
    <row r="402" spans="1:5" ht="15.75" hidden="1" thickBot="1" x14ac:dyDescent="0.25">
      <c r="A402" s="201" t="s">
        <v>1318</v>
      </c>
      <c r="B402" s="202" t="s">
        <v>1760</v>
      </c>
      <c r="C402" s="203" t="s">
        <v>1761</v>
      </c>
      <c r="D402" s="203" t="s">
        <v>23</v>
      </c>
      <c r="E402" s="211">
        <f>'[24]50102150'!$F$44</f>
        <v>1207000</v>
      </c>
    </row>
    <row r="403" spans="1:5" ht="15.75" hidden="1" thickTop="1" x14ac:dyDescent="0.2">
      <c r="A403" s="201"/>
      <c r="B403" s="202"/>
      <c r="C403" s="203"/>
      <c r="D403" s="203"/>
      <c r="E403" s="201"/>
    </row>
    <row r="404" spans="1:5" ht="15.75" hidden="1" thickBot="1" x14ac:dyDescent="0.25">
      <c r="A404" s="201" t="s">
        <v>1318</v>
      </c>
      <c r="B404" s="202" t="s">
        <v>1762</v>
      </c>
      <c r="C404" s="203" t="s">
        <v>1763</v>
      </c>
      <c r="D404" s="203" t="s">
        <v>1764</v>
      </c>
      <c r="E404" s="211">
        <f>'[24]50102990'!$F$44</f>
        <v>1217300</v>
      </c>
    </row>
    <row r="405" spans="1:5" ht="15.75" hidden="1" thickTop="1" x14ac:dyDescent="0.2">
      <c r="A405" s="201"/>
      <c r="B405" s="202"/>
      <c r="C405" s="203"/>
      <c r="D405" s="203"/>
      <c r="E405" s="201"/>
    </row>
    <row r="406" spans="1:5" ht="15.75" hidden="1" thickBot="1" x14ac:dyDescent="0.25">
      <c r="A406" s="201" t="s">
        <v>1318</v>
      </c>
      <c r="B406" s="202" t="s">
        <v>1765</v>
      </c>
      <c r="C406" s="203" t="s">
        <v>1766</v>
      </c>
      <c r="D406" s="203" t="s">
        <v>1767</v>
      </c>
      <c r="E406" s="211">
        <f>'[24]50103010'!$F$48</f>
        <v>5204474.08</v>
      </c>
    </row>
    <row r="407" spans="1:5" ht="15.75" hidden="1" thickTop="1" x14ac:dyDescent="0.2">
      <c r="A407" s="201"/>
      <c r="B407" s="202"/>
      <c r="C407" s="203"/>
      <c r="D407" s="203"/>
      <c r="E407" s="201"/>
    </row>
    <row r="408" spans="1:5" ht="15.75" hidden="1" thickBot="1" x14ac:dyDescent="0.25">
      <c r="A408" s="201" t="s">
        <v>1318</v>
      </c>
      <c r="B408" s="202" t="s">
        <v>1768</v>
      </c>
      <c r="C408" s="203" t="s">
        <v>1769</v>
      </c>
      <c r="D408" s="203" t="s">
        <v>60</v>
      </c>
      <c r="E408" s="211">
        <f>'[24]50103020'!$F$45</f>
        <v>286800</v>
      </c>
    </row>
    <row r="409" spans="1:5" ht="15.75" hidden="1" thickTop="1" x14ac:dyDescent="0.2">
      <c r="A409" s="201"/>
      <c r="B409" s="202"/>
      <c r="C409" s="203"/>
      <c r="D409" s="203"/>
      <c r="E409" s="201"/>
    </row>
    <row r="410" spans="1:5" ht="15.75" hidden="1" thickBot="1" x14ac:dyDescent="0.25">
      <c r="A410" s="201" t="s">
        <v>1318</v>
      </c>
      <c r="B410" s="202" t="s">
        <v>1770</v>
      </c>
      <c r="C410" s="203" t="s">
        <v>1771</v>
      </c>
      <c r="D410" s="203" t="s">
        <v>193</v>
      </c>
      <c r="E410" s="211">
        <f>'[24]50103030'!$F$46</f>
        <v>619685.81000000006</v>
      </c>
    </row>
    <row r="411" spans="1:5" ht="15.75" hidden="1" thickTop="1" x14ac:dyDescent="0.2">
      <c r="A411" s="201"/>
      <c r="B411" s="202"/>
      <c r="C411" s="203"/>
      <c r="D411" s="203"/>
      <c r="E411" s="201"/>
    </row>
    <row r="412" spans="1:5" ht="15.75" hidden="1" thickBot="1" x14ac:dyDescent="0.25">
      <c r="A412" s="201" t="s">
        <v>1318</v>
      </c>
      <c r="B412" s="202" t="s">
        <v>1772</v>
      </c>
      <c r="C412" s="203" t="s">
        <v>1773</v>
      </c>
      <c r="D412" s="203" t="s">
        <v>1142</v>
      </c>
      <c r="E412" s="211">
        <f>'[24]50103040'!$F$47</f>
        <v>220310.63</v>
      </c>
    </row>
    <row r="413" spans="1:5" ht="15.75" hidden="1" thickTop="1" x14ac:dyDescent="0.2">
      <c r="A413" s="201"/>
      <c r="B413" s="202"/>
      <c r="C413" s="203"/>
      <c r="D413" s="203"/>
      <c r="E413" s="201"/>
    </row>
    <row r="414" spans="1:5" ht="15.75" hidden="1" thickBot="1" x14ac:dyDescent="0.25">
      <c r="A414" s="201" t="s">
        <v>1318</v>
      </c>
      <c r="B414" s="202" t="s">
        <v>1774</v>
      </c>
      <c r="C414" s="203" t="s">
        <v>1775</v>
      </c>
      <c r="D414" s="203" t="s">
        <v>25</v>
      </c>
      <c r="E414" s="211">
        <f>'[24]50104030'!$F$44</f>
        <v>1090389.1200000001</v>
      </c>
    </row>
    <row r="415" spans="1:5" ht="15.75" hidden="1" thickTop="1" x14ac:dyDescent="0.2">
      <c r="A415" s="201"/>
      <c r="B415" s="202"/>
      <c r="C415" s="203"/>
      <c r="D415" s="203"/>
      <c r="E415" s="201"/>
    </row>
    <row r="416" spans="1:5" ht="15.75" hidden="1" thickBot="1" x14ac:dyDescent="0.25">
      <c r="A416" s="201" t="s">
        <v>1318</v>
      </c>
      <c r="B416" s="202" t="s">
        <v>1776</v>
      </c>
      <c r="C416" s="203" t="s">
        <v>1777</v>
      </c>
      <c r="D416" s="203" t="s">
        <v>1317</v>
      </c>
      <c r="E416" s="211">
        <f>'[24]50104990'!$F$44</f>
        <v>1853757.5000000002</v>
      </c>
    </row>
    <row r="417" spans="1:5" ht="15.75" hidden="1" thickTop="1" x14ac:dyDescent="0.2">
      <c r="A417" s="201"/>
      <c r="B417" s="202"/>
      <c r="C417" s="203"/>
      <c r="D417" s="203"/>
      <c r="E417" s="201"/>
    </row>
    <row r="418" spans="1:5" ht="15.75" hidden="1" thickBot="1" x14ac:dyDescent="0.25">
      <c r="A418" s="201" t="s">
        <v>1318</v>
      </c>
      <c r="B418" s="202" t="s">
        <v>1778</v>
      </c>
      <c r="C418" s="203" t="s">
        <v>1780</v>
      </c>
      <c r="D418" s="203" t="s">
        <v>495</v>
      </c>
      <c r="E418" s="211">
        <f>'[24]50201010'!$F$63</f>
        <v>1867431.35</v>
      </c>
    </row>
    <row r="419" spans="1:5" ht="15.75" hidden="1" thickTop="1" x14ac:dyDescent="0.2">
      <c r="A419" s="201"/>
      <c r="B419" s="202"/>
      <c r="C419" s="203"/>
      <c r="D419" s="203"/>
      <c r="E419" s="201"/>
    </row>
    <row r="420" spans="1:5" ht="15.75" hidden="1" thickBot="1" x14ac:dyDescent="0.25">
      <c r="A420" s="201" t="s">
        <v>1318</v>
      </c>
      <c r="B420" s="202" t="s">
        <v>1781</v>
      </c>
      <c r="C420" s="203" t="s">
        <v>1779</v>
      </c>
      <c r="D420" s="203" t="s">
        <v>27</v>
      </c>
      <c r="E420" s="211">
        <f>'[24]50202010'!$F$53</f>
        <v>1011999.99</v>
      </c>
    </row>
    <row r="421" spans="1:5" ht="15.75" hidden="1" thickTop="1" x14ac:dyDescent="0.2">
      <c r="A421" s="201"/>
      <c r="B421" s="202"/>
      <c r="C421" s="203"/>
      <c r="D421" s="203"/>
      <c r="E421" s="201"/>
    </row>
    <row r="422" spans="1:5" ht="15.75" hidden="1" thickBot="1" x14ac:dyDescent="0.25">
      <c r="A422" s="201" t="s">
        <v>1318</v>
      </c>
      <c r="B422" s="202" t="s">
        <v>1782</v>
      </c>
      <c r="C422" s="203" t="s">
        <v>1783</v>
      </c>
      <c r="D422" s="203" t="s">
        <v>28</v>
      </c>
      <c r="E422" s="211">
        <f>'[24]50203010'!$F$49</f>
        <v>591672.13</v>
      </c>
    </row>
    <row r="423" spans="1:5" ht="15.75" hidden="1" thickTop="1" x14ac:dyDescent="0.2">
      <c r="A423" s="201"/>
      <c r="B423" s="202"/>
      <c r="C423" s="203"/>
      <c r="D423" s="203"/>
      <c r="E423" s="201"/>
    </row>
    <row r="424" spans="1:5" ht="15.75" hidden="1" thickBot="1" x14ac:dyDescent="0.25">
      <c r="A424" s="201" t="s">
        <v>1318</v>
      </c>
      <c r="B424" s="202" t="s">
        <v>1784</v>
      </c>
      <c r="C424" s="203" t="s">
        <v>1785</v>
      </c>
      <c r="D424" s="203" t="s">
        <v>61</v>
      </c>
      <c r="E424" s="211">
        <f>'[24]50203020'!$F$44</f>
        <v>133010</v>
      </c>
    </row>
    <row r="425" spans="1:5" ht="15.75" hidden="1" thickTop="1" x14ac:dyDescent="0.2">
      <c r="A425" s="201"/>
      <c r="B425" s="202"/>
      <c r="C425" s="203"/>
      <c r="D425" s="203"/>
      <c r="E425" s="201"/>
    </row>
    <row r="426" spans="1:5" ht="15.75" hidden="1" thickBot="1" x14ac:dyDescent="0.25">
      <c r="A426" s="201" t="s">
        <v>1318</v>
      </c>
      <c r="B426" s="202" t="s">
        <v>1786</v>
      </c>
      <c r="C426" s="203" t="s">
        <v>1787</v>
      </c>
      <c r="D426" s="203" t="s">
        <v>1151</v>
      </c>
      <c r="E426" s="211">
        <f>'[24]50203060'!$F$44</f>
        <v>55739</v>
      </c>
    </row>
    <row r="427" spans="1:5" ht="15.75" hidden="1" thickTop="1" x14ac:dyDescent="0.2">
      <c r="A427" s="201"/>
      <c r="B427" s="202"/>
      <c r="C427" s="203"/>
      <c r="D427" s="203"/>
      <c r="E427" s="201"/>
    </row>
    <row r="428" spans="1:5" ht="15.75" hidden="1" thickBot="1" x14ac:dyDescent="0.25">
      <c r="A428" s="201" t="s">
        <v>1318</v>
      </c>
      <c r="B428" s="202" t="s">
        <v>1788</v>
      </c>
      <c r="C428" s="203" t="s">
        <v>1789</v>
      </c>
      <c r="D428" s="203" t="s">
        <v>1790</v>
      </c>
      <c r="E428" s="211">
        <f>'[24]50203070'!$F$44</f>
        <v>783247.35</v>
      </c>
    </row>
    <row r="429" spans="1:5" ht="15.75" hidden="1" thickTop="1" x14ac:dyDescent="0.2">
      <c r="A429" s="201"/>
      <c r="B429" s="202"/>
      <c r="C429" s="203"/>
      <c r="D429" s="203"/>
      <c r="E429" s="201"/>
    </row>
    <row r="430" spans="1:5" ht="15.75" hidden="1" thickBot="1" x14ac:dyDescent="0.25">
      <c r="A430" s="201" t="s">
        <v>1318</v>
      </c>
      <c r="B430" s="202" t="s">
        <v>1791</v>
      </c>
      <c r="C430" s="203" t="s">
        <v>1792</v>
      </c>
      <c r="D430" s="203" t="s">
        <v>1793</v>
      </c>
      <c r="E430" s="211">
        <f>'[24]50203080'!$F$44</f>
        <v>59021</v>
      </c>
    </row>
    <row r="431" spans="1:5" ht="15.75" hidden="1" thickTop="1" x14ac:dyDescent="0.2">
      <c r="A431" s="201"/>
      <c r="B431" s="202"/>
      <c r="C431" s="203"/>
      <c r="D431" s="203"/>
      <c r="E431" s="201"/>
    </row>
    <row r="432" spans="1:5" ht="15.75" hidden="1" thickBot="1" x14ac:dyDescent="0.25">
      <c r="A432" s="201" t="s">
        <v>1318</v>
      </c>
      <c r="B432" s="202" t="s">
        <v>1794</v>
      </c>
      <c r="C432" s="203" t="s">
        <v>1795</v>
      </c>
      <c r="D432" s="203" t="s">
        <v>1796</v>
      </c>
      <c r="E432" s="211">
        <f>'[24]50203090'!$F$47</f>
        <v>941307.58</v>
      </c>
    </row>
    <row r="433" spans="1:5" ht="15.75" hidden="1" thickTop="1" x14ac:dyDescent="0.2">
      <c r="A433" s="201"/>
      <c r="B433" s="202"/>
      <c r="C433" s="203"/>
      <c r="D433" s="203"/>
      <c r="E433" s="201"/>
    </row>
    <row r="434" spans="1:5" ht="15.75" hidden="1" thickBot="1" x14ac:dyDescent="0.25">
      <c r="A434" s="201" t="s">
        <v>1318</v>
      </c>
      <c r="B434" s="202" t="s">
        <v>1797</v>
      </c>
      <c r="C434" s="203" t="s">
        <v>1798</v>
      </c>
      <c r="D434" s="203" t="s">
        <v>1799</v>
      </c>
      <c r="E434" s="211">
        <f>'[24]50203100'!$F$44</f>
        <v>155313.5</v>
      </c>
    </row>
    <row r="435" spans="1:5" ht="15.75" hidden="1" thickTop="1" x14ac:dyDescent="0.2">
      <c r="A435" s="201"/>
      <c r="B435" s="202"/>
      <c r="C435" s="203"/>
      <c r="D435" s="203"/>
      <c r="E435" s="201"/>
    </row>
    <row r="436" spans="1:5" ht="15.75" hidden="1" thickBot="1" x14ac:dyDescent="0.25">
      <c r="A436" s="201" t="s">
        <v>1318</v>
      </c>
      <c r="B436" s="202" t="s">
        <v>1800</v>
      </c>
      <c r="C436" s="203" t="s">
        <v>1801</v>
      </c>
      <c r="D436" s="203" t="s">
        <v>1802</v>
      </c>
      <c r="E436" s="211">
        <f>'[24]50203110'!$F$44</f>
        <v>19244</v>
      </c>
    </row>
    <row r="437" spans="1:5" ht="15.75" hidden="1" thickTop="1" x14ac:dyDescent="0.2">
      <c r="A437" s="201"/>
      <c r="B437" s="202"/>
      <c r="C437" s="203"/>
      <c r="D437" s="203"/>
      <c r="E437" s="201"/>
    </row>
    <row r="438" spans="1:5" ht="15.75" hidden="1" thickBot="1" x14ac:dyDescent="0.25">
      <c r="A438" s="201" t="s">
        <v>1318</v>
      </c>
      <c r="B438" s="202" t="s">
        <v>1803</v>
      </c>
      <c r="C438" s="203" t="s">
        <v>1804</v>
      </c>
      <c r="D438" s="203" t="s">
        <v>1805</v>
      </c>
      <c r="E438" s="211">
        <f>'[24]50203120'!$F$44</f>
        <v>45000</v>
      </c>
    </row>
    <row r="439" spans="1:5" ht="15.75" hidden="1" thickTop="1" x14ac:dyDescent="0.2">
      <c r="A439" s="201"/>
      <c r="B439" s="202"/>
      <c r="C439" s="203"/>
      <c r="D439" s="203"/>
      <c r="E439" s="201"/>
    </row>
    <row r="440" spans="1:5" ht="15.75" hidden="1" thickBot="1" x14ac:dyDescent="0.25">
      <c r="A440" s="201" t="s">
        <v>1318</v>
      </c>
      <c r="B440" s="202" t="s">
        <v>1806</v>
      </c>
      <c r="C440" s="203" t="s">
        <v>1807</v>
      </c>
      <c r="D440" s="203" t="s">
        <v>1156</v>
      </c>
      <c r="E440" s="211">
        <f>'[24]50203990'!$F$53</f>
        <v>778443.25</v>
      </c>
    </row>
    <row r="441" spans="1:5" ht="15.75" hidden="1" thickTop="1" x14ac:dyDescent="0.2">
      <c r="A441" s="201"/>
      <c r="B441" s="202"/>
      <c r="C441" s="203"/>
      <c r="D441" s="203"/>
      <c r="E441" s="201"/>
    </row>
    <row r="442" spans="1:5" ht="15.75" hidden="1" thickBot="1" x14ac:dyDescent="0.25">
      <c r="A442" s="201" t="s">
        <v>1318</v>
      </c>
      <c r="B442" s="202" t="s">
        <v>1808</v>
      </c>
      <c r="C442" s="203" t="s">
        <v>1809</v>
      </c>
      <c r="D442" s="203" t="s">
        <v>72</v>
      </c>
      <c r="E442" s="211">
        <f>'[24]50204010'!$F$44</f>
        <v>243735.5</v>
      </c>
    </row>
    <row r="443" spans="1:5" ht="15.75" hidden="1" thickTop="1" x14ac:dyDescent="0.2">
      <c r="A443" s="201"/>
      <c r="B443" s="202"/>
      <c r="C443" s="203"/>
      <c r="D443" s="203"/>
      <c r="E443" s="201"/>
    </row>
    <row r="444" spans="1:5" ht="15.75" hidden="1" thickBot="1" x14ac:dyDescent="0.25">
      <c r="A444" s="201" t="s">
        <v>1318</v>
      </c>
      <c r="B444" s="202" t="s">
        <v>1810</v>
      </c>
      <c r="C444" s="203" t="s">
        <v>1811</v>
      </c>
      <c r="D444" s="203" t="s">
        <v>63</v>
      </c>
      <c r="E444" s="211">
        <f>'[24]50204020'!$F$44</f>
        <v>1359490.6900000002</v>
      </c>
    </row>
    <row r="445" spans="1:5" ht="15.75" hidden="1" thickTop="1" x14ac:dyDescent="0.2">
      <c r="A445" s="201"/>
      <c r="B445" s="202"/>
      <c r="C445" s="203"/>
      <c r="D445" s="203"/>
      <c r="E445" s="201"/>
    </row>
    <row r="446" spans="1:5" ht="15.75" hidden="1" thickBot="1" x14ac:dyDescent="0.25">
      <c r="A446" s="201" t="s">
        <v>1318</v>
      </c>
      <c r="B446" s="202" t="s">
        <v>1812</v>
      </c>
      <c r="C446" s="203" t="s">
        <v>1813</v>
      </c>
      <c r="D446" s="203" t="s">
        <v>1814</v>
      </c>
      <c r="E446" s="211">
        <f>'[24]50205010'!$F$44</f>
        <v>3375</v>
      </c>
    </row>
    <row r="447" spans="1:5" ht="15.75" hidden="1" thickTop="1" x14ac:dyDescent="0.2">
      <c r="A447" s="201"/>
      <c r="B447" s="202"/>
      <c r="C447" s="203"/>
      <c r="D447" s="203"/>
      <c r="E447" s="201"/>
    </row>
    <row r="448" spans="1:5" ht="15.75" hidden="1" thickBot="1" x14ac:dyDescent="0.25">
      <c r="A448" s="201" t="s">
        <v>1318</v>
      </c>
      <c r="B448" s="202" t="s">
        <v>1815</v>
      </c>
      <c r="C448" s="203" t="s">
        <v>1816</v>
      </c>
      <c r="D448" s="203" t="s">
        <v>1158</v>
      </c>
      <c r="E448" s="211">
        <f>'[24]50205020'!$F$45</f>
        <v>219763.48</v>
      </c>
    </row>
    <row r="449" spans="1:5" ht="15.75" hidden="1" thickTop="1" x14ac:dyDescent="0.2">
      <c r="A449" s="201"/>
      <c r="B449" s="202"/>
      <c r="C449" s="203"/>
      <c r="D449" s="203"/>
      <c r="E449" s="201"/>
    </row>
    <row r="450" spans="1:5" ht="15.75" hidden="1" thickBot="1" x14ac:dyDescent="0.25">
      <c r="A450" s="201" t="s">
        <v>1318</v>
      </c>
      <c r="B450" s="202" t="s">
        <v>1817</v>
      </c>
      <c r="C450" s="203" t="s">
        <v>1818</v>
      </c>
      <c r="D450" s="203" t="s">
        <v>1159</v>
      </c>
      <c r="E450" s="211">
        <f>'[24]50205030'!$F$44</f>
        <v>186291.68000000005</v>
      </c>
    </row>
    <row r="451" spans="1:5" ht="15.75" hidden="1" thickTop="1" x14ac:dyDescent="0.2">
      <c r="A451" s="201"/>
      <c r="B451" s="202"/>
      <c r="C451" s="203"/>
      <c r="D451" s="203"/>
      <c r="E451" s="201"/>
    </row>
    <row r="452" spans="1:5" ht="15.75" hidden="1" thickBot="1" x14ac:dyDescent="0.25">
      <c r="A452" s="201" t="s">
        <v>1318</v>
      </c>
      <c r="B452" s="202" t="s">
        <v>1819</v>
      </c>
      <c r="C452" s="203" t="s">
        <v>1820</v>
      </c>
      <c r="D452" s="203" t="s">
        <v>1162</v>
      </c>
      <c r="E452" s="211">
        <f>'[24]50206010'!$F$44</f>
        <v>10260</v>
      </c>
    </row>
    <row r="453" spans="1:5" ht="15.75" hidden="1" thickTop="1" x14ac:dyDescent="0.2">
      <c r="A453" s="201"/>
      <c r="B453" s="202"/>
      <c r="C453" s="203"/>
      <c r="D453" s="203"/>
      <c r="E453" s="201"/>
    </row>
    <row r="454" spans="1:5" ht="15.75" hidden="1" thickBot="1" x14ac:dyDescent="0.25">
      <c r="A454" s="201" t="s">
        <v>1318</v>
      </c>
      <c r="B454" s="202" t="s">
        <v>1821</v>
      </c>
      <c r="C454" s="203" t="s">
        <v>1822</v>
      </c>
      <c r="D454" s="203" t="s">
        <v>1823</v>
      </c>
      <c r="E454" s="211">
        <f>'[24]50207020'!$F$44</f>
        <v>692933.32000000007</v>
      </c>
    </row>
    <row r="455" spans="1:5" ht="15.75" hidden="1" thickTop="1" x14ac:dyDescent="0.2">
      <c r="A455" s="201"/>
      <c r="B455" s="202"/>
      <c r="C455" s="203"/>
      <c r="D455" s="203"/>
      <c r="E455" s="201"/>
    </row>
    <row r="456" spans="1:5" ht="15.75" hidden="1" thickBot="1" x14ac:dyDescent="0.25">
      <c r="A456" s="201" t="s">
        <v>1318</v>
      </c>
      <c r="B456" s="202" t="s">
        <v>1824</v>
      </c>
      <c r="C456" s="203" t="s">
        <v>1825</v>
      </c>
      <c r="D456" s="203" t="s">
        <v>1826</v>
      </c>
      <c r="E456" s="211">
        <f>'[24]50210030'!$F$48</f>
        <v>796939</v>
      </c>
    </row>
    <row r="457" spans="1:5" ht="15.75" hidden="1" thickTop="1" x14ac:dyDescent="0.2">
      <c r="A457" s="201"/>
      <c r="B457" s="202"/>
      <c r="C457" s="203"/>
      <c r="D457" s="203"/>
      <c r="E457" s="201"/>
    </row>
    <row r="458" spans="1:5" ht="15.75" hidden="1" thickBot="1" x14ac:dyDescent="0.25">
      <c r="A458" s="201" t="s">
        <v>1318</v>
      </c>
      <c r="B458" s="202" t="s">
        <v>1827</v>
      </c>
      <c r="C458" s="203" t="s">
        <v>1828</v>
      </c>
      <c r="D458" s="203" t="s">
        <v>302</v>
      </c>
      <c r="E458" s="211">
        <f>'[24]50211990'!$F$44</f>
        <v>207500</v>
      </c>
    </row>
    <row r="459" spans="1:5" ht="15.75" hidden="1" thickTop="1" x14ac:dyDescent="0.2">
      <c r="A459" s="201"/>
      <c r="B459" s="202"/>
      <c r="C459" s="203"/>
      <c r="D459" s="203"/>
      <c r="E459" s="201"/>
    </row>
    <row r="460" spans="1:5" ht="15.75" hidden="1" thickBot="1" x14ac:dyDescent="0.25">
      <c r="A460" s="201" t="s">
        <v>1318</v>
      </c>
      <c r="B460" s="202" t="s">
        <v>1829</v>
      </c>
      <c r="C460" s="203" t="s">
        <v>1830</v>
      </c>
      <c r="D460" s="203" t="s">
        <v>1831</v>
      </c>
      <c r="E460" s="211">
        <f>'[24]50213030'!$F$44</f>
        <v>764505</v>
      </c>
    </row>
    <row r="461" spans="1:5" ht="15.75" hidden="1" thickTop="1" x14ac:dyDescent="0.2">
      <c r="A461" s="201"/>
      <c r="B461" s="202"/>
      <c r="C461" s="203"/>
      <c r="D461" s="203"/>
      <c r="E461" s="201"/>
    </row>
    <row r="462" spans="1:5" ht="15.75" hidden="1" thickBot="1" x14ac:dyDescent="0.25">
      <c r="A462" s="201" t="s">
        <v>1318</v>
      </c>
      <c r="B462" s="202" t="s">
        <v>1832</v>
      </c>
      <c r="C462" s="203" t="s">
        <v>1833</v>
      </c>
      <c r="D462" s="203" t="s">
        <v>1834</v>
      </c>
      <c r="E462" s="211">
        <f>'[24]50213040'!$F$44</f>
        <v>1192755.42</v>
      </c>
    </row>
    <row r="463" spans="1:5" ht="15.75" hidden="1" thickTop="1" x14ac:dyDescent="0.2">
      <c r="A463" s="201"/>
      <c r="B463" s="202"/>
      <c r="C463" s="203"/>
      <c r="D463" s="203"/>
      <c r="E463" s="201"/>
    </row>
    <row r="464" spans="1:5" ht="15.75" hidden="1" thickBot="1" x14ac:dyDescent="0.25">
      <c r="A464" s="201" t="s">
        <v>1318</v>
      </c>
      <c r="B464" s="202" t="s">
        <v>1835</v>
      </c>
      <c r="C464" s="203" t="s">
        <v>1836</v>
      </c>
      <c r="D464" s="203" t="s">
        <v>1837</v>
      </c>
      <c r="E464" s="211">
        <f>'[24]50213050'!$F$44</f>
        <v>253696.72</v>
      </c>
    </row>
    <row r="465" spans="1:6" ht="15.75" hidden="1" thickTop="1" x14ac:dyDescent="0.2">
      <c r="A465" s="201"/>
      <c r="B465" s="202"/>
      <c r="C465" s="203"/>
      <c r="D465" s="203"/>
      <c r="E465" s="201"/>
    </row>
    <row r="466" spans="1:6" ht="15.75" hidden="1" thickBot="1" x14ac:dyDescent="0.25">
      <c r="A466" s="201" t="s">
        <v>1318</v>
      </c>
      <c r="B466" s="202" t="s">
        <v>1838</v>
      </c>
      <c r="C466" s="203" t="s">
        <v>1839</v>
      </c>
      <c r="D466" s="203" t="s">
        <v>1840</v>
      </c>
      <c r="E466" s="211">
        <f>'[24]50213060'!$F$44</f>
        <v>217258</v>
      </c>
    </row>
    <row r="467" spans="1:6" ht="15.75" hidden="1" thickTop="1" x14ac:dyDescent="0.2">
      <c r="A467" s="201"/>
      <c r="B467" s="202"/>
      <c r="C467" s="203"/>
      <c r="D467" s="203"/>
      <c r="E467" s="201"/>
    </row>
    <row r="468" spans="1:6" ht="15.75" hidden="1" thickBot="1" x14ac:dyDescent="0.25">
      <c r="A468" s="201" t="s">
        <v>1318</v>
      </c>
      <c r="B468" s="202" t="s">
        <v>1841</v>
      </c>
      <c r="C468" s="203" t="s">
        <v>1842</v>
      </c>
      <c r="D468" s="203" t="s">
        <v>1843</v>
      </c>
      <c r="E468" s="211">
        <f>'[24]50213070'!$F$44</f>
        <v>13390</v>
      </c>
    </row>
    <row r="469" spans="1:6" ht="15.75" hidden="1" thickTop="1" x14ac:dyDescent="0.2">
      <c r="A469" s="201"/>
      <c r="B469" s="202"/>
      <c r="C469" s="203"/>
      <c r="D469" s="203"/>
      <c r="E469" s="201"/>
    </row>
    <row r="470" spans="1:6" ht="15.75" hidden="1" thickBot="1" x14ac:dyDescent="0.25">
      <c r="A470" s="201" t="s">
        <v>1318</v>
      </c>
      <c r="B470" s="202" t="s">
        <v>1844</v>
      </c>
      <c r="C470" s="203" t="s">
        <v>1845</v>
      </c>
      <c r="D470" s="203" t="s">
        <v>1846</v>
      </c>
      <c r="E470" s="211">
        <f>'[24]50213990'!$F$44</f>
        <v>350</v>
      </c>
    </row>
    <row r="471" spans="1:6" ht="15.75" hidden="1" thickTop="1" x14ac:dyDescent="0.2">
      <c r="A471" s="201"/>
      <c r="B471" s="202"/>
      <c r="C471" s="203"/>
      <c r="D471" s="203"/>
      <c r="E471" s="201"/>
    </row>
    <row r="472" spans="1:6" ht="15.75" hidden="1" thickBot="1" x14ac:dyDescent="0.25">
      <c r="A472" s="201" t="s">
        <v>1318</v>
      </c>
      <c r="B472" s="202" t="s">
        <v>1847</v>
      </c>
      <c r="C472" s="203" t="s">
        <v>1848</v>
      </c>
      <c r="D472" s="203" t="s">
        <v>160</v>
      </c>
      <c r="E472" s="211">
        <f>'[24]50214030'!$F$44</f>
        <v>2650000</v>
      </c>
    </row>
    <row r="473" spans="1:6" ht="15.75" hidden="1" thickTop="1" x14ac:dyDescent="0.2">
      <c r="A473" s="201"/>
      <c r="B473" s="202"/>
      <c r="C473" s="203"/>
      <c r="D473" s="203"/>
      <c r="E473" s="201"/>
    </row>
    <row r="474" spans="1:6" ht="15.75" hidden="1" thickBot="1" x14ac:dyDescent="0.25">
      <c r="A474" s="201" t="s">
        <v>1318</v>
      </c>
      <c r="B474" s="202" t="s">
        <v>1849</v>
      </c>
      <c r="C474" s="203" t="s">
        <v>1850</v>
      </c>
      <c r="D474" s="203" t="s">
        <v>144</v>
      </c>
      <c r="E474" s="211">
        <f>'[24]50216010'!$F$44</f>
        <v>50110</v>
      </c>
    </row>
    <row r="475" spans="1:6" ht="15.75" hidden="1" thickTop="1" x14ac:dyDescent="0.2">
      <c r="A475" s="201"/>
      <c r="B475" s="202"/>
      <c r="C475" s="203"/>
      <c r="D475" s="203"/>
      <c r="E475" s="201"/>
    </row>
    <row r="476" spans="1:6" ht="15.75" hidden="1" thickBot="1" x14ac:dyDescent="0.25">
      <c r="A476" s="201" t="s">
        <v>1318</v>
      </c>
      <c r="B476" s="202" t="s">
        <v>1851</v>
      </c>
      <c r="C476" s="203" t="s">
        <v>1852</v>
      </c>
      <c r="D476" s="203" t="s">
        <v>145</v>
      </c>
      <c r="E476" s="211">
        <f>'[24]50216020'!$F$44</f>
        <v>98111.25</v>
      </c>
    </row>
    <row r="477" spans="1:6" ht="15" hidden="1" thickTop="1" x14ac:dyDescent="0.2"/>
    <row r="478" spans="1:6" ht="15.75" hidden="1" thickBot="1" x14ac:dyDescent="0.25">
      <c r="A478" s="201" t="s">
        <v>1318</v>
      </c>
      <c r="B478" s="202" t="s">
        <v>1853</v>
      </c>
      <c r="C478" s="203" t="s">
        <v>1854</v>
      </c>
      <c r="D478" s="203" t="s">
        <v>31</v>
      </c>
      <c r="E478" s="211">
        <f>'[24]50216030'!$F$44</f>
        <v>72404.86</v>
      </c>
      <c r="F478" s="6"/>
    </row>
    <row r="479" spans="1:6" ht="15.75" hidden="1" thickTop="1" x14ac:dyDescent="0.2">
      <c r="A479" s="201"/>
      <c r="B479" s="202"/>
      <c r="C479" s="203"/>
      <c r="D479" s="203"/>
      <c r="E479" s="201"/>
      <c r="F479" s="6"/>
    </row>
    <row r="480" spans="1:6" ht="15.75" hidden="1" thickBot="1" x14ac:dyDescent="0.25">
      <c r="A480" s="201" t="s">
        <v>1318</v>
      </c>
      <c r="B480" s="202" t="s">
        <v>1855</v>
      </c>
      <c r="C480" s="203" t="s">
        <v>1856</v>
      </c>
      <c r="D480" s="203" t="s">
        <v>53</v>
      </c>
      <c r="E480" s="211">
        <f>'[24]50299010'!$F$44</f>
        <v>70000</v>
      </c>
      <c r="F480" s="6"/>
    </row>
    <row r="481" spans="1:6" ht="15.75" hidden="1" thickTop="1" x14ac:dyDescent="0.2">
      <c r="A481" s="201"/>
      <c r="B481" s="202"/>
      <c r="C481" s="203"/>
      <c r="D481" s="203"/>
      <c r="E481" s="201"/>
      <c r="F481" s="6"/>
    </row>
    <row r="482" spans="1:6" ht="15.75" hidden="1" thickBot="1" x14ac:dyDescent="0.25">
      <c r="A482" s="201" t="s">
        <v>1318</v>
      </c>
      <c r="B482" s="202" t="s">
        <v>1857</v>
      </c>
      <c r="C482" s="203" t="s">
        <v>1858</v>
      </c>
      <c r="D482" s="203" t="s">
        <v>48</v>
      </c>
      <c r="E482" s="211">
        <f>'[24]50299030'!$F$49</f>
        <v>3641696.75</v>
      </c>
      <c r="F482" s="6"/>
    </row>
    <row r="483" spans="1:6" ht="15.75" hidden="1" thickTop="1" x14ac:dyDescent="0.2">
      <c r="A483" s="201"/>
      <c r="B483" s="202"/>
      <c r="C483" s="203"/>
      <c r="D483" s="203"/>
      <c r="E483" s="201"/>
      <c r="F483" s="6"/>
    </row>
    <row r="484" spans="1:6" ht="15.75" hidden="1" thickBot="1" x14ac:dyDescent="0.25">
      <c r="A484" s="201" t="s">
        <v>1318</v>
      </c>
      <c r="B484" s="202" t="s">
        <v>1859</v>
      </c>
      <c r="C484" s="203" t="s">
        <v>1860</v>
      </c>
      <c r="D484" s="203" t="s">
        <v>142</v>
      </c>
      <c r="E484" s="211">
        <f>'[24]50299050'!$F$46</f>
        <v>131909</v>
      </c>
      <c r="F484" s="6"/>
    </row>
    <row r="485" spans="1:6" ht="15.75" hidden="1" thickTop="1" x14ac:dyDescent="0.2">
      <c r="A485" s="201"/>
      <c r="B485" s="202"/>
      <c r="C485" s="203"/>
      <c r="D485" s="203"/>
      <c r="E485" s="201"/>
      <c r="F485" s="6"/>
    </row>
    <row r="486" spans="1:6" ht="15.75" hidden="1" thickBot="1" x14ac:dyDescent="0.25">
      <c r="A486" s="201" t="s">
        <v>1318</v>
      </c>
      <c r="B486" s="202" t="s">
        <v>1861</v>
      </c>
      <c r="C486" s="203" t="s">
        <v>1862</v>
      </c>
      <c r="D486" s="203" t="s">
        <v>1863</v>
      </c>
      <c r="E486" s="211">
        <f>'[24]50299060'!$F$45</f>
        <v>98800</v>
      </c>
      <c r="F486" s="6"/>
    </row>
    <row r="487" spans="1:6" ht="15.75" hidden="1" thickTop="1" x14ac:dyDescent="0.2">
      <c r="A487" s="201"/>
      <c r="B487" s="202"/>
      <c r="C487" s="203"/>
      <c r="D487" s="203"/>
      <c r="E487" s="201"/>
      <c r="F487" s="6"/>
    </row>
    <row r="488" spans="1:6" ht="15.75" hidden="1" thickBot="1" x14ac:dyDescent="0.25">
      <c r="A488" s="201" t="s">
        <v>1318</v>
      </c>
      <c r="B488" s="202" t="s">
        <v>1864</v>
      </c>
      <c r="C488" s="203" t="s">
        <v>1865</v>
      </c>
      <c r="D488" s="203" t="s">
        <v>77</v>
      </c>
      <c r="E488" s="211">
        <f>'[24]50299080'!$F$44</f>
        <v>1314561.3700000001</v>
      </c>
      <c r="F488" s="6"/>
    </row>
    <row r="489" spans="1:6" ht="15.75" hidden="1" thickTop="1" x14ac:dyDescent="0.2">
      <c r="A489" s="201"/>
      <c r="B489" s="202"/>
      <c r="C489" s="203"/>
      <c r="D489" s="203"/>
      <c r="E489" s="201"/>
      <c r="F489" s="6"/>
    </row>
    <row r="490" spans="1:6" ht="15.75" hidden="1" thickBot="1" x14ac:dyDescent="0.25">
      <c r="A490" s="201" t="s">
        <v>1318</v>
      </c>
      <c r="B490" s="202" t="s">
        <v>1866</v>
      </c>
      <c r="C490" s="203" t="s">
        <v>1867</v>
      </c>
      <c r="D490" s="203" t="s">
        <v>1868</v>
      </c>
      <c r="E490" s="211">
        <f>'[24]50299990'!$F$44</f>
        <v>106675.82</v>
      </c>
      <c r="F490" s="6"/>
    </row>
    <row r="491" spans="1:6" ht="15.75" hidden="1" thickTop="1" x14ac:dyDescent="0.2">
      <c r="A491" s="201"/>
      <c r="B491" s="202"/>
      <c r="C491" s="203"/>
      <c r="D491" s="203"/>
      <c r="E491" s="201"/>
      <c r="F491" s="6"/>
    </row>
    <row r="492" spans="1:6" ht="15.75" hidden="1" thickBot="1" x14ac:dyDescent="0.25">
      <c r="A492" s="201" t="s">
        <v>1318</v>
      </c>
      <c r="B492" s="202" t="s">
        <v>1869</v>
      </c>
      <c r="C492" s="203" t="s">
        <v>1870</v>
      </c>
      <c r="D492" s="203" t="s">
        <v>64</v>
      </c>
      <c r="E492" s="211">
        <f>'[24]50301990'!$F$44</f>
        <v>17620.780000000002</v>
      </c>
      <c r="F492" s="6"/>
    </row>
    <row r="493" spans="1:6" ht="15.75" hidden="1" thickTop="1" x14ac:dyDescent="0.2">
      <c r="A493" s="201"/>
      <c r="B493" s="202"/>
      <c r="C493" s="203"/>
      <c r="D493" s="203"/>
      <c r="E493" s="201"/>
      <c r="F493" s="6"/>
    </row>
    <row r="494" spans="1:6" ht="15.75" hidden="1" thickBot="1" x14ac:dyDescent="0.25">
      <c r="A494" s="201" t="s">
        <v>1318</v>
      </c>
      <c r="B494" s="202" t="s">
        <v>1871</v>
      </c>
      <c r="C494" s="203" t="s">
        <v>1872</v>
      </c>
      <c r="D494" s="203" t="s">
        <v>1873</v>
      </c>
      <c r="E494" s="211">
        <f>'[24]50501050 '!$F$44</f>
        <v>1054335.2999999998</v>
      </c>
      <c r="F494" s="6"/>
    </row>
    <row r="495" spans="1:6" ht="15.75" hidden="1" thickTop="1" x14ac:dyDescent="0.2">
      <c r="A495" s="201"/>
      <c r="B495" s="202"/>
      <c r="C495" s="203"/>
      <c r="D495" s="203"/>
      <c r="E495" s="201"/>
      <c r="F495" s="6"/>
    </row>
    <row r="496" spans="1:6" ht="15.75" hidden="1" thickBot="1" x14ac:dyDescent="0.25">
      <c r="A496" s="201" t="s">
        <v>1318</v>
      </c>
      <c r="B496" s="202" t="s">
        <v>1874</v>
      </c>
      <c r="C496" s="203" t="s">
        <v>1875</v>
      </c>
      <c r="D496" s="203" t="s">
        <v>1218</v>
      </c>
      <c r="E496" s="211">
        <f>'[24]50501060 '!$F$44</f>
        <v>233712.41</v>
      </c>
      <c r="F496" s="6"/>
    </row>
    <row r="497" spans="1:6" ht="15.75" hidden="1" thickTop="1" x14ac:dyDescent="0.2">
      <c r="A497" s="201"/>
      <c r="B497" s="202"/>
      <c r="C497" s="203"/>
      <c r="D497" s="203"/>
      <c r="E497" s="201"/>
      <c r="F497" s="6"/>
    </row>
    <row r="498" spans="1:6" ht="15.75" hidden="1" thickBot="1" x14ac:dyDescent="0.25">
      <c r="A498" s="201" t="s">
        <v>1318</v>
      </c>
      <c r="B498" s="202" t="s">
        <v>1876</v>
      </c>
      <c r="C498" s="203" t="s">
        <v>1877</v>
      </c>
      <c r="D498" s="203" t="s">
        <v>1878</v>
      </c>
      <c r="E498" s="211">
        <f>'[24]50501070 '!$F$44</f>
        <v>103499.53</v>
      </c>
      <c r="F498" s="6"/>
    </row>
    <row r="499" spans="1:6" ht="15.75" hidden="1" thickTop="1" x14ac:dyDescent="0.2">
      <c r="A499" s="201"/>
      <c r="B499" s="202"/>
      <c r="C499" s="203"/>
      <c r="D499" s="203"/>
      <c r="E499" s="201"/>
      <c r="F499" s="6"/>
    </row>
    <row r="500" spans="1:6" ht="15.75" hidden="1" thickBot="1" x14ac:dyDescent="0.25">
      <c r="A500" s="201" t="s">
        <v>1318</v>
      </c>
      <c r="B500" s="202" t="s">
        <v>1879</v>
      </c>
      <c r="C500" s="203" t="s">
        <v>1880</v>
      </c>
      <c r="D500" s="203" t="s">
        <v>1881</v>
      </c>
      <c r="E500" s="211">
        <f>'[24]50501990 '!$F$44</f>
        <v>43781.88</v>
      </c>
      <c r="F500" s="6"/>
    </row>
    <row r="501" spans="1:6" ht="15.75" hidden="1" thickTop="1" x14ac:dyDescent="0.2">
      <c r="A501" s="201"/>
      <c r="B501" s="202"/>
      <c r="C501" s="203"/>
      <c r="D501" s="203"/>
      <c r="E501" s="201"/>
      <c r="F501" s="6"/>
    </row>
    <row r="502" spans="1:6" ht="15" hidden="1" x14ac:dyDescent="0.2">
      <c r="A502" s="201"/>
      <c r="B502" s="202"/>
      <c r="C502" s="203"/>
      <c r="D502" s="203"/>
      <c r="E502" s="201"/>
      <c r="F502" s="6"/>
    </row>
    <row r="503" spans="1:6" ht="15" x14ac:dyDescent="0.2">
      <c r="A503" s="175" t="s">
        <v>638</v>
      </c>
      <c r="B503" s="202"/>
      <c r="C503" s="203"/>
      <c r="D503" s="219" t="s">
        <v>1889</v>
      </c>
      <c r="E503" s="201"/>
      <c r="F503" s="6"/>
    </row>
    <row r="504" spans="1:6" ht="15" x14ac:dyDescent="0.2">
      <c r="A504" s="201"/>
      <c r="B504" s="202"/>
      <c r="C504" s="203"/>
      <c r="D504" s="203"/>
      <c r="E504" s="201"/>
      <c r="F504" s="6"/>
    </row>
    <row r="505" spans="1:6" ht="15" x14ac:dyDescent="0.2">
      <c r="A505" s="201"/>
      <c r="B505" s="202"/>
      <c r="C505" s="203"/>
      <c r="D505" s="203"/>
      <c r="E505" s="201"/>
      <c r="F505" s="6"/>
    </row>
    <row r="506" spans="1:6" ht="15" x14ac:dyDescent="0.2">
      <c r="A506" s="416" t="s">
        <v>1312</v>
      </c>
      <c r="B506" s="416"/>
      <c r="C506" s="416"/>
      <c r="D506" s="416" t="s">
        <v>1316</v>
      </c>
      <c r="E506" s="416"/>
      <c r="F506" s="6"/>
    </row>
    <row r="507" spans="1:6" x14ac:dyDescent="0.2">
      <c r="A507" s="415" t="s">
        <v>1313</v>
      </c>
      <c r="B507" s="415"/>
      <c r="C507" s="415"/>
      <c r="D507" s="415" t="s">
        <v>161</v>
      </c>
      <c r="E507" s="415"/>
      <c r="F507" s="6"/>
    </row>
    <row r="508" spans="1:6" ht="15" x14ac:dyDescent="0.2">
      <c r="A508" s="201"/>
      <c r="B508" s="202"/>
      <c r="C508" s="203"/>
      <c r="D508" s="203"/>
      <c r="E508" s="201"/>
      <c r="F508" s="6"/>
    </row>
    <row r="509" spans="1:6" ht="15" x14ac:dyDescent="0.2">
      <c r="A509" s="201"/>
      <c r="B509" s="202"/>
      <c r="C509" s="203"/>
      <c r="D509" s="203"/>
      <c r="E509" s="201"/>
      <c r="F509" s="6"/>
    </row>
    <row r="510" spans="1:6" ht="15" x14ac:dyDescent="0.2">
      <c r="A510" s="201"/>
      <c r="B510" s="202"/>
      <c r="C510" s="203"/>
      <c r="D510" s="203"/>
      <c r="E510" s="201"/>
      <c r="F510" s="6"/>
    </row>
    <row r="511" spans="1:6" ht="15" x14ac:dyDescent="0.2">
      <c r="A511" s="201"/>
      <c r="B511" s="202"/>
      <c r="C511" s="203"/>
      <c r="D511" s="203"/>
      <c r="E511" s="201"/>
      <c r="F511" s="6"/>
    </row>
    <row r="512" spans="1:6" ht="15" x14ac:dyDescent="0.2">
      <c r="A512" s="201"/>
      <c r="B512" s="202"/>
      <c r="C512" s="203"/>
      <c r="D512" s="203"/>
      <c r="E512" s="201"/>
      <c r="F512" s="6"/>
    </row>
    <row r="513" spans="1:6" ht="15" x14ac:dyDescent="0.2">
      <c r="A513" s="201"/>
      <c r="B513" s="202"/>
      <c r="C513" s="203"/>
      <c r="D513" s="203"/>
      <c r="E513" s="201"/>
      <c r="F513" s="6"/>
    </row>
    <row r="514" spans="1:6" ht="15" x14ac:dyDescent="0.2">
      <c r="A514" s="201"/>
      <c r="B514" s="202"/>
      <c r="C514" s="203"/>
      <c r="D514" s="203"/>
      <c r="E514" s="201"/>
      <c r="F514" s="6"/>
    </row>
    <row r="515" spans="1:6" ht="15" x14ac:dyDescent="0.2">
      <c r="A515" s="201"/>
      <c r="B515" s="202"/>
      <c r="C515" s="203"/>
      <c r="D515" s="203"/>
      <c r="E515" s="201"/>
      <c r="F515" s="6"/>
    </row>
    <row r="516" spans="1:6" ht="15" x14ac:dyDescent="0.2">
      <c r="A516" s="201"/>
      <c r="B516" s="202"/>
      <c r="C516" s="203"/>
      <c r="D516" s="203"/>
      <c r="E516" s="201"/>
      <c r="F516" s="6"/>
    </row>
    <row r="517" spans="1:6" ht="15" x14ac:dyDescent="0.2">
      <c r="A517" s="201"/>
      <c r="B517" s="202"/>
      <c r="C517" s="203"/>
      <c r="D517" s="203"/>
      <c r="E517" s="201"/>
      <c r="F517" s="6"/>
    </row>
    <row r="518" spans="1:6" ht="15" x14ac:dyDescent="0.2">
      <c r="A518" s="201"/>
      <c r="B518" s="202"/>
      <c r="C518" s="203"/>
      <c r="D518" s="203"/>
      <c r="E518" s="201"/>
      <c r="F518" s="6"/>
    </row>
    <row r="519" spans="1:6" ht="15" x14ac:dyDescent="0.2">
      <c r="A519" s="201"/>
      <c r="B519" s="202"/>
      <c r="C519" s="203"/>
      <c r="D519" s="203"/>
      <c r="E519" s="201"/>
      <c r="F519" s="6"/>
    </row>
    <row r="520" spans="1:6" ht="15" x14ac:dyDescent="0.2">
      <c r="A520" s="201"/>
      <c r="B520" s="202"/>
      <c r="C520" s="203"/>
      <c r="D520" s="203"/>
      <c r="E520" s="201"/>
      <c r="F520" s="6"/>
    </row>
    <row r="521" spans="1:6" ht="15" x14ac:dyDescent="0.2">
      <c r="A521" s="201"/>
      <c r="B521" s="202"/>
      <c r="C521" s="203"/>
      <c r="D521" s="203"/>
      <c r="E521" s="201"/>
      <c r="F521" s="6"/>
    </row>
    <row r="522" spans="1:6" ht="15" x14ac:dyDescent="0.2">
      <c r="A522" s="201"/>
      <c r="B522" s="202"/>
      <c r="C522" s="203"/>
      <c r="D522" s="203"/>
      <c r="E522" s="201"/>
      <c r="F522" s="6"/>
    </row>
    <row r="523" spans="1:6" ht="15" x14ac:dyDescent="0.2">
      <c r="A523" s="201"/>
      <c r="B523" s="202"/>
      <c r="C523" s="203"/>
      <c r="D523" s="203"/>
      <c r="E523" s="201"/>
      <c r="F523" s="6"/>
    </row>
    <row r="524" spans="1:6" ht="15" x14ac:dyDescent="0.2">
      <c r="A524" s="201"/>
      <c r="B524" s="202"/>
      <c r="C524" s="203"/>
      <c r="D524" s="203"/>
      <c r="E524" s="201"/>
      <c r="F524" s="6"/>
    </row>
    <row r="525" spans="1:6" ht="15" x14ac:dyDescent="0.2">
      <c r="A525" s="201"/>
      <c r="B525" s="202"/>
      <c r="C525" s="203"/>
      <c r="D525" s="203"/>
      <c r="E525" s="201"/>
      <c r="F525" s="6"/>
    </row>
    <row r="526" spans="1:6" ht="15" x14ac:dyDescent="0.2">
      <c r="A526" s="201"/>
      <c r="B526" s="202"/>
      <c r="C526" s="203"/>
      <c r="D526" s="203"/>
      <c r="E526" s="201"/>
      <c r="F526" s="6"/>
    </row>
    <row r="527" spans="1:6" ht="15" x14ac:dyDescent="0.2">
      <c r="A527" s="201"/>
      <c r="B527" s="202"/>
      <c r="C527" s="203"/>
      <c r="D527" s="203"/>
      <c r="E527" s="201"/>
      <c r="F527" s="6"/>
    </row>
    <row r="528" spans="1:6" ht="15" x14ac:dyDescent="0.2">
      <c r="A528" s="201"/>
      <c r="B528" s="202"/>
      <c r="C528" s="203"/>
      <c r="D528" s="203"/>
      <c r="E528" s="201"/>
      <c r="F528" s="6"/>
    </row>
    <row r="529" spans="1:6" ht="15" x14ac:dyDescent="0.2">
      <c r="A529" s="201"/>
      <c r="B529" s="202"/>
      <c r="C529" s="203"/>
      <c r="D529" s="203"/>
      <c r="E529" s="201"/>
      <c r="F529" s="6"/>
    </row>
    <row r="530" spans="1:6" ht="15" x14ac:dyDescent="0.2">
      <c r="A530" s="201"/>
      <c r="B530" s="202"/>
      <c r="C530" s="203"/>
      <c r="D530" s="203"/>
      <c r="E530" s="201"/>
      <c r="F530" s="6"/>
    </row>
    <row r="531" spans="1:6" ht="15" x14ac:dyDescent="0.2">
      <c r="A531" s="201"/>
      <c r="B531" s="202"/>
      <c r="C531" s="203"/>
      <c r="D531" s="203"/>
      <c r="E531" s="201"/>
      <c r="F531" s="6"/>
    </row>
    <row r="532" spans="1:6" ht="15" x14ac:dyDescent="0.2">
      <c r="A532" s="201"/>
      <c r="B532" s="202"/>
      <c r="C532" s="203"/>
      <c r="D532" s="203"/>
      <c r="E532" s="201"/>
      <c r="F532" s="6"/>
    </row>
  </sheetData>
  <mergeCells count="11">
    <mergeCell ref="A7:E7"/>
    <mergeCell ref="A506:C506"/>
    <mergeCell ref="A507:C507"/>
    <mergeCell ref="D506:E506"/>
    <mergeCell ref="D507:E507"/>
    <mergeCell ref="A9:C9"/>
    <mergeCell ref="A1:E1"/>
    <mergeCell ref="A2:E2"/>
    <mergeCell ref="A3:E3"/>
    <mergeCell ref="A5:E5"/>
    <mergeCell ref="A6:E6"/>
  </mergeCells>
  <pageMargins left="0.51181102362204722" right="0.51181102362204722" top="0.39370078740157483" bottom="0.39370078740157483" header="0.31496062992125984" footer="0.31496062992125984"/>
  <pageSetup paperSize="256" scale="8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Stmt of Changes in Ass</vt:lpstr>
      <vt:lpstr>Schedule FP</vt:lpstr>
      <vt:lpstr>Stmt. of Fin'l. Performance</vt:lpstr>
      <vt:lpstr>Income Statement</vt:lpstr>
      <vt:lpstr>Schedule Balance Sheet</vt:lpstr>
      <vt:lpstr>Sched. fin'l. Position</vt:lpstr>
      <vt:lpstr>Detailed Fin'L Position </vt:lpstr>
      <vt:lpstr>Stmt. of Fin'l. Position</vt:lpstr>
      <vt:lpstr>CASH FLOW</vt:lpstr>
      <vt:lpstr>Balance Sheet</vt:lpstr>
      <vt:lpstr>Subsidiary Schedule</vt:lpstr>
      <vt:lpstr>'Balance Sheet'!Print_Area</vt:lpstr>
      <vt:lpstr>'Income Statement'!Print_Area</vt:lpstr>
      <vt:lpstr>'Sched. fin''l. Position'!Print_Area</vt:lpstr>
      <vt:lpstr>'Schedule FP'!Print_Area</vt:lpstr>
      <vt:lpstr>'Stmt of Changes in Ass'!Print_Area</vt:lpstr>
      <vt:lpstr>'Stmt. of Fin''l. Position'!Print_Area</vt:lpstr>
      <vt:lpstr>'Subsidiary Schedule'!Print_Area</vt:lpstr>
      <vt:lpstr>'Sched. fin''l. Position'!Print_Titles</vt:lpstr>
      <vt:lpstr>'Schedule FP'!Print_Titles</vt:lpstr>
      <vt:lpstr>'Subsidiary Schedule'!Print_Titles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G. Parado</dc:creator>
  <cp:lastModifiedBy>Christian Flores</cp:lastModifiedBy>
  <cp:lastPrinted>2022-02-24T03:32:57Z</cp:lastPrinted>
  <dcterms:created xsi:type="dcterms:W3CDTF">2008-01-09T05:12:05Z</dcterms:created>
  <dcterms:modified xsi:type="dcterms:W3CDTF">2024-01-17T04:47:10Z</dcterms:modified>
</cp:coreProperties>
</file>