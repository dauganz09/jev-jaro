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jev-jaro\assets\templates\"/>
    </mc:Choice>
  </mc:AlternateContent>
  <xr:revisionPtr revIDLastSave="0" documentId="13_ncr:1_{3A32D1D1-769F-4BB5-A0E1-989D2DD2365E}" xr6:coauthVersionLast="47" xr6:coauthVersionMax="47" xr10:uidLastSave="{00000000-0000-0000-0000-000000000000}"/>
  <bookViews>
    <workbookView xWindow="-120" yWindow="-120" windowWidth="24240" windowHeight="13020" activeTab="1" xr2:uid="{3D37FFD8-D4A5-48D1-ADF7-7A80C174BD04}"/>
  </bookViews>
  <sheets>
    <sheet name="Detailed Financial Performance" sheetId="2" r:id="rId1"/>
    <sheet name="Condensed Financial Performance" sheetId="1" r:id="rId2"/>
    <sheet name="Detailed Financial Position" sheetId="5" r:id="rId3"/>
    <sheet name="Financial Position" sheetId="6" r:id="rId4"/>
    <sheet name="Cash Flows" sheetId="7" r:id="rId5"/>
    <sheet name="Changes in Assets" sheetId="8" r:id="rId6"/>
  </sheets>
  <definedNames>
    <definedName name="_xlnm.Print_Area" localSheetId="4">'Cash Flows'!$A$1:$O$67</definedName>
    <definedName name="_xlnm.Print_Area" localSheetId="5">'Changes in Assets'!$A$1:$K$35</definedName>
    <definedName name="_xlnm.Print_Area" localSheetId="2">'Detailed Financial Position'!$A$1:$I$568</definedName>
    <definedName name="_xlnm.Print_Area" localSheetId="3">'Financial Position'!$A$1:$G$59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1" l="1"/>
  <c r="D21" i="1"/>
  <c r="G49" i="2"/>
  <c r="F49" i="2"/>
  <c r="I18" i="8"/>
  <c r="J18" i="8"/>
  <c r="K18" i="8"/>
  <c r="L18" i="8"/>
  <c r="L24" i="8" s="1"/>
  <c r="M18" i="8"/>
  <c r="N18" i="8"/>
  <c r="J21" i="8"/>
  <c r="J22" i="8" s="1"/>
  <c r="J24" i="8" s="1"/>
  <c r="K21" i="8"/>
  <c r="L21" i="8"/>
  <c r="M21" i="8"/>
  <c r="N21" i="8"/>
  <c r="N22" i="8" s="1"/>
  <c r="N24" i="8" s="1"/>
  <c r="K22" i="8"/>
  <c r="L22" i="8"/>
  <c r="M22" i="8"/>
  <c r="K24" i="8"/>
  <c r="M24" i="8"/>
  <c r="G51" i="7"/>
  <c r="H51" i="7"/>
  <c r="I51" i="7"/>
  <c r="J51" i="7"/>
  <c r="J52" i="7" s="1"/>
  <c r="K51" i="7"/>
  <c r="L51" i="7"/>
  <c r="G52" i="7"/>
  <c r="H52" i="7"/>
  <c r="I52" i="7"/>
  <c r="K52" i="7"/>
  <c r="L52" i="7"/>
  <c r="H53" i="7"/>
  <c r="I53" i="7"/>
  <c r="J53" i="7"/>
  <c r="J55" i="7" s="1"/>
  <c r="K53" i="7"/>
  <c r="L53" i="7"/>
  <c r="H55" i="7"/>
  <c r="I55" i="7"/>
  <c r="K55" i="7"/>
  <c r="L55" i="7"/>
  <c r="G46" i="7"/>
  <c r="H46" i="7"/>
  <c r="I46" i="7"/>
  <c r="J46" i="7"/>
  <c r="K46" i="7"/>
  <c r="L46" i="7"/>
  <c r="F46" i="7"/>
  <c r="G34" i="7"/>
  <c r="H34" i="7"/>
  <c r="I34" i="7"/>
  <c r="J34" i="7"/>
  <c r="K34" i="7"/>
  <c r="L34" i="7"/>
  <c r="G35" i="7"/>
  <c r="G40" i="7" s="1"/>
  <c r="H35" i="7"/>
  <c r="H40" i="7" s="1"/>
  <c r="I35" i="7"/>
  <c r="J35" i="7"/>
  <c r="K35" i="7"/>
  <c r="K40" i="7" s="1"/>
  <c r="L35" i="7"/>
  <c r="L40" i="7" s="1"/>
  <c r="I40" i="7"/>
  <c r="J40" i="7"/>
  <c r="G41" i="7"/>
  <c r="H41" i="7"/>
  <c r="I41" i="7"/>
  <c r="J41" i="7"/>
  <c r="K41" i="7"/>
  <c r="L41" i="7"/>
  <c r="G32" i="7"/>
  <c r="H32" i="7"/>
  <c r="I32" i="7"/>
  <c r="J32" i="7"/>
  <c r="K32" i="7"/>
  <c r="L32" i="7"/>
  <c r="G21" i="7"/>
  <c r="H21" i="7"/>
  <c r="I21" i="7"/>
  <c r="J21" i="7"/>
  <c r="J24" i="7" s="1"/>
  <c r="J25" i="7" s="1"/>
  <c r="K21" i="7"/>
  <c r="L21" i="7"/>
  <c r="G22" i="7"/>
  <c r="H22" i="7"/>
  <c r="I22" i="7"/>
  <c r="J22" i="7"/>
  <c r="K22" i="7"/>
  <c r="L22" i="7"/>
  <c r="G23" i="7"/>
  <c r="H23" i="7"/>
  <c r="I23" i="7"/>
  <c r="J23" i="7"/>
  <c r="K23" i="7"/>
  <c r="L23" i="7"/>
  <c r="G24" i="7"/>
  <c r="H24" i="7"/>
  <c r="H25" i="7" s="1"/>
  <c r="I24" i="7"/>
  <c r="K24" i="7"/>
  <c r="L24" i="7"/>
  <c r="L25" i="7" s="1"/>
  <c r="I25" i="7"/>
  <c r="K25" i="7"/>
  <c r="H11" i="7"/>
  <c r="I11" i="7"/>
  <c r="I17" i="7" s="1"/>
  <c r="J11" i="7"/>
  <c r="J17" i="7" s="1"/>
  <c r="K11" i="7"/>
  <c r="L11" i="7"/>
  <c r="G12" i="7"/>
  <c r="H12" i="7"/>
  <c r="I12" i="7"/>
  <c r="J12" i="7"/>
  <c r="K12" i="7"/>
  <c r="L12" i="7"/>
  <c r="G13" i="7"/>
  <c r="H13" i="7"/>
  <c r="I13" i="7"/>
  <c r="J13" i="7"/>
  <c r="K13" i="7"/>
  <c r="L13" i="7"/>
  <c r="H17" i="7"/>
  <c r="K17" i="7"/>
  <c r="L17" i="7"/>
  <c r="E12" i="6"/>
  <c r="F12" i="6"/>
  <c r="G12" i="6"/>
  <c r="H12" i="6"/>
  <c r="H17" i="6" s="1"/>
  <c r="I12" i="6"/>
  <c r="E13" i="6"/>
  <c r="F13" i="6"/>
  <c r="G13" i="6"/>
  <c r="H13" i="6"/>
  <c r="I13" i="6"/>
  <c r="E14" i="6"/>
  <c r="F14" i="6"/>
  <c r="F17" i="6" s="1"/>
  <c r="G14" i="6"/>
  <c r="H14" i="6"/>
  <c r="I14" i="6"/>
  <c r="E15" i="6"/>
  <c r="E17" i="6" s="1"/>
  <c r="F15" i="6"/>
  <c r="G15" i="6"/>
  <c r="H15" i="6"/>
  <c r="I15" i="6"/>
  <c r="I17" i="6" s="1"/>
  <c r="E16" i="6"/>
  <c r="F16" i="6"/>
  <c r="G16" i="6"/>
  <c r="H16" i="6"/>
  <c r="I16" i="6"/>
  <c r="E19" i="6"/>
  <c r="F19" i="6"/>
  <c r="G19" i="6"/>
  <c r="H19" i="6"/>
  <c r="I19" i="6"/>
  <c r="E20" i="6"/>
  <c r="F20" i="6"/>
  <c r="G20" i="6"/>
  <c r="G26" i="6" s="1"/>
  <c r="H20" i="6"/>
  <c r="I20" i="6"/>
  <c r="E21" i="6"/>
  <c r="F21" i="6"/>
  <c r="F26" i="6" s="1"/>
  <c r="G21" i="6"/>
  <c r="H21" i="6"/>
  <c r="I21" i="6"/>
  <c r="E22" i="6"/>
  <c r="E26" i="6" s="1"/>
  <c r="F22" i="6"/>
  <c r="G22" i="6"/>
  <c r="H22" i="6"/>
  <c r="I22" i="6"/>
  <c r="I26" i="6" s="1"/>
  <c r="E23" i="6"/>
  <c r="F23" i="6"/>
  <c r="G23" i="6"/>
  <c r="H23" i="6"/>
  <c r="I23" i="6"/>
  <c r="E24" i="6"/>
  <c r="F24" i="6"/>
  <c r="G24" i="6"/>
  <c r="H24" i="6"/>
  <c r="I24" i="6"/>
  <c r="E30" i="6"/>
  <c r="F30" i="6"/>
  <c r="G30" i="6"/>
  <c r="H30" i="6"/>
  <c r="I30" i="6"/>
  <c r="E31" i="6"/>
  <c r="F31" i="6"/>
  <c r="G31" i="6"/>
  <c r="G35" i="6" s="1"/>
  <c r="H31" i="6"/>
  <c r="I31" i="6"/>
  <c r="E32" i="6"/>
  <c r="F32" i="6"/>
  <c r="F35" i="6" s="1"/>
  <c r="G32" i="6"/>
  <c r="H32" i="6"/>
  <c r="I32" i="6"/>
  <c r="E33" i="6"/>
  <c r="E35" i="6" s="1"/>
  <c r="F33" i="6"/>
  <c r="G33" i="6"/>
  <c r="H33" i="6"/>
  <c r="I33" i="6"/>
  <c r="I35" i="6" s="1"/>
  <c r="E34" i="6"/>
  <c r="F34" i="6"/>
  <c r="G34" i="6"/>
  <c r="H34" i="6"/>
  <c r="I34" i="6"/>
  <c r="E37" i="6"/>
  <c r="F37" i="6"/>
  <c r="G37" i="6"/>
  <c r="H37" i="6"/>
  <c r="I37" i="6"/>
  <c r="E38" i="6"/>
  <c r="F38" i="6"/>
  <c r="G38" i="6"/>
  <c r="G41" i="6" s="1"/>
  <c r="H38" i="6"/>
  <c r="I38" i="6"/>
  <c r="E39" i="6"/>
  <c r="F39" i="6"/>
  <c r="F41" i="6" s="1"/>
  <c r="G39" i="6"/>
  <c r="H39" i="6"/>
  <c r="I39" i="6"/>
  <c r="E40" i="6"/>
  <c r="E41" i="6" s="1"/>
  <c r="F40" i="6"/>
  <c r="G40" i="6"/>
  <c r="H40" i="6"/>
  <c r="I40" i="6"/>
  <c r="I41" i="6" s="1"/>
  <c r="H41" i="6"/>
  <c r="E44" i="6"/>
  <c r="F44" i="6"/>
  <c r="G44" i="6"/>
  <c r="H44" i="6"/>
  <c r="I44" i="6"/>
  <c r="F45" i="6"/>
  <c r="G45" i="6"/>
  <c r="H45" i="6"/>
  <c r="I45" i="6"/>
  <c r="H35" i="6"/>
  <c r="H26" i="6"/>
  <c r="G17" i="6"/>
  <c r="G558" i="5"/>
  <c r="H558" i="5"/>
  <c r="I558" i="5"/>
  <c r="J558" i="5"/>
  <c r="H551" i="5"/>
  <c r="I551" i="5"/>
  <c r="J551" i="5"/>
  <c r="H550" i="5"/>
  <c r="I550" i="5"/>
  <c r="J550" i="5"/>
  <c r="H549" i="5"/>
  <c r="I549" i="5"/>
  <c r="J549" i="5"/>
  <c r="H542" i="5"/>
  <c r="I542" i="5"/>
  <c r="J542" i="5"/>
  <c r="H534" i="5"/>
  <c r="I534" i="5"/>
  <c r="J534" i="5"/>
  <c r="H533" i="5"/>
  <c r="I533" i="5"/>
  <c r="J533" i="5"/>
  <c r="H526" i="5"/>
  <c r="I526" i="5"/>
  <c r="J526" i="5"/>
  <c r="J510" i="5"/>
  <c r="H510" i="5"/>
  <c r="H511" i="5" s="1"/>
  <c r="I510" i="5"/>
  <c r="I511" i="5"/>
  <c r="J511" i="5"/>
  <c r="H503" i="5"/>
  <c r="I503" i="5"/>
  <c r="J503" i="5"/>
  <c r="H495" i="5"/>
  <c r="I495" i="5"/>
  <c r="J495" i="5"/>
  <c r="H488" i="5"/>
  <c r="I488" i="5"/>
  <c r="J488" i="5"/>
  <c r="H483" i="5"/>
  <c r="I483" i="5"/>
  <c r="J483" i="5"/>
  <c r="H473" i="5"/>
  <c r="I473" i="5"/>
  <c r="J473" i="5"/>
  <c r="H472" i="5"/>
  <c r="I472" i="5"/>
  <c r="J472" i="5"/>
  <c r="H465" i="5"/>
  <c r="I465" i="5"/>
  <c r="J465" i="5"/>
  <c r="H448" i="5"/>
  <c r="I448" i="5"/>
  <c r="J448" i="5"/>
  <c r="H447" i="5"/>
  <c r="I447" i="5"/>
  <c r="J447" i="5"/>
  <c r="H446" i="5"/>
  <c r="I446" i="5"/>
  <c r="J446" i="5"/>
  <c r="H432" i="5"/>
  <c r="I432" i="5"/>
  <c r="J432" i="5"/>
  <c r="H425" i="5"/>
  <c r="I425" i="5"/>
  <c r="J425" i="5"/>
  <c r="H249" i="5"/>
  <c r="I249" i="5"/>
  <c r="J249" i="5"/>
  <c r="H240" i="5"/>
  <c r="I240" i="5"/>
  <c r="J240" i="5"/>
  <c r="H187" i="5"/>
  <c r="I187" i="5"/>
  <c r="J187" i="5"/>
  <c r="H157" i="5"/>
  <c r="I157" i="5"/>
  <c r="J157" i="5"/>
  <c r="H156" i="5"/>
  <c r="I156" i="5"/>
  <c r="J156" i="5"/>
  <c r="H145" i="5"/>
  <c r="I145" i="5"/>
  <c r="J145" i="5"/>
  <c r="H111" i="5"/>
  <c r="I111" i="5"/>
  <c r="J111" i="5"/>
  <c r="H58" i="5"/>
  <c r="I58" i="5"/>
  <c r="J58" i="5"/>
  <c r="H29" i="5"/>
  <c r="I29" i="5"/>
  <c r="J29" i="5"/>
  <c r="E27" i="1"/>
  <c r="F27" i="1"/>
  <c r="G27" i="1"/>
  <c r="H27" i="1"/>
  <c r="I27" i="1"/>
  <c r="J27" i="1"/>
  <c r="E28" i="1"/>
  <c r="F28" i="1"/>
  <c r="F29" i="1" s="1"/>
  <c r="G28" i="1"/>
  <c r="H28" i="1"/>
  <c r="I28" i="1"/>
  <c r="J28" i="1"/>
  <c r="J29" i="1" s="1"/>
  <c r="G29" i="1"/>
  <c r="H29" i="1"/>
  <c r="I29" i="1"/>
  <c r="E20" i="1"/>
  <c r="F20" i="1"/>
  <c r="G20" i="1"/>
  <c r="H20" i="1"/>
  <c r="I20" i="1"/>
  <c r="J20" i="1"/>
  <c r="E21" i="1"/>
  <c r="F21" i="1"/>
  <c r="F24" i="1" s="1"/>
  <c r="F25" i="1" s="1"/>
  <c r="G21" i="1"/>
  <c r="H21" i="1"/>
  <c r="I21" i="1"/>
  <c r="J21" i="1"/>
  <c r="J24" i="1" s="1"/>
  <c r="J25" i="1" s="1"/>
  <c r="E22" i="1"/>
  <c r="F22" i="1"/>
  <c r="G22" i="1"/>
  <c r="H22" i="1"/>
  <c r="I22" i="1"/>
  <c r="J22" i="1"/>
  <c r="E23" i="1"/>
  <c r="F23" i="1"/>
  <c r="G23" i="1"/>
  <c r="H23" i="1"/>
  <c r="I23" i="1"/>
  <c r="J23" i="1"/>
  <c r="E24" i="1"/>
  <c r="G24" i="1"/>
  <c r="H24" i="1"/>
  <c r="H25" i="1" s="1"/>
  <c r="I24" i="1"/>
  <c r="G25" i="1"/>
  <c r="I25" i="1"/>
  <c r="E11" i="1"/>
  <c r="F11" i="1"/>
  <c r="G11" i="1"/>
  <c r="H11" i="1"/>
  <c r="H18" i="1" s="1"/>
  <c r="I11" i="1"/>
  <c r="J11" i="1"/>
  <c r="E12" i="1"/>
  <c r="F12" i="1"/>
  <c r="G12" i="1"/>
  <c r="H12" i="1"/>
  <c r="I12" i="1"/>
  <c r="J12" i="1"/>
  <c r="E13" i="1"/>
  <c r="E18" i="1" s="1"/>
  <c r="F13" i="1"/>
  <c r="G13" i="1"/>
  <c r="H13" i="1"/>
  <c r="I13" i="1"/>
  <c r="J13" i="1"/>
  <c r="E14" i="1"/>
  <c r="F14" i="1"/>
  <c r="G14" i="1"/>
  <c r="H14" i="1"/>
  <c r="I14" i="1"/>
  <c r="J14" i="1"/>
  <c r="E15" i="1"/>
  <c r="F15" i="1"/>
  <c r="G15" i="1"/>
  <c r="H15" i="1"/>
  <c r="I15" i="1"/>
  <c r="J15" i="1"/>
  <c r="E16" i="1"/>
  <c r="F16" i="1"/>
  <c r="G16" i="1"/>
  <c r="H16" i="1"/>
  <c r="I16" i="1"/>
  <c r="J16" i="1"/>
  <c r="E17" i="1"/>
  <c r="F17" i="1"/>
  <c r="G17" i="1"/>
  <c r="H17" i="1"/>
  <c r="I17" i="1"/>
  <c r="J17" i="1"/>
  <c r="F18" i="1"/>
  <c r="G18" i="1"/>
  <c r="I18" i="1"/>
  <c r="J18" i="1"/>
  <c r="E9" i="1"/>
  <c r="F9" i="1"/>
  <c r="G9" i="1"/>
  <c r="H9" i="1"/>
  <c r="I9" i="1"/>
  <c r="J9" i="1"/>
  <c r="H18" i="8"/>
  <c r="E25" i="1" l="1"/>
  <c r="E29" i="1" s="1"/>
  <c r="G11" i="7"/>
  <c r="G17" i="7" s="1"/>
  <c r="G25" i="7" s="1"/>
  <c r="G53" i="7" s="1"/>
  <c r="G55" i="7" s="1"/>
  <c r="H27" i="6"/>
  <c r="I27" i="6"/>
  <c r="E27" i="6"/>
  <c r="F27" i="6"/>
  <c r="G27" i="6"/>
  <c r="H42" i="6"/>
  <c r="I42" i="6"/>
  <c r="I46" i="6" s="1"/>
  <c r="E42" i="6"/>
  <c r="E46" i="6" s="1"/>
  <c r="F42" i="6"/>
  <c r="F46" i="6" s="1"/>
  <c r="G42" i="6"/>
  <c r="G46" i="6" s="1"/>
  <c r="H46" i="6"/>
  <c r="F52" i="7"/>
  <c r="F51" i="7"/>
  <c r="F32" i="7"/>
  <c r="F12" i="7"/>
  <c r="D44" i="6"/>
  <c r="I21" i="8" l="1"/>
  <c r="I22" i="8" s="1"/>
  <c r="I24" i="8" s="1"/>
  <c r="E45" i="6"/>
  <c r="D17" i="1"/>
  <c r="G549" i="5" l="1"/>
  <c r="F549" i="5"/>
  <c r="D40" i="6" s="1"/>
  <c r="G546" i="5"/>
  <c r="F546" i="5"/>
  <c r="D39" i="6" s="1"/>
  <c r="G542" i="5"/>
  <c r="F542" i="5"/>
  <c r="D38" i="6" s="1"/>
  <c r="G533" i="5"/>
  <c r="F533" i="5"/>
  <c r="G526" i="5"/>
  <c r="F526" i="5"/>
  <c r="G510" i="5"/>
  <c r="F510" i="5"/>
  <c r="G507" i="5"/>
  <c r="F507" i="5"/>
  <c r="G503" i="5"/>
  <c r="F503" i="5"/>
  <c r="D34" i="6" s="1"/>
  <c r="G495" i="5"/>
  <c r="F495" i="5"/>
  <c r="D33" i="6" s="1"/>
  <c r="G488" i="5"/>
  <c r="F488" i="5"/>
  <c r="D32" i="6" s="1"/>
  <c r="G483" i="5"/>
  <c r="F483" i="5"/>
  <c r="D31" i="6" s="1"/>
  <c r="G472" i="5"/>
  <c r="F472" i="5"/>
  <c r="G465" i="5"/>
  <c r="F465" i="5"/>
  <c r="G446" i="5"/>
  <c r="F446" i="5"/>
  <c r="D24" i="6" s="1"/>
  <c r="G432" i="5"/>
  <c r="F432" i="5"/>
  <c r="D23" i="6" s="1"/>
  <c r="G425" i="5"/>
  <c r="F425" i="5"/>
  <c r="D22" i="6" s="1"/>
  <c r="F35" i="7" s="1"/>
  <c r="F41" i="7" s="1"/>
  <c r="G249" i="5"/>
  <c r="F249" i="5"/>
  <c r="D21" i="6" s="1"/>
  <c r="F34" i="7" s="1"/>
  <c r="G240" i="5"/>
  <c r="F240" i="5"/>
  <c r="D20" i="6" s="1"/>
  <c r="G187" i="5"/>
  <c r="F187" i="5"/>
  <c r="G156" i="5"/>
  <c r="F156" i="5"/>
  <c r="D16" i="6" s="1"/>
  <c r="G145" i="5"/>
  <c r="F145" i="5"/>
  <c r="D15" i="6" s="1"/>
  <c r="G111" i="5"/>
  <c r="F111" i="5"/>
  <c r="D14" i="6" s="1"/>
  <c r="G58" i="5"/>
  <c r="F58" i="5"/>
  <c r="D13" i="6" s="1"/>
  <c r="G29" i="5"/>
  <c r="F29" i="5"/>
  <c r="D12" i="6" s="1"/>
  <c r="A7" i="1"/>
  <c r="A4" i="1"/>
  <c r="D9" i="1"/>
  <c r="D28" i="1"/>
  <c r="D16" i="1"/>
  <c r="D12" i="1"/>
  <c r="G333" i="2"/>
  <c r="F332" i="2"/>
  <c r="G318" i="2"/>
  <c r="F318" i="2"/>
  <c r="G304" i="2"/>
  <c r="F304" i="2"/>
  <c r="F300" i="2"/>
  <c r="G292" i="2"/>
  <c r="G305" i="2" s="1"/>
  <c r="F292" i="2"/>
  <c r="D27" i="1" s="1"/>
  <c r="F286" i="2"/>
  <c r="G275" i="2"/>
  <c r="F275" i="2"/>
  <c r="D23" i="1" s="1"/>
  <c r="G243" i="2"/>
  <c r="F243" i="2"/>
  <c r="F23" i="7" s="1"/>
  <c r="G234" i="2"/>
  <c r="F234" i="2"/>
  <c r="F22" i="7" s="1"/>
  <c r="G153" i="2"/>
  <c r="F153" i="2"/>
  <c r="D20" i="1" s="1"/>
  <c r="F21" i="7" s="1"/>
  <c r="G118" i="2"/>
  <c r="F118" i="2"/>
  <c r="G110" i="2"/>
  <c r="F110" i="2"/>
  <c r="D15" i="1" s="1"/>
  <c r="G101" i="2"/>
  <c r="F101" i="2"/>
  <c r="D14" i="1" s="1"/>
  <c r="F13" i="7" s="1"/>
  <c r="D13" i="1"/>
  <c r="G41" i="2"/>
  <c r="F41" i="2"/>
  <c r="F119" i="2" s="1"/>
  <c r="F473" i="5" l="1"/>
  <c r="F534" i="5"/>
  <c r="F447" i="5"/>
  <c r="G157" i="5"/>
  <c r="F40" i="7"/>
  <c r="F550" i="5"/>
  <c r="D37" i="6"/>
  <c r="D41" i="6" s="1"/>
  <c r="G447" i="5"/>
  <c r="G448" i="5" s="1"/>
  <c r="G473" i="5"/>
  <c r="G511" i="5" s="1"/>
  <c r="G534" i="5"/>
  <c r="G550" i="5" s="1"/>
  <c r="D19" i="6"/>
  <c r="D26" i="6" s="1"/>
  <c r="F511" i="5"/>
  <c r="D30" i="6"/>
  <c r="D35" i="6" s="1"/>
  <c r="F157" i="5"/>
  <c r="F24" i="7"/>
  <c r="F333" i="2"/>
  <c r="D11" i="1"/>
  <c r="D17" i="6"/>
  <c r="D24" i="1"/>
  <c r="D18" i="1"/>
  <c r="F276" i="2"/>
  <c r="F277" i="2" s="1"/>
  <c r="F305" i="2" s="1"/>
  <c r="F334" i="2" s="1"/>
  <c r="F555" i="5" s="1"/>
  <c r="F557" i="5" s="1"/>
  <c r="G119" i="2"/>
  <c r="G334" i="2" s="1"/>
  <c r="G276" i="2"/>
  <c r="F448" i="5" l="1"/>
  <c r="D42" i="6"/>
  <c r="D46" i="6" s="1"/>
  <c r="G551" i="5"/>
  <c r="F551" i="5"/>
  <c r="F558" i="5" s="1"/>
  <c r="G277" i="2"/>
  <c r="D25" i="1"/>
  <c r="D29" i="1" s="1"/>
  <c r="F11" i="7"/>
  <c r="F17" i="7" s="1"/>
  <c r="F25" i="7" s="1"/>
  <c r="F53" i="7" s="1"/>
  <c r="F55" i="7" s="1"/>
  <c r="D27" i="6"/>
  <c r="H21" i="8" l="1"/>
  <c r="H22" i="8" s="1"/>
  <c r="H24" i="8" s="1"/>
  <c r="D45" i="6"/>
</calcChain>
</file>

<file path=xl/sharedStrings.xml><?xml version="1.0" encoding="utf-8"?>
<sst xmlns="http://schemas.openxmlformats.org/spreadsheetml/2006/main" count="1027" uniqueCount="832">
  <si>
    <t>Republic of the Philippines</t>
  </si>
  <si>
    <t>Province of Leyte</t>
  </si>
  <si>
    <t>MUNICIPALITY OF JARO</t>
  </si>
  <si>
    <t>STATEMENT OF FINANCIAL PERFORMANCE</t>
  </si>
  <si>
    <t>GENERAL FUND</t>
  </si>
  <si>
    <t>PARTICULARS</t>
  </si>
  <si>
    <t>REVENUE</t>
  </si>
  <si>
    <t>Tax Revenue</t>
  </si>
  <si>
    <t>Share from Internal Revenue Collections</t>
  </si>
  <si>
    <t>Other Share from National Taxes</t>
  </si>
  <si>
    <t>Service and Business Income</t>
  </si>
  <si>
    <t>Shares, Grants and Donations</t>
  </si>
  <si>
    <t>Gains</t>
  </si>
  <si>
    <t>Other Income</t>
  </si>
  <si>
    <t>TOTAL REVENUE</t>
  </si>
  <si>
    <t>Less: Current Operating Expenses</t>
  </si>
  <si>
    <t>Personnel Services</t>
  </si>
  <si>
    <t>Maintenance and Other Operating Expenses</t>
  </si>
  <si>
    <t>Financial Expenses</t>
  </si>
  <si>
    <t>Non-Cash Expenses</t>
  </si>
  <si>
    <t>CURRENT OPERATING EXPENSES</t>
  </si>
  <si>
    <t>Surplus (Deficit) from Current Operation</t>
  </si>
  <si>
    <t>Add (Deduct):</t>
  </si>
  <si>
    <t>Transfers, Assistance and Subsidy from</t>
  </si>
  <si>
    <t>Transfers, Assistance and Subsidy to LGUs</t>
  </si>
  <si>
    <t>SURPLUS (DEFICIT) FOR THE PERIOD</t>
  </si>
  <si>
    <t>Prepared by:</t>
  </si>
  <si>
    <t>Certified Correct:</t>
  </si>
  <si>
    <t>JUDY G. PARADO, CPA</t>
  </si>
  <si>
    <t>Municipal Accountant</t>
  </si>
  <si>
    <t>DETAILED CONSOLIDATED FINANCIAL PERFORMANCE</t>
  </si>
  <si>
    <t>TAX REVENUE</t>
  </si>
  <si>
    <t>Tax Revenue - Individual and Corporation</t>
  </si>
  <si>
    <t xml:space="preserve">Professional Tax </t>
  </si>
  <si>
    <t xml:space="preserve">Community Tax </t>
  </si>
  <si>
    <t>Tax Revenue - Property</t>
  </si>
  <si>
    <t>Real Property Tax- Basic</t>
  </si>
  <si>
    <t>Discount on Real Property Tax- Basic</t>
  </si>
  <si>
    <t>Special Education Tax</t>
  </si>
  <si>
    <t>Discount on Special Education Tax</t>
  </si>
  <si>
    <t>Special Levy on Idle Lands</t>
  </si>
  <si>
    <t>Special Levy on Lands Benefited by Public Works Projects</t>
  </si>
  <si>
    <t>Real Property Transfer Tax</t>
  </si>
  <si>
    <t>Tax Revenue - Goods and Services</t>
  </si>
  <si>
    <t xml:space="preserve">Business Tax  </t>
  </si>
  <si>
    <t xml:space="preserve">Tax on Sand, Gravel and Other Quarry Products </t>
  </si>
  <si>
    <t xml:space="preserve">Tax on Delivery  Trucks and Vans </t>
  </si>
  <si>
    <t xml:space="preserve">Amusement Tax </t>
  </si>
  <si>
    <t xml:space="preserve">Franchise Tax  </t>
  </si>
  <si>
    <t xml:space="preserve">Printing and Publication Tax </t>
  </si>
  <si>
    <t>Tax Revenue - Others</t>
  </si>
  <si>
    <t>Other Taxes</t>
  </si>
  <si>
    <t>Tax Revenue - Fines and Penalties</t>
  </si>
  <si>
    <t>Tax Revenue - Fines and Penalties - Taxes on Individual and Corporation</t>
  </si>
  <si>
    <t>Tax Revenue - Fines and Penalties - Property Taxes</t>
  </si>
  <si>
    <t>Tax Revenue - Fines and Penalties - Taxes on Goods and Services</t>
  </si>
  <si>
    <t>Tax Revenue - Fines and Penalties - Other Taxes</t>
  </si>
  <si>
    <t>Total Tax Revenue</t>
  </si>
  <si>
    <t>SHARE FROM NATIONAL TAXES</t>
  </si>
  <si>
    <t>Share from Internal Revenue Collections (IRA)</t>
  </si>
  <si>
    <t>OTHER SHARE FROM NATIONAL TAXES</t>
  </si>
  <si>
    <t xml:space="preserve">Share from Expanded Value Added Tax </t>
  </si>
  <si>
    <t>Share from National Wealth</t>
  </si>
  <si>
    <t>Share from Tobacco Excise Tax (RA 7171 and 8240)</t>
  </si>
  <si>
    <t>Share from Economic Zones</t>
  </si>
  <si>
    <t>Total Other Share from National Taxes</t>
  </si>
  <si>
    <t>SERVICE AND BUSINESS INCOME</t>
  </si>
  <si>
    <t>Service Income</t>
  </si>
  <si>
    <t>Permit Fees</t>
  </si>
  <si>
    <t>Registration Fees</t>
  </si>
  <si>
    <t>Registration Plates, Tags and Stickers Fees</t>
  </si>
  <si>
    <t>Clearance and Certification Fees</t>
  </si>
  <si>
    <t>Supervision and Regulation Enforcement Fees</t>
  </si>
  <si>
    <t>Inspection Fees</t>
  </si>
  <si>
    <t>Verification and Authentication Fees</t>
  </si>
  <si>
    <t>Processing Fees</t>
  </si>
  <si>
    <t>Occupation Fees</t>
  </si>
  <si>
    <t>Fishery Rental Fees and Charges</t>
  </si>
  <si>
    <t>Fees for Sealing  and Licensing of Weights and Measures</t>
  </si>
  <si>
    <t xml:space="preserve">Fines and Penalties - Service Income </t>
  </si>
  <si>
    <t>Other Service Income</t>
  </si>
  <si>
    <t>Business Income</t>
  </si>
  <si>
    <t>School Fees</t>
  </si>
  <si>
    <t>Affiliation Fees</t>
  </si>
  <si>
    <t>Seminar/Training Fees</t>
  </si>
  <si>
    <t xml:space="preserve">Rent Income </t>
  </si>
  <si>
    <t xml:space="preserve">Communication Network Fees </t>
  </si>
  <si>
    <t xml:space="preserve">Transportation System Fees </t>
  </si>
  <si>
    <t xml:space="preserve">Road Network  Fees </t>
  </si>
  <si>
    <t xml:space="preserve">Waterworks System Fees </t>
  </si>
  <si>
    <t>Power Supply System Fees</t>
  </si>
  <si>
    <t xml:space="preserve">Seaport  System Fees </t>
  </si>
  <si>
    <t xml:space="preserve">Parking Fees </t>
  </si>
  <si>
    <t>Receipts  from Operation of Hostels/Dormitories and Other Like Facilities</t>
  </si>
  <si>
    <t>Receipt from Market Operations</t>
  </si>
  <si>
    <t xml:space="preserve">Receipt from Slaughterhouse Operation </t>
  </si>
  <si>
    <t>Receipt from Cemetery Operations</t>
  </si>
  <si>
    <t xml:space="preserve">Receipts from Printing and Publication </t>
  </si>
  <si>
    <t>Sales Revenue</t>
  </si>
  <si>
    <t>Sales Discounts</t>
  </si>
  <si>
    <t>Cost of Goods Manufactured</t>
  </si>
  <si>
    <t>Direct Materials</t>
  </si>
  <si>
    <t>Direct Labor</t>
  </si>
  <si>
    <t>Manufacturing Overhead</t>
  </si>
  <si>
    <t>Cost of Sales</t>
  </si>
  <si>
    <t>Net Sales Revenue</t>
  </si>
  <si>
    <t>Garbage Fees</t>
  </si>
  <si>
    <t>Hospital Fees</t>
  </si>
  <si>
    <t>Dividend Income</t>
  </si>
  <si>
    <t xml:space="preserve">Interest Income </t>
  </si>
  <si>
    <t>Service Concession Revenue</t>
  </si>
  <si>
    <t>Other Service Concession Revenue</t>
  </si>
  <si>
    <t>Lease Revenue</t>
  </si>
  <si>
    <t>Share in the Profit of Joint Venture</t>
  </si>
  <si>
    <t xml:space="preserve">Fines and Penalties - Business Income </t>
  </si>
  <si>
    <t>Other Business Income</t>
  </si>
  <si>
    <t>Total Service and Business Income</t>
  </si>
  <si>
    <t>SHARES, GRANTS AND DONATIONS</t>
  </si>
  <si>
    <t>Share</t>
  </si>
  <si>
    <t>Share from PAGCOR</t>
  </si>
  <si>
    <t>Share from PCSO</t>
  </si>
  <si>
    <t>Grants and Donations</t>
  </si>
  <si>
    <t>Grants and Donations in Cash</t>
  </si>
  <si>
    <t xml:space="preserve">Grants and Donations in Kind </t>
  </si>
  <si>
    <t>Grants from Concessionary Loans</t>
  </si>
  <si>
    <t>Total Shares, Grants and Donations</t>
  </si>
  <si>
    <t>GAINS</t>
  </si>
  <si>
    <t>Gain on Initial Recognition of Biological Assets</t>
  </si>
  <si>
    <t>Gain on Sale of Biological Assets</t>
  </si>
  <si>
    <t>Gain from Changes in Fair Value  Less Cost to Sell of Biological Assets Due to Physical Change</t>
  </si>
  <si>
    <t>Gain from Changes in Fair Value  Less Cost to Sell of Biological Assets Due to Price Change</t>
  </si>
  <si>
    <t>Gain from Initial Recognition of Agricultural Produce</t>
  </si>
  <si>
    <t>Total Gains</t>
  </si>
  <si>
    <t>LESS:  CURRENT OPERATING EXPENSES</t>
  </si>
  <si>
    <t>PERSONNEL SERVICES</t>
  </si>
  <si>
    <t>Salaries and Wages</t>
  </si>
  <si>
    <t>Salaries and Wages - Regular</t>
  </si>
  <si>
    <t>Salaries and Wages - Casual/Contractual</t>
  </si>
  <si>
    <t>Other Compensation</t>
  </si>
  <si>
    <t>Personal Economic Relief Allowance (PERA)</t>
  </si>
  <si>
    <t>Representation Allowance (RA)</t>
  </si>
  <si>
    <t>Transportation Allowance (TA)</t>
  </si>
  <si>
    <t>Clothing/Uniform Allowance</t>
  </si>
  <si>
    <t>Subsistence Allowance</t>
  </si>
  <si>
    <t>Laundry  Allowance</t>
  </si>
  <si>
    <t>Quarters Allowance</t>
  </si>
  <si>
    <t>Productivity Incentive Allowance</t>
  </si>
  <si>
    <t>Overseas Allowance</t>
  </si>
  <si>
    <t>Honoraria</t>
  </si>
  <si>
    <t>Hazard Pay</t>
  </si>
  <si>
    <t>Longevity Pay</t>
  </si>
  <si>
    <t>Overtime and Night Pay</t>
  </si>
  <si>
    <t>Year End Bonus</t>
  </si>
  <si>
    <t>Cash Gift</t>
  </si>
  <si>
    <t>Other Bonuses and Allowances</t>
  </si>
  <si>
    <t>Personnel Benefits Contributions</t>
  </si>
  <si>
    <t>Retirement and Life Insurance Premiums</t>
  </si>
  <si>
    <t>Pag-IBIG Contributions</t>
  </si>
  <si>
    <t>PhilHealth Contributions</t>
  </si>
  <si>
    <t>Employees Compensation Insurance Premiums</t>
  </si>
  <si>
    <t>Provident/Welfare Fund Contributions</t>
  </si>
  <si>
    <t>Other Personnel Benefits</t>
  </si>
  <si>
    <t xml:space="preserve">Pension Benefits </t>
  </si>
  <si>
    <t xml:space="preserve">Retirement Gratuity </t>
  </si>
  <si>
    <t>Terminal Leave Benefits</t>
  </si>
  <si>
    <t>Total Personnel Services</t>
  </si>
  <si>
    <t>MAINTENANCE AND OTHER OPERATING EXPENSES</t>
  </si>
  <si>
    <t>Traveling Expenses</t>
  </si>
  <si>
    <t>Traveling Expenses - Local</t>
  </si>
  <si>
    <t>Traveling Expenses - Foreign</t>
  </si>
  <si>
    <t>Training and Scholarship Expenses</t>
  </si>
  <si>
    <t>Training Expenses</t>
  </si>
  <si>
    <t>Scholarship Grants/Expenses</t>
  </si>
  <si>
    <t>Supplies and Material Expenses</t>
  </si>
  <si>
    <t xml:space="preserve">Office Supplies Expenses </t>
  </si>
  <si>
    <t>Accountable Forms Expenses</t>
  </si>
  <si>
    <t>Non-Accountable Forms Expenses</t>
  </si>
  <si>
    <t>Animal/Zoological Supplies Expenses</t>
  </si>
  <si>
    <t>Food Supplies Expenses</t>
  </si>
  <si>
    <t>Welfare Goods Expenses</t>
  </si>
  <si>
    <t>Drugs and Medicines Expenses</t>
  </si>
  <si>
    <t>Medical, Dental and Laboratory Supplies Expenses</t>
  </si>
  <si>
    <t>Fuel, Oil and Lubricants Expenses</t>
  </si>
  <si>
    <t>Agricultural and Marine Supplies Expenses</t>
  </si>
  <si>
    <t>Textbooks and Instructional Materials Expenses</t>
  </si>
  <si>
    <t>Military, Police and Traffic Supplies Expenses</t>
  </si>
  <si>
    <t>Chemical and Filtering Supplies Expenses</t>
  </si>
  <si>
    <t>Other Supplies and Materials Expenses</t>
  </si>
  <si>
    <t>Utility Expenses</t>
  </si>
  <si>
    <t>Water Expenses</t>
  </si>
  <si>
    <t>Electricity Expenses</t>
  </si>
  <si>
    <t>Communication Expenses</t>
  </si>
  <si>
    <t xml:space="preserve">Postage and Courier Services </t>
  </si>
  <si>
    <t>Telephone Expenses</t>
  </si>
  <si>
    <t>Internet Subscription Expenses</t>
  </si>
  <si>
    <t>Cable, Satellite, Telegraph and Radio Expenses</t>
  </si>
  <si>
    <t>Awards/Rewards and Prizes</t>
  </si>
  <si>
    <t>Awards/Rewards Expenses</t>
  </si>
  <si>
    <t>Prizes</t>
  </si>
  <si>
    <t>Survey, Research, Exploration and Development Expenses</t>
  </si>
  <si>
    <t>Survey Expenses</t>
  </si>
  <si>
    <t>Research, Exploration and Development Expenses</t>
  </si>
  <si>
    <t>Demolition/Relocation and Desilting/Dredging Expenses</t>
  </si>
  <si>
    <t>Demolition and Relocation Expenses</t>
  </si>
  <si>
    <t>Desilting and Dredging Expenses</t>
  </si>
  <si>
    <t>Generation, Transmission and Distribution Expenses</t>
  </si>
  <si>
    <t>Confidential, Intelligence and Extraordinary Expenses</t>
  </si>
  <si>
    <t>Confidential Expenses</t>
  </si>
  <si>
    <t>Intelligence Expenses</t>
  </si>
  <si>
    <t>Extraordinary and Miscellaneous Expenses</t>
  </si>
  <si>
    <t>Professional Services</t>
  </si>
  <si>
    <t>Legal Services</t>
  </si>
  <si>
    <t>Auditing Services</t>
  </si>
  <si>
    <t>Consultancy Services</t>
  </si>
  <si>
    <t>Other Professional Services</t>
  </si>
  <si>
    <t>General Services</t>
  </si>
  <si>
    <t>Environment/Sanitary Services</t>
  </si>
  <si>
    <t>Janitorial Services</t>
  </si>
  <si>
    <t>Security Services</t>
  </si>
  <si>
    <t>Other General Services</t>
  </si>
  <si>
    <t>Repairs and Maintenance</t>
  </si>
  <si>
    <t>Repairs and Maintenance - Investment Property</t>
  </si>
  <si>
    <t>Repairs and Maintenance - Land Improvements</t>
  </si>
  <si>
    <t>Repairs and Maintenance - Infrastructure Assets</t>
  </si>
  <si>
    <t>Repairs and Maintenance - Buildings and Other Structures</t>
  </si>
  <si>
    <t xml:space="preserve">Repairs and Maintenance - Machinery and Equipment </t>
  </si>
  <si>
    <t xml:space="preserve">Repairs and Maintenance - Transportation Equipment  </t>
  </si>
  <si>
    <t xml:space="preserve">Repairs and Maintenance - Furniture and  Fixtures </t>
  </si>
  <si>
    <t xml:space="preserve">Repairs and Maintenance - Leased Assets </t>
  </si>
  <si>
    <t>Repairs and Maintenance - Leased Assets Improvements</t>
  </si>
  <si>
    <t>Repairs and Maintenance - Other Property, Plant and Equipment</t>
  </si>
  <si>
    <t>Taxes, Insurance Premiums and Other Fees</t>
  </si>
  <si>
    <t>Taxes, Duties and Licenses</t>
  </si>
  <si>
    <t xml:space="preserve">Fidelity Bond Premiums </t>
  </si>
  <si>
    <t>Insurance Expenses</t>
  </si>
  <si>
    <t>Other Maintenance and Operating Expenses</t>
  </si>
  <si>
    <t>Advertising Expenses</t>
  </si>
  <si>
    <t>Printing and Publication Expenses</t>
  </si>
  <si>
    <t>Representation Expenses</t>
  </si>
  <si>
    <t>Transportation and Delivery Expenses</t>
  </si>
  <si>
    <t>Rent Expenses</t>
  </si>
  <si>
    <t>Membership Dues and Contributions to Organizations</t>
  </si>
  <si>
    <t>Subscription Expenses</t>
  </si>
  <si>
    <t>Donations</t>
  </si>
  <si>
    <t xml:space="preserve">Other Maintenance and Operating Expenses  </t>
  </si>
  <si>
    <t>Total Maintenance and Other Operating Expenses</t>
  </si>
  <si>
    <t>FINANCIAL EXPENSES</t>
  </si>
  <si>
    <t>Management Supervision/Trusteeship Fees</t>
  </si>
  <si>
    <t xml:space="preserve">Interest Expenses </t>
  </si>
  <si>
    <t xml:space="preserve">Guarantee Fees  </t>
  </si>
  <si>
    <t>Bank Charges</t>
  </si>
  <si>
    <t xml:space="preserve">Commitment Fees  </t>
  </si>
  <si>
    <t xml:space="preserve">Other Financial Charges </t>
  </si>
  <si>
    <t>Total Financial Expenses</t>
  </si>
  <si>
    <t>NON-CASH EXPENSES</t>
  </si>
  <si>
    <t xml:space="preserve">Depreciation </t>
  </si>
  <si>
    <t>Depreciation - Investment Property</t>
  </si>
  <si>
    <t>Depreciation - Land Improvements</t>
  </si>
  <si>
    <t>Depreciation - Infrastructure Assets</t>
  </si>
  <si>
    <t>Depreciation - Buildings and Other Structures</t>
  </si>
  <si>
    <t xml:space="preserve">Depreciation - Machinery  and Equipment </t>
  </si>
  <si>
    <t>Depreciation - Transportation Equipment</t>
  </si>
  <si>
    <t xml:space="preserve">Depreciation - Furniture, Fixtures and Books  </t>
  </si>
  <si>
    <t>Depreciation - Leased Assets</t>
  </si>
  <si>
    <t>Depreciation - Leased Assets Improvements</t>
  </si>
  <si>
    <t>Depreciation -Service Concession Assets</t>
  </si>
  <si>
    <t>Depreciation - Other Property, Plant and Equipment</t>
  </si>
  <si>
    <t>Amortization</t>
  </si>
  <si>
    <t>Amortization - Intangible Assets</t>
  </si>
  <si>
    <t>Impairment Loss</t>
  </si>
  <si>
    <t>Impairment Loss - Financial Assets Held to Maturity</t>
  </si>
  <si>
    <t>Impairment Loss - Loans and  Receivables</t>
  </si>
  <si>
    <t>Impairment Loss - Lease Receivables</t>
  </si>
  <si>
    <t>Impairment Loss - Investments in GOCCs</t>
  </si>
  <si>
    <t>Impairment Loss - Investments in Joint Venture</t>
  </si>
  <si>
    <t>Impairment Loss - Other Receivables</t>
  </si>
  <si>
    <t>Impairment Loss - Inventories</t>
  </si>
  <si>
    <t>Impairment Loss - Investment Property</t>
  </si>
  <si>
    <t>Impairment Loss - Property, Plant and Equipment</t>
  </si>
  <si>
    <t>Impairment Loss - Intangible Assets</t>
  </si>
  <si>
    <t xml:space="preserve">Losses </t>
  </si>
  <si>
    <t>Loss on Sale of Biological Assets</t>
  </si>
  <si>
    <t>Loss on Initial Recognition of Biological Assets</t>
  </si>
  <si>
    <t>Grants</t>
  </si>
  <si>
    <t>Grants for Concessionary Loans</t>
  </si>
  <si>
    <t>Total Non-Cash Expenses</t>
  </si>
  <si>
    <t>TOTAL CURRENT OPERATING EXPENSES</t>
  </si>
  <si>
    <t>SURPLUS (DEFICIT) FROM CURRENT OPERATIONS</t>
  </si>
  <si>
    <t>ADD (DEDUCT): TRANSFERS, ASSISTANCE AND SUBSIDY</t>
  </si>
  <si>
    <t>Assistance and Subsidy from</t>
  </si>
  <si>
    <t>Subsidy from National Government</t>
  </si>
  <si>
    <t>Subsidy from Local Government Units</t>
  </si>
  <si>
    <t xml:space="preserve">Subsidy from Government-Owned and/or Controlled Corporations </t>
  </si>
  <si>
    <t>Subsidy from Other Funds</t>
  </si>
  <si>
    <t>Subsidy from General Fund Proper/Other Special Accounts</t>
  </si>
  <si>
    <t>Subsidy from Other Local Economic Enterprise</t>
  </si>
  <si>
    <t>Total Assistance and Subsidy from</t>
  </si>
  <si>
    <t>Transfers from</t>
  </si>
  <si>
    <t>Transfers from General Fund of LGU Counterpart/Equity Share</t>
  </si>
  <si>
    <t xml:space="preserve">Transfers from General Fund of Unspent DRRMF </t>
  </si>
  <si>
    <t>Transfers from National Governments</t>
  </si>
  <si>
    <t>Transfers from Other Local Governments</t>
  </si>
  <si>
    <t>Total Transfers, Assistance and Subsidy from</t>
  </si>
  <si>
    <t>Financial Assistance/Subsidy to</t>
  </si>
  <si>
    <t xml:space="preserve">Subsidy to NGAs </t>
  </si>
  <si>
    <t xml:space="preserve">Subsidy to Other Local Government Units </t>
  </si>
  <si>
    <t>Subsidy to Other  Funds</t>
  </si>
  <si>
    <t>Subsidy to General Fund Proper/Special Accounts</t>
  </si>
  <si>
    <t>Subsidy to Local Economic Enterprises</t>
  </si>
  <si>
    <t>Subsidies - Others</t>
  </si>
  <si>
    <t>Total Financial Assistance/Subsidy to</t>
  </si>
  <si>
    <t>Transfers to</t>
  </si>
  <si>
    <t>Transfers of Unspent Current Year DRRM Funds to the Trust Funds</t>
  </si>
  <si>
    <t>Transfers for Project Equity Share /LGU Counterpart</t>
  </si>
  <si>
    <t>Total Transfers, Assistance and Subsidy to</t>
  </si>
  <si>
    <t>NET FINANCIAL ASSISTANCE/SUBSIDY</t>
  </si>
  <si>
    <t>Other Non-Operating Income/Losses</t>
  </si>
  <si>
    <t>Sale of Assets</t>
  </si>
  <si>
    <t>Sale of Garnished/Confiscated/Abandoned/Seized Goods and Properties</t>
  </si>
  <si>
    <t>Gain from Changes in Fair Value of Financial Instruments</t>
  </si>
  <si>
    <t>Gain on Foreign Exchange (FOREX)</t>
  </si>
  <si>
    <t>Gain on Sale of Investments</t>
  </si>
  <si>
    <t>Gain on Sale of Investment Property</t>
  </si>
  <si>
    <t>Gain on Sale of Property, Plant and Equipment</t>
  </si>
  <si>
    <t>Gain on Sale of Intangible Assets</t>
  </si>
  <si>
    <t>Reversal of Impairment Losses</t>
  </si>
  <si>
    <t>Other Gains</t>
  </si>
  <si>
    <t>Miscellaneous Income</t>
  </si>
  <si>
    <t>Losses</t>
  </si>
  <si>
    <t>Loss from Changes in Fair Value of Financial Instruments</t>
  </si>
  <si>
    <t>Loss on Foreign Exchange (FOREX)</t>
  </si>
  <si>
    <t>Loss on Sale of Investments</t>
  </si>
  <si>
    <t>Loss on Sale of Investment Property</t>
  </si>
  <si>
    <t>Loss on Sale of Property, Plant and Equipment</t>
  </si>
  <si>
    <t>Loss on Sale of Intangible Assets</t>
  </si>
  <si>
    <t>Loss on Sale of Assets</t>
  </si>
  <si>
    <t>Loss of Assets</t>
  </si>
  <si>
    <t>Loss on Guaranty</t>
  </si>
  <si>
    <t>Other Losses</t>
  </si>
  <si>
    <t>Total Losses</t>
  </si>
  <si>
    <t>Net Other Non-Operating Income/(Losses)</t>
  </si>
  <si>
    <t>Municipality of Jaro</t>
  </si>
  <si>
    <t>DETAILED CONSOLIDATED FINANCIAL POSITION</t>
  </si>
  <si>
    <t>ASSETS</t>
  </si>
  <si>
    <t>CURRENT ASSETS</t>
  </si>
  <si>
    <t>CASH AND CASH EQUIVALENTS</t>
  </si>
  <si>
    <t>Cash on Hand</t>
  </si>
  <si>
    <t>Cash Local Treasury</t>
  </si>
  <si>
    <t>Petty Cash</t>
  </si>
  <si>
    <t>Cash in Banks - Local Currency</t>
  </si>
  <si>
    <t>Cash in Bank - Local Currency , Current Account</t>
  </si>
  <si>
    <t>Cash in Bank - Local Currency, Savings Account</t>
  </si>
  <si>
    <t>Cash in Banks - Foreign Currency</t>
  </si>
  <si>
    <t>Cash in Bank - Foreign Currency , Current Account</t>
  </si>
  <si>
    <t>Cash in Bank - Foreign Currency, Savings Account</t>
  </si>
  <si>
    <t>Investments in Time Deposits (90 days)</t>
  </si>
  <si>
    <t>Cash in Bank -Local Currency, Time Deposits</t>
  </si>
  <si>
    <t>Cash in Bank - Foreign Currency, Time Deposits</t>
  </si>
  <si>
    <t>Treasury Bills</t>
  </si>
  <si>
    <t>Total Cash and Cash Equivalents</t>
  </si>
  <si>
    <t>INVESTMENTS</t>
  </si>
  <si>
    <t>Investments in Time Deposits (91 days to 1 year)</t>
  </si>
  <si>
    <t>Financial  Assets at Fair Value Through Surplus or Deficit</t>
  </si>
  <si>
    <t>Financial Assets Held for Trading</t>
  </si>
  <si>
    <t>Financial  Assets Designated at Fair Value Through Surplus or Deficit</t>
  </si>
  <si>
    <t xml:space="preserve">Financial Assets - Held to Maturity </t>
  </si>
  <si>
    <t>Investments in Treasury Bills - Local</t>
  </si>
  <si>
    <t>Allowance for Impairment - Investments in Treasury Bills - Local</t>
  </si>
  <si>
    <t>Investments in  Bonds-Local</t>
  </si>
  <si>
    <t>Allowance for Impairment - Investments in Bonds - Local</t>
  </si>
  <si>
    <t>Financial Assets - Available for Sale</t>
  </si>
  <si>
    <t>Investments in Stocks</t>
  </si>
  <si>
    <t>Investments in Bonds</t>
  </si>
  <si>
    <t>Financial Assets - Others</t>
  </si>
  <si>
    <t>Deposits on Letters of Credit</t>
  </si>
  <si>
    <t>Allowance for Impairment - Deposits in Letters of Credit</t>
  </si>
  <si>
    <t>Guaranty Deposits</t>
  </si>
  <si>
    <t>Allowance for Impairment - Guaranty Deposits</t>
  </si>
  <si>
    <t>Other Investments</t>
  </si>
  <si>
    <t>Allowance for Impairment - Other Investments</t>
  </si>
  <si>
    <t>Investments in Joint Venture</t>
  </si>
  <si>
    <t>Allowance for Impairment - Investments in Joint Venture</t>
  </si>
  <si>
    <t>Sinking Fund</t>
  </si>
  <si>
    <t>Total Investments</t>
  </si>
  <si>
    <t>RECEIVABLES</t>
  </si>
  <si>
    <t>Loans and Receivable Accounts</t>
  </si>
  <si>
    <t>Accounts Receivable</t>
  </si>
  <si>
    <t>Allowance for Impairment - Accounts Receivable</t>
  </si>
  <si>
    <t>Real Property Tax Receivable</t>
  </si>
  <si>
    <t>Allowance for Impairment - RPT Receivable</t>
  </si>
  <si>
    <t>Special Education Tax Receivable</t>
  </si>
  <si>
    <t>Allowance for Impairment - SET Receivable</t>
  </si>
  <si>
    <t>Notes Receivable</t>
  </si>
  <si>
    <t>Allowance for Impairment - Notes Receivable</t>
  </si>
  <si>
    <t xml:space="preserve">Loans Receivable - Government-Owned and/or Controlled Corporations </t>
  </si>
  <si>
    <t xml:space="preserve">Allowance for Impairment - Loans Receivable - Government-Owned and/or Controlled Corporations </t>
  </si>
  <si>
    <t>Loans Receivable - Local Government Units</t>
  </si>
  <si>
    <t>Allowance for Impairment  - Loans Receivable - Local Government Units</t>
  </si>
  <si>
    <t>Interests Receivable</t>
  </si>
  <si>
    <t>Allowance for Impairment - Interests Receivable</t>
  </si>
  <si>
    <t>Dividends Receivable</t>
  </si>
  <si>
    <t>Allowance for Impairment - Dividends Receivable</t>
  </si>
  <si>
    <t>Loans Receivable - Others</t>
  </si>
  <si>
    <t>Allowance for Impairment - Loans Receivable - Others</t>
  </si>
  <si>
    <t>Lease  Receivables</t>
  </si>
  <si>
    <t>Operating Lease  Receivable</t>
  </si>
  <si>
    <t>Allowance for Impairment - Operating Lease Receivable</t>
  </si>
  <si>
    <t>Finance Lease Receivable</t>
  </si>
  <si>
    <t>Allowance for Impairment - Finance Lease Receivable</t>
  </si>
  <si>
    <t>Inter-Agency Receivables</t>
  </si>
  <si>
    <t>Due from National Government Agencies</t>
  </si>
  <si>
    <t>Allowance for Impairment - Due from National Government Agencies</t>
  </si>
  <si>
    <t>Due from Government-Owned and/or Controlled Corporations</t>
  </si>
  <si>
    <t>Allowance for Impairment - Due from GOCCs</t>
  </si>
  <si>
    <t>Due from Local Government Units</t>
  </si>
  <si>
    <t>Allowance for Impairment - Due from LGUs</t>
  </si>
  <si>
    <t>Due from Joint Venture</t>
  </si>
  <si>
    <t>Allowance for Impairment - Due from Joint Venture</t>
  </si>
  <si>
    <t>Intra-Agency Receivables</t>
  </si>
  <si>
    <t>Due from Other Funds</t>
  </si>
  <si>
    <t xml:space="preserve">Due from Special Accounts </t>
  </si>
  <si>
    <t>Due from Local Economic Enterprise</t>
  </si>
  <si>
    <t>Advances</t>
  </si>
  <si>
    <t>Advances for Operating Expenses</t>
  </si>
  <si>
    <t>Advances for Payroll</t>
  </si>
  <si>
    <t>Advances to Special Disbursing Officer</t>
  </si>
  <si>
    <t>Advances for Officers and Employees</t>
  </si>
  <si>
    <t xml:space="preserve">Other Receivables </t>
  </si>
  <si>
    <t>Receivables - Disallowances/Charges</t>
  </si>
  <si>
    <t>Allowance for Impairment - Receivables- Disallowances/Charges</t>
  </si>
  <si>
    <t>Due from Officers and Employees</t>
  </si>
  <si>
    <t>Allowance for Impairment - Due from Officers and Employees</t>
  </si>
  <si>
    <t>Due from Non-Government Organizations/People's Organizations</t>
  </si>
  <si>
    <t>Allowance for Impairment - Due from Non-Government Organizations/People's Organizations</t>
  </si>
  <si>
    <t>Other Receivables</t>
  </si>
  <si>
    <t>Allowance for Impairment - Other Receivables</t>
  </si>
  <si>
    <t>Total Receivables</t>
  </si>
  <si>
    <t>INVENTORIES</t>
  </si>
  <si>
    <t>Inventory Held for Sale</t>
  </si>
  <si>
    <t>Merchandise Inventory</t>
  </si>
  <si>
    <t>Inventory Held for Distribution</t>
  </si>
  <si>
    <t>Food Supplies for Distribution</t>
  </si>
  <si>
    <t>Welfare Goods for Distribution</t>
  </si>
  <si>
    <t>Drugs and Medicines for Distribution</t>
  </si>
  <si>
    <t>Medical, Dental and Laboratory Supplies for Distribution</t>
  </si>
  <si>
    <t>Agricultural and Marine Supplies for Distribution</t>
  </si>
  <si>
    <t>Agricultural Produce for Distribution</t>
  </si>
  <si>
    <t>Textbooks and Instructional Materials for Distribution</t>
  </si>
  <si>
    <t>Construction Materials for Distribution</t>
  </si>
  <si>
    <t>Property and Equipment for Distribution</t>
  </si>
  <si>
    <t>Other Supplies and Materials for Distribution</t>
  </si>
  <si>
    <t>Inventory Held for Manufacturing</t>
  </si>
  <si>
    <t>Raw Materials Inventory</t>
  </si>
  <si>
    <t>Work-in-Process Inventory</t>
  </si>
  <si>
    <t>Finished Goods Inventory</t>
  </si>
  <si>
    <t>Inventory Held for Consumption</t>
  </si>
  <si>
    <t>Office Supplies Inventory</t>
  </si>
  <si>
    <t xml:space="preserve">Accountable Forms, Plates and Stickers </t>
  </si>
  <si>
    <t>Non-Accountable Forms Inventory</t>
  </si>
  <si>
    <t>Animal/Zoological Supplies Inventory</t>
  </si>
  <si>
    <t>Food Supplies Inventory</t>
  </si>
  <si>
    <t>Drugs and Medicines Inventory</t>
  </si>
  <si>
    <t>Medical, Dental and Laboratory Supplies Inventory</t>
  </si>
  <si>
    <t>Fuel, Oil and Lubricants Inventory</t>
  </si>
  <si>
    <t>Agricultural and Marine Supplies Inventory</t>
  </si>
  <si>
    <t>Textbooks and Instructional Materials Inventory</t>
  </si>
  <si>
    <t>Military, Police and Traffic Supplies Inventory</t>
  </si>
  <si>
    <t>Chemical and Filtering Supplies Inventory</t>
  </si>
  <si>
    <t>Construction Materials Inventory</t>
  </si>
  <si>
    <t>Other Supplies and Materials Inventory</t>
  </si>
  <si>
    <t>Total Inventories</t>
  </si>
  <si>
    <t>PREPAYMENTS AND DEFERRED CHARGES</t>
  </si>
  <si>
    <t>Prepayments</t>
  </si>
  <si>
    <t>Advances to Contractors</t>
  </si>
  <si>
    <t>Prepaid Rent</t>
  </si>
  <si>
    <t>Prepaid Registration</t>
  </si>
  <si>
    <t>Prepaid Interest</t>
  </si>
  <si>
    <t>Prepaid Insurance</t>
  </si>
  <si>
    <t>Other Prepayments</t>
  </si>
  <si>
    <t>Deferred Charges</t>
  </si>
  <si>
    <t>Discount on Advance Payments</t>
  </si>
  <si>
    <t>Total Prepayments and Deferred Charges</t>
  </si>
  <si>
    <t>Total Current Assets</t>
  </si>
  <si>
    <t>NON-CURRENT ASSETS</t>
  </si>
  <si>
    <t>Investments in Time Deposits (more than 1 year)</t>
  </si>
  <si>
    <t>INVESTMENT PROPERTY</t>
  </si>
  <si>
    <t>Land and Buildings</t>
  </si>
  <si>
    <t>Investment Property,  Land</t>
  </si>
  <si>
    <t xml:space="preserve">Accumulated Impairment Losses - Investment Property,  Land </t>
  </si>
  <si>
    <t>Investment Property, Buildings</t>
  </si>
  <si>
    <t>Accumulated Depreciation - Investment Property, Buildings</t>
  </si>
  <si>
    <t>Accumulated Impairment Losses - Investment Property,  Buildings</t>
  </si>
  <si>
    <t>Construction in Progress - Investment Property, Buildings</t>
  </si>
  <si>
    <t xml:space="preserve">Total Investment Property </t>
  </si>
  <si>
    <t>PROPERTY, PLANT AND EQUIPMENT</t>
  </si>
  <si>
    <t>Land</t>
  </si>
  <si>
    <t xml:space="preserve">Accumulated Impairment Losses - Land </t>
  </si>
  <si>
    <t>Land Improvements</t>
  </si>
  <si>
    <t>Land Improvements,  Aquaculture Structures</t>
  </si>
  <si>
    <t>Accumulated Depreciation - Land Improvements, Aquaculture Structures</t>
  </si>
  <si>
    <t>Accumulated Impairment Losses - Land Improvements, Aquaculture Structures</t>
  </si>
  <si>
    <t>Other Land Improvements</t>
  </si>
  <si>
    <t>Accumulated Depreciation - Other Land Improvements</t>
  </si>
  <si>
    <t>Accumulated Impairment Losses - Other Land Improvements</t>
  </si>
  <si>
    <t>Infrastructure Assets</t>
  </si>
  <si>
    <t>Road Networks</t>
  </si>
  <si>
    <t>Accumulated Depreciation - Road Networks</t>
  </si>
  <si>
    <t>Accumulated Impairment Losses - Road Networks</t>
  </si>
  <si>
    <t>Flood Control Systems</t>
  </si>
  <si>
    <t>Accumulated Depreciation - Flood Control Systems</t>
  </si>
  <si>
    <t>Accumulated Impairment Losses - Flood Control Systems</t>
  </si>
  <si>
    <t>Sewer Systems</t>
  </si>
  <si>
    <t>Accumulated Depreciation - Sewer Systems</t>
  </si>
  <si>
    <t>Accumulated Impairment Losses - Sewer Systems</t>
  </si>
  <si>
    <t>Water Supply Systems</t>
  </si>
  <si>
    <t>Accumulated Depreciation - Water Supply Systems</t>
  </si>
  <si>
    <t>Accumulated Impairment Losses - Water Supply Systems</t>
  </si>
  <si>
    <t>Power Supply Systems</t>
  </si>
  <si>
    <t>Accumulated Depreciation - Power Supply Systems</t>
  </si>
  <si>
    <t>Accumulated Impairment Losses - Power Supply Systems</t>
  </si>
  <si>
    <t>Communication Networks</t>
  </si>
  <si>
    <t>Accumulated Depreciation - Communication Networks</t>
  </si>
  <si>
    <t>Accumulated Impairment Losses - Communication Networks</t>
  </si>
  <si>
    <t>Seaport Systems</t>
  </si>
  <si>
    <t>Accumulated Depreciation - Seaport Systems</t>
  </si>
  <si>
    <t>Accumulated Impairment Losses - Seaport Systems</t>
  </si>
  <si>
    <t>Airport Systems</t>
  </si>
  <si>
    <t>Accumulated Depreciation - Airport Systems</t>
  </si>
  <si>
    <t>Accumulated Impairment Losses - Airport Systems</t>
  </si>
  <si>
    <t>Parks, Plazas and Monuments</t>
  </si>
  <si>
    <t>Accumulated Depreciation - Parks, Plazas and Monuments</t>
  </si>
  <si>
    <t>Accumulated Impairment Losses - Parks, Plazas and Monuments</t>
  </si>
  <si>
    <t>Other Infrastructure Assets</t>
  </si>
  <si>
    <t>Accumulated Depreciation - Other Infrastructure Assets</t>
  </si>
  <si>
    <t>Accumulated Impairment Losses - Other Infrastructure Assets</t>
  </si>
  <si>
    <t>Buildings and Other Structures</t>
  </si>
  <si>
    <t>Buildings</t>
  </si>
  <si>
    <t>Accumulated Depreciation - Buildings</t>
  </si>
  <si>
    <t>Accumulated Impairment Losses - Buildings</t>
  </si>
  <si>
    <t xml:space="preserve">School Buildings </t>
  </si>
  <si>
    <t xml:space="preserve">Accumulated Depreciation - School Buildings </t>
  </si>
  <si>
    <t>Accumulated Impairment Losses - School Buildings</t>
  </si>
  <si>
    <t>Hospitals and Health Centers</t>
  </si>
  <si>
    <t>Accumulated Depreciation - Hospitals and Health Centers</t>
  </si>
  <si>
    <t>Accumulated Impairment Losses - Hospitals and Health Centers</t>
  </si>
  <si>
    <t>Markets</t>
  </si>
  <si>
    <t xml:space="preserve">Accumulated Depreciation - Markets </t>
  </si>
  <si>
    <t>Accumulated Impairment Losses - Markets</t>
  </si>
  <si>
    <t>Slaughterhouses</t>
  </si>
  <si>
    <t>Accumulated Depreciation - Slaughterhouses</t>
  </si>
  <si>
    <t>Accumulated Impairment Losses- Slaughterhouses</t>
  </si>
  <si>
    <t>Hostels and Dormitories</t>
  </si>
  <si>
    <t>Accumulated Depreciation - Hostels and Dormitories</t>
  </si>
  <si>
    <t>Accumulated Impairment Losses - Hostels and Dormitories</t>
  </si>
  <si>
    <t>Other Structures</t>
  </si>
  <si>
    <t>Accumulated Depreciation - Other Structures</t>
  </si>
  <si>
    <t>Accumulated Impairment Losses - Other Structures</t>
  </si>
  <si>
    <t xml:space="preserve"> Machinery  and Equipment </t>
  </si>
  <si>
    <t>Machinery</t>
  </si>
  <si>
    <t xml:space="preserve">Accumulated Depreciation - Machinery </t>
  </si>
  <si>
    <t>Accumulated Impairment Losses - Machinery</t>
  </si>
  <si>
    <t>Office Equipment</t>
  </si>
  <si>
    <t>Accumulated Depreciation - Office Equipment</t>
  </si>
  <si>
    <t>Accumulated Impairment Losses - Office Equipment</t>
  </si>
  <si>
    <t xml:space="preserve">Information and Communication Technology  Equipment </t>
  </si>
  <si>
    <t xml:space="preserve">Accumulated Depreciation - Information and Communication Technology  Equipment </t>
  </si>
  <si>
    <t>Accumulated Impairment Losses - Information and Communication Technology  Equipment</t>
  </si>
  <si>
    <t>Agricultural and  Forestry Equipment</t>
  </si>
  <si>
    <t xml:space="preserve">Accumulated Depreciation - Agricultural  and Forestry Equipment </t>
  </si>
  <si>
    <t xml:space="preserve">Accumulated Impairment Losses - Agricultural  and Forestry Equipment </t>
  </si>
  <si>
    <t>Marine and Fishery Equipment</t>
  </si>
  <si>
    <t xml:space="preserve">Accumulated Depreciation - Marine and Fishery Equipment </t>
  </si>
  <si>
    <t xml:space="preserve">Accumulated Impairment Losses - Marine and Fishery Equipment </t>
  </si>
  <si>
    <t>Airport Equipment</t>
  </si>
  <si>
    <t>Accumulated Depreciation - Airport Equipment</t>
  </si>
  <si>
    <t>Accumulated Impairment Losses - Airport Equipment</t>
  </si>
  <si>
    <t>Communication Equipment</t>
  </si>
  <si>
    <t>Accumulated Depreciation - Communication Equipment</t>
  </si>
  <si>
    <t>Accumulated Impairment Losses - Communication Equipment</t>
  </si>
  <si>
    <t>Construction and Heavy Equipment</t>
  </si>
  <si>
    <t>Accumulated Depreciation - Construction and Heavy Equipment</t>
  </si>
  <si>
    <t>Accumulated Impairment Losses - Construction and Heavy Equipment</t>
  </si>
  <si>
    <t>Disaster Response and Rescue Equipment</t>
  </si>
  <si>
    <t>Accumulated Depreciation - Disaster Response and Rescue Equipment</t>
  </si>
  <si>
    <t>Accumulated Impairment Losses - Disaster Response and Rescue Equipment</t>
  </si>
  <si>
    <t xml:space="preserve">Military, Police and Security Equipment </t>
  </si>
  <si>
    <t>Accumulated Depreciation - Military, Police and Security Equipment</t>
  </si>
  <si>
    <t>Accumulated Impairment Losses - Military, Police and Security Equipment</t>
  </si>
  <si>
    <t>Medical Equipment</t>
  </si>
  <si>
    <t>Accumulated Depreciation - Medical Equipment</t>
  </si>
  <si>
    <t>Accumulated Impairment Losses - Medical Equipment</t>
  </si>
  <si>
    <t>Printing Equipment</t>
  </si>
  <si>
    <t>Accumulated Depreciation - Printing Equipment</t>
  </si>
  <si>
    <t>Accumulated Impairment Losses - Printing Equipment</t>
  </si>
  <si>
    <t>Sports Equipment</t>
  </si>
  <si>
    <t>Accumulated Depreciation - Sports Equipment</t>
  </si>
  <si>
    <t>Accumulated Impairment Losses - Sports Equipment</t>
  </si>
  <si>
    <t xml:space="preserve">Technical and Scientific  Equipment </t>
  </si>
  <si>
    <t>Accumulated Depreciation - Technical and Scientific  Equipment</t>
  </si>
  <si>
    <t>Accumulated Impairment Losses - Technical and Scientific  Equipment</t>
  </si>
  <si>
    <t xml:space="preserve">Other Machinery and Equipment </t>
  </si>
  <si>
    <t xml:space="preserve">Accumulated Depreciation - Other Machinery and Equipment </t>
  </si>
  <si>
    <t xml:space="preserve">Accumulated Impairment Losses - Other Machinery and Equipment </t>
  </si>
  <si>
    <t>Transportation Equipment</t>
  </si>
  <si>
    <t>Motor Vehicles</t>
  </si>
  <si>
    <t>Accumulated Depreciation - Motor Vehicles</t>
  </si>
  <si>
    <t>Accumulated Impairment Losses - Motor Vehicles</t>
  </si>
  <si>
    <t>Trains</t>
  </si>
  <si>
    <t>Accumulated Depreciation - Trains</t>
  </si>
  <si>
    <t>Accumulated Impairment Losses - Trains</t>
  </si>
  <si>
    <t>Aircrafts and Aircrafts Ground Equipment</t>
  </si>
  <si>
    <t>Accumulated Depreciation - Aircrafts and Aircrafts Ground Equipment</t>
  </si>
  <si>
    <t>Accumulated Impairment Losses - Aircrafts and Aircrafts Ground Equipment</t>
  </si>
  <si>
    <t>Watercrafts</t>
  </si>
  <si>
    <t>Accumulated Depreciation - Watercrafts</t>
  </si>
  <si>
    <t xml:space="preserve">Accumulated Impairment Losses - Watercrafts </t>
  </si>
  <si>
    <t>Other Transportation Equipment</t>
  </si>
  <si>
    <t>Accumulated Depreciation - Other Transportation Equipment</t>
  </si>
  <si>
    <t>Accumulated Impairment Losses - Other Transportation Equipment</t>
  </si>
  <si>
    <t xml:space="preserve">Furniture, Fixtures and Books  </t>
  </si>
  <si>
    <t xml:space="preserve">Furniture and Fixtures </t>
  </si>
  <si>
    <t>Accumulated Depreciation - Furniture and Fixtures</t>
  </si>
  <si>
    <t>Accumulated Impairment Losses - Furniture and Fixtures</t>
  </si>
  <si>
    <t xml:space="preserve">Books </t>
  </si>
  <si>
    <t>Accumulated Depreciation - Books</t>
  </si>
  <si>
    <t>Accumulated Impairment Losses - Books</t>
  </si>
  <si>
    <t>Leased Assets</t>
  </si>
  <si>
    <t>Leased Assets, Land</t>
  </si>
  <si>
    <t>Accumulated Impairment Losses-Leased Assets, Land</t>
  </si>
  <si>
    <t>Leased Assets,  Buildings and Other Structures</t>
  </si>
  <si>
    <t>Accumulated Depreciation - Leased Assets,  Buildings and Other Structures</t>
  </si>
  <si>
    <t>Accumulated Impairment Losses - Leased Assets, Buildings and Other Structures</t>
  </si>
  <si>
    <t>Leased Assets,  Machinery and Equipment</t>
  </si>
  <si>
    <t>Accumulated Depreciation - Leased Assets, Machinery and Equipment</t>
  </si>
  <si>
    <t>Accumulated Impairment Losses - Leased Assets,  Machinery and Equipment</t>
  </si>
  <si>
    <t>Leased Assets, Transportation Equipment</t>
  </si>
  <si>
    <t>Accumulated Depreciation - Leased Assets, Transportation Equipment</t>
  </si>
  <si>
    <t>Accumulated Impairment Losses - Leased Assets,  Transportation Equipment</t>
  </si>
  <si>
    <t>Other Leased Assets</t>
  </si>
  <si>
    <t>Accumulated Depreciation - Other Leased Assets</t>
  </si>
  <si>
    <t>Accumulated Impairment Losses - Other Leased Assets</t>
  </si>
  <si>
    <t>Leased Assets Improvements</t>
  </si>
  <si>
    <t>Leased Assets Improvements, Land</t>
  </si>
  <si>
    <t>Accumulated Depreciation - Leased Assets Improvements, Land</t>
  </si>
  <si>
    <t>Accumulated Impairment Losses - Leased Assets Improvements, Land</t>
  </si>
  <si>
    <t>Leased Assets Improvements, Buildings</t>
  </si>
  <si>
    <t>Accumulated Depreciation - Leased Assets Improvements, Buildings</t>
  </si>
  <si>
    <t>Accumulated Impairment Losses - Leased Assets Improvements, Buildings</t>
  </si>
  <si>
    <t>Other Leased Assets Improvements</t>
  </si>
  <si>
    <t>Accumulated Depreciation - Other Leased Assets Improvements</t>
  </si>
  <si>
    <t>Accumulated Impairment Losses - Other Leased Assets Improvements</t>
  </si>
  <si>
    <t>Construction in Progress</t>
  </si>
  <si>
    <t>Construction in Progress - Land Improvements</t>
  </si>
  <si>
    <t xml:space="preserve">Construction in Progress - Infrastructure Assets </t>
  </si>
  <si>
    <t>Construction in Progress - Buildings and Other Structures</t>
  </si>
  <si>
    <t xml:space="preserve">Construction in Progress - Leased Assets </t>
  </si>
  <si>
    <t xml:space="preserve">Construction in Progress - Leased Assets Improvements </t>
  </si>
  <si>
    <t>Service Concession Assets</t>
  </si>
  <si>
    <t>Accumulated Depreciation - Service Concession Assets</t>
  </si>
  <si>
    <t>Accumulated Impairment Losses - Service Concession Assets</t>
  </si>
  <si>
    <t>Other Property, Plant and Equipment</t>
  </si>
  <si>
    <t>Work/Zoo Animals</t>
  </si>
  <si>
    <t>Accumulated Depreciation - Work/Zoo Animals</t>
  </si>
  <si>
    <t>Accumulated Impairment Losses - Work/Zoo Animals</t>
  </si>
  <si>
    <t>Accumulated Depreciation - Other Property, Plant and Equipment</t>
  </si>
  <si>
    <t>Accumulated Impairment Losses - Other Property, Plant and Equipment</t>
  </si>
  <si>
    <t>Total Property, Plant and Equipment</t>
  </si>
  <si>
    <t>BIOLOGICAL ASSETS</t>
  </si>
  <si>
    <t>Bearer Biological Assets</t>
  </si>
  <si>
    <t>Breeding Stocks</t>
  </si>
  <si>
    <t xml:space="preserve">Plants and Trees </t>
  </si>
  <si>
    <t>Aquaculture</t>
  </si>
  <si>
    <t>Other Bearer Biological Assets</t>
  </si>
  <si>
    <t>Total Biological Assets</t>
  </si>
  <si>
    <t>INTANGIBLE ASSETS</t>
  </si>
  <si>
    <t>Intangible Assets</t>
  </si>
  <si>
    <t>Patents/Copyrights</t>
  </si>
  <si>
    <t>Accumulated Amortization - Patents/Copyrights</t>
  </si>
  <si>
    <t>Accumulated Impairment - Patents/Copyrights</t>
  </si>
  <si>
    <t>Computer Software</t>
  </si>
  <si>
    <t>Accumulated Amortization - Computer Software</t>
  </si>
  <si>
    <t>Accumulated Impairment - Computer Software</t>
  </si>
  <si>
    <t>Other Intangible Assets</t>
  </si>
  <si>
    <t>Accumulated Amortization - Other Intangible Assets</t>
  </si>
  <si>
    <t>Accumulated Impairment - Other Intangible Assets</t>
  </si>
  <si>
    <t>Service Concession Assets - Intangible Assets</t>
  </si>
  <si>
    <t>TOTAL INTANGIBLE ASSETS</t>
  </si>
  <si>
    <t>Total Non-Current Assets</t>
  </si>
  <si>
    <t>TOTAL ASSETS</t>
  </si>
  <si>
    <t>LIABILITIES</t>
  </si>
  <si>
    <t>CURRENT LIABILITIES</t>
  </si>
  <si>
    <t>FINANCIAL LIABILITIES</t>
  </si>
  <si>
    <t>Payables</t>
  </si>
  <si>
    <t>Accounts Payable</t>
  </si>
  <si>
    <t>Due to Officers and Employees</t>
  </si>
  <si>
    <t>Notes Payable</t>
  </si>
  <si>
    <t>Interest Payable</t>
  </si>
  <si>
    <t>Operating Lease Payable</t>
  </si>
  <si>
    <t>Finance Lease Payable</t>
  </si>
  <si>
    <t>Awards and Rewards Payable</t>
  </si>
  <si>
    <t>Service Concession Arrangement Payable</t>
  </si>
  <si>
    <t>Pension Benefits Payable</t>
  </si>
  <si>
    <t>Leave Benefits Payable</t>
  </si>
  <si>
    <t>Retirement Gratuity Payable</t>
  </si>
  <si>
    <t>Total Payables</t>
  </si>
  <si>
    <t>Bills/Bonds/Loans Payable</t>
  </si>
  <si>
    <t>Bonds Payable - Domestic</t>
  </si>
  <si>
    <t>Discount on Bonds Payable - Domestic</t>
  </si>
  <si>
    <t>Premium on Bonds Payable - Domestic</t>
  </si>
  <si>
    <t>Loans Payable - Domestic</t>
  </si>
  <si>
    <t>Loans Payable - Foreign</t>
  </si>
  <si>
    <t>Total Bills/Bonds/Loans Payable</t>
  </si>
  <si>
    <t>Total Financial Liabilities</t>
  </si>
  <si>
    <t>Inter-Agency Payables</t>
  </si>
  <si>
    <t>Due to BIR</t>
  </si>
  <si>
    <t>Due to GSIS</t>
  </si>
  <si>
    <t>Due to Pag-IBIG</t>
  </si>
  <si>
    <t>Due to PhilHealth</t>
  </si>
  <si>
    <t>Due to NGAs</t>
  </si>
  <si>
    <t>Due to GOCCs</t>
  </si>
  <si>
    <t>Due to LGUs</t>
  </si>
  <si>
    <t>Due to Joint Venture</t>
  </si>
  <si>
    <t>Total Inter-Agency Payables</t>
  </si>
  <si>
    <t>Intra-Agency Payables</t>
  </si>
  <si>
    <t>Due to Other Funds</t>
  </si>
  <si>
    <t>Due to Special Accounts</t>
  </si>
  <si>
    <t>Due to Economic Enterprises</t>
  </si>
  <si>
    <t>Total Intra-Agency Payables</t>
  </si>
  <si>
    <t>Trust Liabilities</t>
  </si>
  <si>
    <t>Trust Liabilities - Disaster Risk Reduction and Management Fund</t>
  </si>
  <si>
    <t>Bail Bonds Payable</t>
  </si>
  <si>
    <t xml:space="preserve">Guaranty/Security Deposits Payable </t>
  </si>
  <si>
    <t>Customers' Deposits Payable</t>
  </si>
  <si>
    <t>Total Trust Liabilities</t>
  </si>
  <si>
    <t>Deferred Credits/Unearned Income</t>
  </si>
  <si>
    <t>Deferred Real Property Tax</t>
  </si>
  <si>
    <t>Deferred Special Education Tax</t>
  </si>
  <si>
    <t>Deferred Finance Lease Revenue</t>
  </si>
  <si>
    <t>Deferred Service Concession Revenue</t>
  </si>
  <si>
    <t xml:space="preserve">Unearned Revenue - Investment Property </t>
  </si>
  <si>
    <t xml:space="preserve">Other Deferred Credits </t>
  </si>
  <si>
    <t>Total Deferred Credits/Unearned Income</t>
  </si>
  <si>
    <t>Provisions</t>
  </si>
  <si>
    <t>Terminations Benefits</t>
  </si>
  <si>
    <t>Other Provisions</t>
  </si>
  <si>
    <t>Total Provisions</t>
  </si>
  <si>
    <t>Other Payables</t>
  </si>
  <si>
    <t>Total Other Payables</t>
  </si>
  <si>
    <t>TOTAL CURRENT LIABILITIES</t>
  </si>
  <si>
    <t>NON-CURRENT LIABILITIES</t>
  </si>
  <si>
    <t>Termination Benefits</t>
  </si>
  <si>
    <t>TOTAL NON- CURRENT LIABILITIES</t>
  </si>
  <si>
    <t>TOTAL LIABILITIES</t>
  </si>
  <si>
    <t>NET ASSETS/EQUITY</t>
  </si>
  <si>
    <t>Net Assets/Equity</t>
  </si>
  <si>
    <t>Prior Period Adjustments</t>
  </si>
  <si>
    <t>Equity in Joint Venture</t>
  </si>
  <si>
    <t>Total  Net Assets/Equity</t>
  </si>
  <si>
    <t>TOTAL LIABILITIES AND EQUITY</t>
  </si>
  <si>
    <t>STATEMENT OF FINANCIAL POSITION</t>
  </si>
  <si>
    <t>Cash and Cash Equivalents</t>
  </si>
  <si>
    <t>Investments</t>
  </si>
  <si>
    <t>Receivables</t>
  </si>
  <si>
    <t>Inventories</t>
  </si>
  <si>
    <t>Prepayment and Deferred Charges</t>
  </si>
  <si>
    <t>TOTAL CURRENT ASSETS</t>
  </si>
  <si>
    <t>Investment Property</t>
  </si>
  <si>
    <t>Property, Plant &amp; Equipment</t>
  </si>
  <si>
    <t>Biological Assets</t>
  </si>
  <si>
    <t>TOTAL NON-CURRENT ASSETS</t>
  </si>
  <si>
    <t>T O T A L   A S S E T S</t>
  </si>
  <si>
    <t>Financial Liabilities</t>
  </si>
  <si>
    <t>Trust Liablilities</t>
  </si>
  <si>
    <t>Financial Liablilities</t>
  </si>
  <si>
    <t>TOTAL NON-CURRENT LIABILITIES</t>
  </si>
  <si>
    <t>T O T A L   L I A B I L I T I E S</t>
  </si>
  <si>
    <t>Government Equity</t>
  </si>
  <si>
    <t>TOTAL LIABILITIES AND NET ASSETS/EQUITY</t>
  </si>
  <si>
    <t xml:space="preserve"> STATEMENT OF CONDENSED CASH FLOWS </t>
  </si>
  <si>
    <t>P A R T I C U L A R S</t>
  </si>
  <si>
    <t>CASH FLOW FROM OPERATING ACTIVITIES</t>
  </si>
  <si>
    <t xml:space="preserve">       Cash Inflows</t>
  </si>
  <si>
    <t xml:space="preserve">Collection from Taxpayers </t>
  </si>
  <si>
    <t>Share from Internal Revenue Allotment</t>
  </si>
  <si>
    <t>Receipts from Business/Service Income</t>
  </si>
  <si>
    <t>Interest Income</t>
  </si>
  <si>
    <t>Other Receipts</t>
  </si>
  <si>
    <t>Total Cash Inflows</t>
  </si>
  <si>
    <t xml:space="preserve">       Cash Outflows</t>
  </si>
  <si>
    <t>Payment of Expenses</t>
  </si>
  <si>
    <t>Payments to Suppliers and Creditors</t>
  </si>
  <si>
    <t>Payments to Employees</t>
  </si>
  <si>
    <t>Interest Expense</t>
  </si>
  <si>
    <t>Other Expenses</t>
  </si>
  <si>
    <t>Total Cash Outflows</t>
  </si>
  <si>
    <t xml:space="preserve">       Net Cash Flows from Operating Activities</t>
  </si>
  <si>
    <t>CASH FLOW FROM INVESTING ACTIVITIES</t>
  </si>
  <si>
    <t>Proceeds from Sale of Investment Property</t>
  </si>
  <si>
    <t>Proceeds from Sale/Disposal of Property, Plant and Equipment</t>
  </si>
  <si>
    <t>Proceeds from Sale of Non-Current Investments</t>
  </si>
  <si>
    <t>Collection of Principal on Loans to Other Entities</t>
  </si>
  <si>
    <t>Purchase/Construction of Investment Property</t>
  </si>
  <si>
    <t>Purchase/Construction of Property, Plant and Equipment</t>
  </si>
  <si>
    <t>Investment</t>
  </si>
  <si>
    <t>Purchase of Bearer Biological Assets</t>
  </si>
  <si>
    <t>Purchase of Intangible Assets</t>
  </si>
  <si>
    <t>Grant of Loans</t>
  </si>
  <si>
    <t xml:space="preserve">       Net Cash Flows from Investing Activities</t>
  </si>
  <si>
    <t>CASH FLOWS FROM FINANCING ACTIVITIES</t>
  </si>
  <si>
    <t>Proceeds from Issuance of Bonds</t>
  </si>
  <si>
    <t>Proceeds from Loans</t>
  </si>
  <si>
    <t>Payment of Long-Term Liabilities</t>
  </si>
  <si>
    <t>Retirement/Redemption of Debt Securities</t>
  </si>
  <si>
    <t>Payment of Loan Amortization</t>
  </si>
  <si>
    <t xml:space="preserve">       Net Cash Flows from Financing Activities</t>
  </si>
  <si>
    <t>Total Cash Provided by Operating, Investing and Financing Activities</t>
  </si>
  <si>
    <t>Add: Cash at the Beginning of the Year</t>
  </si>
  <si>
    <t>CASH BALANCE AT THE END OF THE YEAR</t>
  </si>
  <si>
    <t xml:space="preserve">          Certified Correct:</t>
  </si>
  <si>
    <t>Judy G. Parado, CPA</t>
  </si>
  <si>
    <t>Surplus(Deficit) for the period</t>
  </si>
  <si>
    <t>Statement of Changes in Net Assets/Equity</t>
  </si>
  <si>
    <t>Accumulated</t>
  </si>
  <si>
    <t>Surpluses/(Deficits)</t>
  </si>
  <si>
    <t>Add (Deduct)</t>
  </si>
  <si>
    <t>Change in Accounting Policy</t>
  </si>
  <si>
    <t>Prior Period Errors</t>
  </si>
  <si>
    <t>Restated Balance</t>
  </si>
  <si>
    <t>Add (Deduct) Changes in Net Assets/Equity during the year</t>
  </si>
  <si>
    <t>Adjustment of net revenue recognized directly in net assets/equity</t>
  </si>
  <si>
    <t>Surplus (Deficit) for the period</t>
  </si>
  <si>
    <t>Total recognized revenue and expenses for the 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</si>
</sst>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Calibri"/>
      <family val="2"/>
      <scheme val="minor"/>
    </font>
    <font>
      <b/>
      <sz val="12"/>
      <color theme="1"/>
      <name val="Arial Rounded MT Bold"/>
      <family val="2"/>
    </font>
    <font>
      <b/>
      <sz val="14"/>
      <color rgb="FFFF0000"/>
      <name val="Calibri"/>
      <family val="2"/>
      <scheme val="minor"/>
    </font>
    <font>
      <sz val="12"/>
      <color theme="1"/>
      <name val="Times New Roman"/>
      <family val="1"/>
    </font>
    <font>
      <i/>
      <sz val="14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i/>
      <sz val="12"/>
      <name val="Calibri"/>
      <family val="2"/>
      <scheme val="minor"/>
    </font>
    <font>
      <sz val="11"/>
      <name val="Times New Roman"/>
      <family val="1"/>
    </font>
    <font>
      <b/>
      <sz val="12"/>
      <color theme="1"/>
      <name val="Calibri"/>
      <family val="2"/>
      <scheme val="minor"/>
    </font>
    <font>
      <sz val="10"/>
      <color indexed="8"/>
      <name val="MS Sans Serif"/>
      <family val="2"/>
    </font>
    <font>
      <b/>
      <sz val="10"/>
      <name val="Arial"/>
      <family val="2"/>
    </font>
    <font>
      <b/>
      <sz val="10"/>
      <color indexed="8"/>
      <name val="MS Sans Serif"/>
      <family val="2"/>
    </font>
    <font>
      <b/>
      <sz val="10"/>
      <color indexed="8"/>
      <name val="Arial"/>
      <family val="2"/>
    </font>
    <font>
      <b/>
      <sz val="11.05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4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u val="singleAccounting"/>
      <sz val="12"/>
      <color rgb="FF000000"/>
      <name val="Calibri"/>
      <family val="2"/>
      <scheme val="minor"/>
    </font>
    <font>
      <b/>
      <u val="doubleAccounting"/>
      <sz val="14"/>
      <color rgb="FF000000"/>
      <name val="Calibri"/>
      <family val="2"/>
      <scheme val="minor"/>
    </font>
    <font>
      <u val="singleAccounting"/>
      <sz val="12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MS Sans Serif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MS Sans Serif"/>
      <family val="2"/>
    </font>
    <font>
      <sz val="12"/>
      <color rgb="FFFF0000"/>
      <name val="Calibri"/>
      <family val="2"/>
      <scheme val="minor"/>
    </font>
    <font>
      <b/>
      <sz val="12"/>
      <name val="Arial Rounded MT Bold"/>
      <family val="2"/>
    </font>
    <font>
      <b/>
      <sz val="16"/>
      <color rgb="FFFF0000"/>
      <name val="Arial Rounded MT Bold"/>
      <family val="2"/>
    </font>
    <font>
      <b/>
      <sz val="12"/>
      <color rgb="FF002060"/>
      <name val="Calibri"/>
      <family val="2"/>
      <scheme val="minor"/>
    </font>
    <font>
      <sz val="12"/>
      <name val="Times New Roman"/>
      <family val="1"/>
    </font>
    <font>
      <b/>
      <sz val="12"/>
      <color rgb="FFFF0000"/>
      <name val="Calibri"/>
      <family val="2"/>
      <scheme val="minor"/>
    </font>
    <font>
      <b/>
      <sz val="12"/>
      <color theme="9" tint="-0.499984740745262"/>
      <name val="Calibri"/>
      <family val="2"/>
      <scheme val="minor"/>
    </font>
    <font>
      <sz val="12"/>
      <color theme="9" tint="-0.499984740745262"/>
      <name val="Calibri"/>
      <family val="2"/>
      <scheme val="minor"/>
    </font>
    <font>
      <sz val="12"/>
      <color theme="9" tint="-0.499984740745262"/>
      <name val="Times New Roman"/>
      <family val="1"/>
    </font>
    <font>
      <sz val="12"/>
      <color rgb="FFFF0000"/>
      <name val="Times New Roman"/>
      <family val="1"/>
    </font>
    <font>
      <sz val="12"/>
      <color rgb="FF000000"/>
      <name val="Calibri"/>
      <scheme val="minor"/>
    </font>
    <font>
      <sz val="14"/>
      <color theme="1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i/>
      <sz val="12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u/>
      <sz val="12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3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rgb="FF000000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double">
        <color indexed="64"/>
      </top>
      <bottom style="thick">
        <color indexed="64"/>
      </bottom>
      <diagonal/>
    </border>
    <border>
      <left/>
      <right/>
      <top style="double">
        <color indexed="64"/>
      </top>
      <bottom style="thick">
        <color indexed="64"/>
      </bottom>
      <diagonal/>
    </border>
    <border>
      <left/>
      <right style="thin">
        <color indexed="64"/>
      </right>
      <top style="double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0" fontId="16" fillId="0" borderId="0"/>
    <xf numFmtId="164" fontId="20" fillId="0" borderId="0" applyFont="0" applyFill="0" applyBorder="0" applyAlignment="0" applyProtection="0"/>
    <xf numFmtId="164" fontId="22" fillId="0" borderId="0" applyFont="0" applyFill="0" applyBorder="0" applyAlignment="0" applyProtection="0"/>
  </cellStyleXfs>
  <cellXfs count="213">
    <xf numFmtId="0" fontId="0" fillId="0" borderId="0" xfId="0"/>
    <xf numFmtId="0" fontId="3" fillId="0" borderId="0" xfId="0" applyFont="1"/>
    <xf numFmtId="0" fontId="4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164" fontId="10" fillId="0" borderId="0" xfId="1" applyFont="1" applyFill="1" applyBorder="1" applyAlignment="1">
      <alignment vertical="center"/>
    </xf>
    <xf numFmtId="0" fontId="15" fillId="0" borderId="0" xfId="0" applyFont="1" applyAlignment="1">
      <alignment vertical="center"/>
    </xf>
    <xf numFmtId="0" fontId="10" fillId="0" borderId="0" xfId="0" applyFont="1" applyAlignment="1">
      <alignment horizontal="right" vertical="center"/>
    </xf>
    <xf numFmtId="0" fontId="11" fillId="0" borderId="0" xfId="0" applyFont="1" applyAlignment="1">
      <alignment horizontal="left" vertical="center"/>
    </xf>
    <xf numFmtId="0" fontId="16" fillId="0" borderId="0" xfId="2"/>
    <xf numFmtId="164" fontId="16" fillId="0" borderId="0" xfId="2" applyNumberFormat="1"/>
    <xf numFmtId="0" fontId="17" fillId="0" borderId="0" xfId="2" applyFont="1"/>
    <xf numFmtId="0" fontId="18" fillId="0" borderId="0" xfId="2" applyFont="1"/>
    <xf numFmtId="0" fontId="19" fillId="0" borderId="0" xfId="2" applyFont="1" applyAlignment="1">
      <alignment horizontal="left" vertical="center"/>
    </xf>
    <xf numFmtId="0" fontId="19" fillId="0" borderId="0" xfId="2" applyFont="1" applyAlignment="1">
      <alignment horizontal="center" vertical="center"/>
    </xf>
    <xf numFmtId="164" fontId="21" fillId="0" borderId="0" xfId="3" applyFont="1" applyFill="1" applyBorder="1" applyAlignment="1" applyProtection="1"/>
    <xf numFmtId="164" fontId="19" fillId="0" borderId="0" xfId="3" applyFont="1" applyFill="1" applyBorder="1" applyAlignment="1" applyProtection="1"/>
    <xf numFmtId="164" fontId="21" fillId="0" borderId="0" xfId="3" applyFont="1" applyFill="1" applyBorder="1"/>
    <xf numFmtId="164" fontId="22" fillId="0" borderId="0" xfId="3" applyFont="1" applyFill="1" applyBorder="1"/>
    <xf numFmtId="164" fontId="17" fillId="0" borderId="0" xfId="3" applyFont="1" applyFill="1" applyBorder="1"/>
    <xf numFmtId="164" fontId="17" fillId="0" borderId="1" xfId="3" applyFont="1" applyFill="1" applyBorder="1"/>
    <xf numFmtId="0" fontId="21" fillId="0" borderId="0" xfId="2" applyFont="1" applyAlignment="1">
      <alignment horizontal="left" vertical="center"/>
    </xf>
    <xf numFmtId="164" fontId="17" fillId="0" borderId="0" xfId="4" applyFont="1" applyFill="1" applyBorder="1"/>
    <xf numFmtId="164" fontId="17" fillId="0" borderId="2" xfId="3" applyFont="1" applyFill="1" applyBorder="1"/>
    <xf numFmtId="164" fontId="19" fillId="0" borderId="0" xfId="3" applyFont="1" applyFill="1" applyBorder="1" applyAlignment="1">
      <alignment vertical="center"/>
    </xf>
    <xf numFmtId="164" fontId="17" fillId="0" borderId="3" xfId="3" applyFont="1" applyFill="1" applyBorder="1"/>
    <xf numFmtId="164" fontId="21" fillId="0" borderId="0" xfId="3" applyFont="1" applyFill="1" applyBorder="1" applyAlignment="1">
      <alignment vertical="center"/>
    </xf>
    <xf numFmtId="164" fontId="22" fillId="0" borderId="0" xfId="3" applyFont="1" applyFill="1" applyBorder="1" applyAlignment="1" applyProtection="1"/>
    <xf numFmtId="164" fontId="22" fillId="0" borderId="4" xfId="3" applyFont="1" applyFill="1" applyBorder="1"/>
    <xf numFmtId="164" fontId="19" fillId="0" borderId="0" xfId="3" applyFont="1" applyFill="1" applyBorder="1" applyAlignment="1">
      <alignment horizontal="left" vertical="center"/>
    </xf>
    <xf numFmtId="0" fontId="19" fillId="0" borderId="0" xfId="2" applyFont="1"/>
    <xf numFmtId="164" fontId="17" fillId="0" borderId="0" xfId="3" applyFont="1" applyFill="1" applyBorder="1" applyAlignment="1" applyProtection="1"/>
    <xf numFmtId="164" fontId="17" fillId="0" borderId="1" xfId="3" applyFont="1" applyFill="1" applyBorder="1" applyAlignment="1" applyProtection="1"/>
    <xf numFmtId="0" fontId="21" fillId="0" borderId="0" xfId="2" applyFont="1"/>
    <xf numFmtId="164" fontId="22" fillId="0" borderId="1" xfId="3" applyFont="1" applyFill="1" applyBorder="1"/>
    <xf numFmtId="164" fontId="17" fillId="0" borderId="5" xfId="3" applyFont="1" applyFill="1" applyBorder="1"/>
    <xf numFmtId="0" fontId="22" fillId="0" borderId="0" xfId="2" applyFont="1"/>
    <xf numFmtId="0" fontId="18" fillId="2" borderId="0" xfId="2" applyFont="1" applyFill="1"/>
    <xf numFmtId="0" fontId="16" fillId="2" borderId="0" xfId="2" applyFill="1"/>
    <xf numFmtId="164" fontId="26" fillId="0" borderId="0" xfId="0" applyNumberFormat="1" applyFont="1" applyAlignment="1">
      <alignment vertical="center"/>
    </xf>
    <xf numFmtId="164" fontId="27" fillId="0" borderId="6" xfId="0" applyNumberFormat="1" applyFont="1" applyBorder="1" applyAlignment="1">
      <alignment vertical="center"/>
    </xf>
    <xf numFmtId="164" fontId="28" fillId="0" borderId="0" xfId="0" applyNumberFormat="1" applyFont="1" applyAlignment="1">
      <alignment vertical="center"/>
    </xf>
    <xf numFmtId="164" fontId="29" fillId="0" borderId="0" xfId="0" applyNumberFormat="1" applyFont="1" applyAlignment="1">
      <alignment vertical="center"/>
    </xf>
    <xf numFmtId="164" fontId="30" fillId="0" borderId="0" xfId="0" applyNumberFormat="1" applyFont="1" applyAlignment="1">
      <alignment vertical="center"/>
    </xf>
    <xf numFmtId="0" fontId="10" fillId="0" borderId="0" xfId="0" applyFont="1" applyAlignment="1">
      <alignment horizontal="left" vertical="center"/>
    </xf>
    <xf numFmtId="164" fontId="32" fillId="0" borderId="0" xfId="2" applyNumberFormat="1" applyFont="1"/>
    <xf numFmtId="0" fontId="17" fillId="2" borderId="0" xfId="4" applyNumberFormat="1" applyFont="1" applyFill="1" applyBorder="1" applyAlignment="1">
      <alignment horizontal="center"/>
    </xf>
    <xf numFmtId="0" fontId="19" fillId="0" borderId="0" xfId="2" applyFont="1" applyAlignment="1">
      <alignment vertical="center"/>
    </xf>
    <xf numFmtId="164" fontId="22" fillId="0" borderId="0" xfId="3" applyFont="1" applyFill="1" applyBorder="1" applyAlignment="1">
      <alignment vertical="center"/>
    </xf>
    <xf numFmtId="0" fontId="21" fillId="0" borderId="0" xfId="2" applyFont="1" applyAlignment="1">
      <alignment vertical="center"/>
    </xf>
    <xf numFmtId="164" fontId="21" fillId="0" borderId="0" xfId="2" applyNumberFormat="1" applyFont="1" applyAlignment="1">
      <alignment vertical="center"/>
    </xf>
    <xf numFmtId="0" fontId="15" fillId="0" borderId="0" xfId="2" applyFont="1"/>
    <xf numFmtId="0" fontId="19" fillId="0" borderId="0" xfId="2" applyFont="1" applyAlignment="1">
      <alignment horizontal="left"/>
    </xf>
    <xf numFmtId="164" fontId="17" fillId="0" borderId="1" xfId="3" applyFont="1" applyFill="1" applyBorder="1" applyAlignment="1">
      <alignment vertical="center"/>
    </xf>
    <xf numFmtId="164" fontId="17" fillId="0" borderId="0" xfId="3" applyFont="1" applyFill="1" applyBorder="1" applyAlignment="1">
      <alignment vertical="center"/>
    </xf>
    <xf numFmtId="164" fontId="22" fillId="0" borderId="0" xfId="2" applyNumberFormat="1" applyFont="1" applyAlignment="1">
      <alignment vertical="center"/>
    </xf>
    <xf numFmtId="0" fontId="31" fillId="0" borderId="0" xfId="2" applyFont="1"/>
    <xf numFmtId="164" fontId="17" fillId="0" borderId="2" xfId="3" applyFont="1" applyFill="1" applyBorder="1" applyAlignment="1">
      <alignment vertical="center"/>
    </xf>
    <xf numFmtId="164" fontId="17" fillId="0" borderId="3" xfId="3" applyFont="1" applyFill="1" applyBorder="1" applyAlignment="1">
      <alignment vertical="center"/>
    </xf>
    <xf numFmtId="164" fontId="19" fillId="0" borderId="0" xfId="2" applyNumberFormat="1" applyFont="1" applyAlignment="1">
      <alignment vertical="center"/>
    </xf>
    <xf numFmtId="164" fontId="17" fillId="0" borderId="7" xfId="3" applyFont="1" applyFill="1" applyBorder="1" applyAlignment="1">
      <alignment vertical="center"/>
    </xf>
    <xf numFmtId="0" fontId="17" fillId="0" borderId="0" xfId="2" applyFont="1" applyAlignment="1">
      <alignment horizontal="left" vertical="center"/>
    </xf>
    <xf numFmtId="0" fontId="17" fillId="0" borderId="0" xfId="2" applyFont="1" applyAlignment="1">
      <alignment vertical="center"/>
    </xf>
    <xf numFmtId="0" fontId="22" fillId="0" borderId="0" xfId="2" applyFont="1" applyAlignment="1">
      <alignment vertical="center"/>
    </xf>
    <xf numFmtId="164" fontId="17" fillId="0" borderId="8" xfId="3" applyFont="1" applyFill="1" applyBorder="1" applyAlignment="1">
      <alignment vertical="center"/>
    </xf>
    <xf numFmtId="164" fontId="22" fillId="0" borderId="0" xfId="3" applyFont="1" applyFill="1" applyBorder="1" applyAlignment="1" applyProtection="1">
      <alignment vertical="center"/>
    </xf>
    <xf numFmtId="0" fontId="33" fillId="0" borderId="0" xfId="2" applyFont="1" applyAlignment="1">
      <alignment horizontal="left" vertical="center"/>
    </xf>
    <xf numFmtId="164" fontId="33" fillId="0" borderId="0" xfId="2" applyNumberFormat="1" applyFont="1" applyAlignment="1">
      <alignment vertical="center"/>
    </xf>
    <xf numFmtId="0" fontId="34" fillId="0" borderId="0" xfId="2" applyFont="1" applyAlignment="1">
      <alignment vertical="center"/>
    </xf>
    <xf numFmtId="0" fontId="33" fillId="0" borderId="0" xfId="2" applyFont="1" applyAlignment="1">
      <alignment vertical="center"/>
    </xf>
    <xf numFmtId="164" fontId="33" fillId="0" borderId="2" xfId="3" applyFont="1" applyFill="1" applyBorder="1" applyAlignment="1">
      <alignment vertical="center"/>
    </xf>
    <xf numFmtId="0" fontId="35" fillId="0" borderId="0" xfId="2" applyFont="1"/>
    <xf numFmtId="164" fontId="34" fillId="0" borderId="2" xfId="3" applyFont="1" applyFill="1" applyBorder="1" applyAlignment="1">
      <alignment vertical="center"/>
    </xf>
    <xf numFmtId="164" fontId="17" fillId="0" borderId="9" xfId="3" applyFont="1" applyFill="1" applyBorder="1" applyAlignment="1">
      <alignment vertical="center"/>
    </xf>
    <xf numFmtId="0" fontId="22" fillId="0" borderId="0" xfId="2" applyFont="1" applyAlignment="1">
      <alignment horizontal="left" vertical="center"/>
    </xf>
    <xf numFmtId="164" fontId="22" fillId="0" borderId="4" xfId="3" applyFont="1" applyFill="1" applyBorder="1" applyAlignment="1">
      <alignment vertical="center"/>
    </xf>
    <xf numFmtId="164" fontId="3" fillId="0" borderId="0" xfId="4" applyFont="1"/>
    <xf numFmtId="0" fontId="23" fillId="2" borderId="10" xfId="0" applyFont="1" applyFill="1" applyBorder="1" applyAlignment="1">
      <alignment horizontal="center" vertical="center"/>
    </xf>
    <xf numFmtId="0" fontId="1" fillId="0" borderId="0" xfId="0" applyFont="1"/>
    <xf numFmtId="164" fontId="1" fillId="0" borderId="0" xfId="4" applyFont="1"/>
    <xf numFmtId="0" fontId="15" fillId="0" borderId="11" xfId="0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0" fontId="9" fillId="0" borderId="12" xfId="0" applyFont="1" applyBorder="1" applyAlignment="1">
      <alignment horizontal="left" vertical="center"/>
    </xf>
    <xf numFmtId="164" fontId="12" fillId="0" borderId="10" xfId="4" applyFont="1" applyFill="1" applyBorder="1" applyAlignment="1">
      <alignment vertical="center"/>
    </xf>
    <xf numFmtId="0" fontId="10" fillId="0" borderId="11" xfId="0" applyFont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0" fillId="0" borderId="12" xfId="0" applyFont="1" applyBorder="1" applyAlignment="1">
      <alignment vertical="center"/>
    </xf>
    <xf numFmtId="164" fontId="11" fillId="3" borderId="10" xfId="4" applyFont="1" applyFill="1" applyBorder="1" applyAlignment="1">
      <alignment vertical="center"/>
    </xf>
    <xf numFmtId="0" fontId="10" fillId="0" borderId="13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164" fontId="12" fillId="0" borderId="15" xfId="4" applyFont="1" applyFill="1" applyBorder="1" applyAlignment="1">
      <alignment vertical="center"/>
    </xf>
    <xf numFmtId="164" fontId="11" fillId="3" borderId="15" xfId="4" applyFont="1" applyFill="1" applyBorder="1" applyAlignment="1">
      <alignment vertical="center"/>
    </xf>
    <xf numFmtId="164" fontId="11" fillId="3" borderId="19" xfId="4" applyFont="1" applyFill="1" applyBorder="1" applyAlignment="1">
      <alignment vertical="center"/>
    </xf>
    <xf numFmtId="4" fontId="1" fillId="0" borderId="0" xfId="0" applyNumberFormat="1" applyFont="1"/>
    <xf numFmtId="164" fontId="36" fillId="4" borderId="10" xfId="4" applyFont="1" applyFill="1" applyBorder="1" applyAlignment="1">
      <alignment vertical="center"/>
    </xf>
    <xf numFmtId="164" fontId="11" fillId="0" borderId="10" xfId="4" applyFont="1" applyFill="1" applyBorder="1" applyAlignment="1">
      <alignment vertical="center"/>
    </xf>
    <xf numFmtId="164" fontId="11" fillId="2" borderId="10" xfId="4" applyFont="1" applyFill="1" applyBorder="1" applyAlignment="1">
      <alignment vertical="center"/>
    </xf>
    <xf numFmtId="0" fontId="3" fillId="0" borderId="0" xfId="0" applyFont="1" applyAlignment="1">
      <alignment vertical="center"/>
    </xf>
    <xf numFmtId="4" fontId="14" fillId="0" borderId="0" xfId="0" applyNumberFormat="1" applyFont="1" applyAlignment="1">
      <alignment vertical="center"/>
    </xf>
    <xf numFmtId="4" fontId="12" fillId="0" borderId="0" xfId="0" applyNumberFormat="1" applyFont="1" applyAlignment="1">
      <alignment vertical="center"/>
    </xf>
    <xf numFmtId="0" fontId="10" fillId="0" borderId="0" xfId="0" applyFont="1"/>
    <xf numFmtId="164" fontId="10" fillId="0" borderId="0" xfId="4" applyFont="1"/>
    <xf numFmtId="0" fontId="14" fillId="0" borderId="0" xfId="0" applyFont="1" applyAlignment="1">
      <alignment vertical="center"/>
    </xf>
    <xf numFmtId="4" fontId="7" fillId="0" borderId="0" xfId="0" applyNumberFormat="1" applyFont="1"/>
    <xf numFmtId="0" fontId="11" fillId="0" borderId="23" xfId="1" applyNumberFormat="1" applyFont="1" applyFill="1" applyBorder="1" applyAlignment="1">
      <alignment horizontal="center" vertical="center"/>
    </xf>
    <xf numFmtId="0" fontId="11" fillId="0" borderId="24" xfId="0" applyFont="1" applyBorder="1" applyAlignment="1">
      <alignment vertical="center"/>
    </xf>
    <xf numFmtId="0" fontId="12" fillId="0" borderId="25" xfId="0" applyFont="1" applyBorder="1" applyAlignment="1">
      <alignment vertical="center"/>
    </xf>
    <xf numFmtId="164" fontId="12" fillId="0" borderId="26" xfId="1" applyFont="1" applyFill="1" applyBorder="1" applyAlignment="1">
      <alignment vertical="center"/>
    </xf>
    <xf numFmtId="164" fontId="12" fillId="6" borderId="0" xfId="1" applyFont="1" applyFill="1" applyBorder="1" applyAlignment="1">
      <alignment vertical="center"/>
    </xf>
    <xf numFmtId="164" fontId="12" fillId="0" borderId="0" xfId="1" applyFont="1" applyBorder="1" applyAlignment="1">
      <alignment vertical="center"/>
    </xf>
    <xf numFmtId="0" fontId="12" fillId="0" borderId="24" xfId="0" applyFont="1" applyBorder="1" applyAlignment="1">
      <alignment vertical="center"/>
    </xf>
    <xf numFmtId="0" fontId="40" fillId="0" borderId="0" xfId="0" applyFont="1"/>
    <xf numFmtId="164" fontId="41" fillId="0" borderId="19" xfId="1" applyFont="1" applyFill="1" applyBorder="1" applyAlignment="1">
      <alignment vertical="center"/>
    </xf>
    <xf numFmtId="0" fontId="10" fillId="4" borderId="0" xfId="0" applyFont="1" applyFill="1"/>
    <xf numFmtId="0" fontId="7" fillId="4" borderId="0" xfId="0" applyFont="1" applyFill="1"/>
    <xf numFmtId="164" fontId="41" fillId="0" borderId="10" xfId="1" applyFont="1" applyFill="1" applyBorder="1" applyAlignment="1">
      <alignment vertical="center"/>
    </xf>
    <xf numFmtId="0" fontId="42" fillId="0" borderId="24" xfId="0" applyFont="1" applyBorder="1" applyAlignment="1">
      <alignment vertical="center"/>
    </xf>
    <xf numFmtId="0" fontId="43" fillId="0" borderId="0" xfId="0" applyFont="1" applyAlignment="1">
      <alignment vertical="center"/>
    </xf>
    <xf numFmtId="0" fontId="43" fillId="0" borderId="25" xfId="0" applyFont="1" applyBorder="1" applyAlignment="1">
      <alignment vertical="center"/>
    </xf>
    <xf numFmtId="164" fontId="42" fillId="0" borderId="27" xfId="1" applyFont="1" applyFill="1" applyBorder="1" applyAlignment="1">
      <alignment vertical="center"/>
    </xf>
    <xf numFmtId="4" fontId="44" fillId="0" borderId="0" xfId="0" applyNumberFormat="1" applyFont="1"/>
    <xf numFmtId="0" fontId="44" fillId="0" borderId="0" xfId="0" applyFont="1"/>
    <xf numFmtId="164" fontId="42" fillId="0" borderId="28" xfId="1" applyFont="1" applyFill="1" applyBorder="1" applyAlignment="1">
      <alignment vertical="center"/>
    </xf>
    <xf numFmtId="43" fontId="7" fillId="0" borderId="0" xfId="0" applyNumberFormat="1" applyFont="1"/>
    <xf numFmtId="164" fontId="11" fillId="0" borderId="29" xfId="1" applyFont="1" applyFill="1" applyBorder="1" applyAlignment="1">
      <alignment vertical="center"/>
    </xf>
    <xf numFmtId="164" fontId="11" fillId="0" borderId="19" xfId="1" applyFont="1" applyFill="1" applyBorder="1" applyAlignment="1">
      <alignment vertical="center"/>
    </xf>
    <xf numFmtId="164" fontId="41" fillId="0" borderId="28" xfId="1" applyFont="1" applyFill="1" applyBorder="1" applyAlignment="1">
      <alignment vertical="center"/>
    </xf>
    <xf numFmtId="0" fontId="45" fillId="0" borderId="0" xfId="0" applyFont="1"/>
    <xf numFmtId="4" fontId="45" fillId="4" borderId="0" xfId="0" applyNumberFormat="1" applyFont="1" applyFill="1"/>
    <xf numFmtId="164" fontId="10" fillId="0" borderId="0" xfId="1" applyFont="1" applyFill="1" applyAlignment="1">
      <alignment vertical="center"/>
    </xf>
    <xf numFmtId="43" fontId="7" fillId="4" borderId="0" xfId="0" applyNumberFormat="1" applyFont="1" applyFill="1"/>
    <xf numFmtId="43" fontId="10" fillId="0" borderId="0" xfId="0" applyNumberFormat="1" applyFont="1" applyAlignment="1">
      <alignment vertical="center"/>
    </xf>
    <xf numFmtId="4" fontId="7" fillId="5" borderId="0" xfId="0" applyNumberFormat="1" applyFont="1" applyFill="1"/>
    <xf numFmtId="164" fontId="46" fillId="0" borderId="32" xfId="0" applyNumberFormat="1" applyFont="1" applyBorder="1" applyAlignment="1">
      <alignment vertical="center"/>
    </xf>
    <xf numFmtId="164" fontId="0" fillId="0" borderId="0" xfId="0" applyNumberFormat="1"/>
    <xf numFmtId="0" fontId="48" fillId="0" borderId="0" xfId="0" applyFont="1"/>
    <xf numFmtId="0" fontId="50" fillId="0" borderId="0" xfId="0" applyFont="1" applyAlignment="1">
      <alignment horizontal="center"/>
    </xf>
    <xf numFmtId="0" fontId="51" fillId="0" borderId="0" xfId="0" applyFont="1" applyAlignment="1">
      <alignment horizontal="center"/>
    </xf>
    <xf numFmtId="0" fontId="52" fillId="0" borderId="0" xfId="0" applyFont="1"/>
    <xf numFmtId="0" fontId="53" fillId="0" borderId="0" xfId="0" applyFont="1" applyAlignment="1">
      <alignment horizontal="center"/>
    </xf>
    <xf numFmtId="0" fontId="51" fillId="0" borderId="0" xfId="0" applyFont="1"/>
    <xf numFmtId="4" fontId="48" fillId="0" borderId="0" xfId="0" applyNumberFormat="1" applyFont="1"/>
    <xf numFmtId="164" fontId="48" fillId="0" borderId="4" xfId="3" applyFont="1" applyBorder="1"/>
    <xf numFmtId="4" fontId="48" fillId="0" borderId="4" xfId="0" applyNumberFormat="1" applyFont="1" applyBorder="1"/>
    <xf numFmtId="4" fontId="51" fillId="0" borderId="9" xfId="0" applyNumberFormat="1" applyFont="1" applyBorder="1"/>
    <xf numFmtId="164" fontId="48" fillId="0" borderId="0" xfId="0" applyNumberFormat="1" applyFont="1"/>
    <xf numFmtId="43" fontId="48" fillId="0" borderId="0" xfId="0" applyNumberFormat="1" applyFont="1"/>
    <xf numFmtId="0" fontId="17" fillId="0" borderId="0" xfId="2" applyFont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5" fillId="0" borderId="0" xfId="2" applyFont="1" applyAlignment="1">
      <alignment horizontal="center" vertical="center"/>
    </xf>
    <xf numFmtId="0" fontId="24" fillId="0" borderId="0" xfId="2" applyFont="1" applyAlignment="1">
      <alignment horizontal="center" vertical="center"/>
    </xf>
    <xf numFmtId="0" fontId="23" fillId="0" borderId="0" xfId="2" applyFont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9" fillId="2" borderId="1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 vertical="center"/>
    </xf>
    <xf numFmtId="0" fontId="9" fillId="2" borderId="12" xfId="0" applyFont="1" applyFill="1" applyBorder="1" applyAlignment="1">
      <alignment horizontal="left" vertical="center"/>
    </xf>
    <xf numFmtId="0" fontId="15" fillId="3" borderId="16" xfId="0" applyFont="1" applyFill="1" applyBorder="1" applyAlignment="1">
      <alignment horizontal="center" vertical="center"/>
    </xf>
    <xf numFmtId="0" fontId="15" fillId="3" borderId="17" xfId="0" applyFont="1" applyFill="1" applyBorder="1" applyAlignment="1">
      <alignment horizontal="center" vertical="center"/>
    </xf>
    <xf numFmtId="0" fontId="15" fillId="3" borderId="18" xfId="0" applyFont="1" applyFill="1" applyBorder="1" applyAlignment="1">
      <alignment horizontal="center" vertical="center"/>
    </xf>
    <xf numFmtId="0" fontId="9" fillId="0" borderId="10" xfId="0" applyFont="1" applyBorder="1" applyAlignment="1">
      <alignment horizontal="left" vertical="center"/>
    </xf>
    <xf numFmtId="0" fontId="15" fillId="3" borderId="10" xfId="0" applyFont="1" applyFill="1" applyBorder="1" applyAlignment="1">
      <alignment horizontal="center" vertical="center"/>
    </xf>
    <xf numFmtId="0" fontId="15" fillId="0" borderId="10" xfId="0" applyFont="1" applyBorder="1" applyAlignment="1">
      <alignment horizontal="center" vertical="center"/>
    </xf>
    <xf numFmtId="0" fontId="15" fillId="3" borderId="15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39" fillId="0" borderId="9" xfId="0" applyFont="1" applyBorder="1" applyAlignment="1">
      <alignment horizontal="center" vertical="center"/>
    </xf>
    <xf numFmtId="0" fontId="11" fillId="0" borderId="20" xfId="0" applyFont="1" applyBorder="1" applyAlignment="1">
      <alignment horizontal="center" vertical="center"/>
    </xf>
    <xf numFmtId="0" fontId="11" fillId="0" borderId="21" xfId="0" applyFont="1" applyBorder="1" applyAlignment="1">
      <alignment horizontal="center" vertical="center"/>
    </xf>
    <xf numFmtId="0" fontId="11" fillId="0" borderId="22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2" fillId="0" borderId="25" xfId="0" applyFont="1" applyBorder="1" applyAlignment="1">
      <alignment vertical="center"/>
    </xf>
    <xf numFmtId="0" fontId="41" fillId="0" borderId="0" xfId="0" applyFont="1" applyAlignment="1">
      <alignment vertical="center"/>
    </xf>
    <xf numFmtId="0" fontId="41" fillId="0" borderId="25" xfId="0" applyFont="1" applyBorder="1" applyAlignment="1">
      <alignment vertical="center"/>
    </xf>
    <xf numFmtId="0" fontId="12" fillId="0" borderId="25" xfId="0" applyFont="1" applyBorder="1" applyAlignment="1">
      <alignment horizontal="left" vertical="center"/>
    </xf>
    <xf numFmtId="0" fontId="41" fillId="0" borderId="0" xfId="0" applyFont="1" applyAlignment="1">
      <alignment horizontal="left" vertical="center"/>
    </xf>
    <xf numFmtId="0" fontId="41" fillId="0" borderId="25" xfId="0" applyFont="1" applyBorder="1" applyAlignment="1">
      <alignment horizontal="left" vertical="center"/>
    </xf>
    <xf numFmtId="43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44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1" fillId="0" borderId="24" xfId="0" applyFont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0" borderId="25" xfId="0" applyFont="1" applyBorder="1" applyAlignment="1">
      <alignment horizontal="left" vertical="center"/>
    </xf>
    <xf numFmtId="0" fontId="41" fillId="0" borderId="30" xfId="0" applyFont="1" applyBorder="1" applyAlignment="1">
      <alignment horizontal="left" vertical="center"/>
    </xf>
    <xf numFmtId="0" fontId="41" fillId="0" borderId="9" xfId="0" applyFont="1" applyBorder="1" applyAlignment="1">
      <alignment horizontal="left" vertical="center"/>
    </xf>
    <xf numFmtId="0" fontId="41" fillId="0" borderId="31" xfId="0" applyFont="1" applyBorder="1" applyAlignment="1">
      <alignment horizontal="left" vertical="center"/>
    </xf>
    <xf numFmtId="43" fontId="15" fillId="0" borderId="0" xfId="0" applyNumberFormat="1" applyFont="1" applyAlignment="1">
      <alignment horizontal="center" vertical="center"/>
    </xf>
    <xf numFmtId="0" fontId="47" fillId="0" borderId="0" xfId="0" applyFont="1" applyAlignment="1">
      <alignment horizontal="center"/>
    </xf>
    <xf numFmtId="0" fontId="51" fillId="0" borderId="0" xfId="0" applyFont="1" applyAlignment="1">
      <alignment horizontal="center"/>
    </xf>
    <xf numFmtId="0" fontId="52" fillId="0" borderId="0" xfId="0" applyFont="1" applyAlignment="1">
      <alignment horizontal="center"/>
    </xf>
    <xf numFmtId="0" fontId="51" fillId="0" borderId="0" xfId="0" applyFont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</cellXfs>
  <cellStyles count="5">
    <cellStyle name="Comma" xfId="1" builtinId="3"/>
    <cellStyle name="Comma 10 2" xfId="4" xr:uid="{3BF895E8-5467-4C42-8CAA-3DE7440EC2DE}"/>
    <cellStyle name="Comma 2" xfId="3" xr:uid="{898103D0-95E6-4A46-8E04-17665FEA4E59}"/>
    <cellStyle name="Normal" xfId="0" builtinId="0"/>
    <cellStyle name="Normal 2" xfId="2" xr:uid="{1A358807-2EA9-46A2-B125-D44387D8DDE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1002030</xdr:colOff>
      <xdr:row>82</xdr:row>
      <xdr:rowOff>80010</xdr:rowOff>
    </xdr:from>
    <xdr:to>
      <xdr:col>35</xdr:col>
      <xdr:colOff>180327</xdr:colOff>
      <xdr:row>88</xdr:row>
      <xdr:rowOff>81914</xdr:rowOff>
    </xdr:to>
    <xdr:sp macro="" textlink="">
      <xdr:nvSpPr>
        <xdr:cNvPr id="2" name="Right Brace 1">
          <a:extLst>
            <a:ext uri="{FF2B5EF4-FFF2-40B4-BE49-F238E27FC236}">
              <a16:creationId xmlns:a16="http://schemas.microsoft.com/office/drawing/2014/main" id="{05E86785-90E9-4EED-B236-7BB919F9546E}"/>
            </a:ext>
          </a:extLst>
        </xdr:cNvPr>
        <xdr:cNvSpPr/>
      </xdr:nvSpPr>
      <xdr:spPr>
        <a:xfrm>
          <a:off x="36968430" y="12519660"/>
          <a:ext cx="273672" cy="973454"/>
        </a:xfrm>
        <a:prstGeom prst="rightBrace">
          <a:avLst>
            <a:gd name="adj1" fmla="val 8333"/>
            <a:gd name="adj2" fmla="val 5342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62</xdr:col>
      <xdr:colOff>1019175</xdr:colOff>
      <xdr:row>82</xdr:row>
      <xdr:rowOff>80010</xdr:rowOff>
    </xdr:from>
    <xdr:to>
      <xdr:col>63</xdr:col>
      <xdr:colOff>178875</xdr:colOff>
      <xdr:row>88</xdr:row>
      <xdr:rowOff>81914</xdr:rowOff>
    </xdr:to>
    <xdr:sp macro="" textlink="">
      <xdr:nvSpPr>
        <xdr:cNvPr id="3" name="Right Brace 2">
          <a:extLst>
            <a:ext uri="{FF2B5EF4-FFF2-40B4-BE49-F238E27FC236}">
              <a16:creationId xmlns:a16="http://schemas.microsoft.com/office/drawing/2014/main" id="{3997E819-6643-4529-8066-4456F24BC0B2}"/>
            </a:ext>
          </a:extLst>
        </xdr:cNvPr>
        <xdr:cNvSpPr/>
      </xdr:nvSpPr>
      <xdr:spPr>
        <a:xfrm>
          <a:off x="67656075" y="12519660"/>
          <a:ext cx="255075" cy="973454"/>
        </a:xfrm>
        <a:prstGeom prst="rightBrace">
          <a:avLst>
            <a:gd name="adj1" fmla="val 8333"/>
            <a:gd name="adj2" fmla="val 5342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 editAs="oneCell">
    <xdr:from>
      <xdr:col>4</xdr:col>
      <xdr:colOff>809625</xdr:colOff>
      <xdr:row>0</xdr:row>
      <xdr:rowOff>0</xdr:rowOff>
    </xdr:from>
    <xdr:to>
      <xdr:col>4</xdr:col>
      <xdr:colOff>1795629</xdr:colOff>
      <xdr:row>8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A7ACA75-009A-462B-8F7A-2FCAAC53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0"/>
          <a:ext cx="986004" cy="857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490371</xdr:colOff>
      <xdr:row>0</xdr:row>
      <xdr:rowOff>76200</xdr:rowOff>
    </xdr:from>
    <xdr:to>
      <xdr:col>2</xdr:col>
      <xdr:colOff>0</xdr:colOff>
      <xdr:row>3</xdr:row>
      <xdr:rowOff>219075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BBE3E7-D274-47AC-8347-4C2C092233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0371" y="76200"/>
          <a:ext cx="881229" cy="857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1924050</xdr:colOff>
      <xdr:row>0</xdr:row>
      <xdr:rowOff>7843</xdr:rowOff>
    </xdr:from>
    <xdr:to>
      <xdr:col>4</xdr:col>
      <xdr:colOff>3224379</xdr:colOff>
      <xdr:row>0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DFBC4F-3030-494E-B24D-E289D2F41A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24125" y="0"/>
          <a:ext cx="814554" cy="723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1571624</xdr:colOff>
      <xdr:row>0</xdr:row>
      <xdr:rowOff>0</xdr:rowOff>
    </xdr:from>
    <xdr:to>
      <xdr:col>2</xdr:col>
      <xdr:colOff>2628900</xdr:colOff>
      <xdr:row>5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E4A43A-BA1B-45FA-A52F-6DA6CE8077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19349" y="0"/>
          <a:ext cx="1057276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0</xdr:row>
      <xdr:rowOff>28575</xdr:rowOff>
    </xdr:from>
    <xdr:to>
      <xdr:col>2</xdr:col>
      <xdr:colOff>368386</xdr:colOff>
      <xdr:row>3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F77088-9542-4441-ACDB-DE31C60230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28575"/>
          <a:ext cx="835111" cy="685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600074</xdr:colOff>
      <xdr:row>0</xdr:row>
      <xdr:rowOff>9655</xdr:rowOff>
    </xdr:from>
    <xdr:to>
      <xdr:col>3</xdr:col>
      <xdr:colOff>321859</xdr:colOff>
      <xdr:row>3</xdr:row>
      <xdr:rowOff>210248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7C0F62-39A0-4603-849C-DBD48CCBE2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9674" y="9655"/>
          <a:ext cx="940985" cy="88639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1040C-047F-47A4-923E-BCF92EADC7A4}">
  <dimension ref="A1:O334"/>
  <sheetViews>
    <sheetView view="pageLayout" topLeftCell="A294" zoomScale="130" zoomScaleNormal="100" zoomScalePageLayoutView="130" workbookViewId="0">
      <selection activeCell="F49" sqref="F49"/>
    </sheetView>
  </sheetViews>
  <sheetFormatPr defaultColWidth="16.42578125" defaultRowHeight="12.75" x14ac:dyDescent="0.2"/>
  <cols>
    <col min="1" max="1" width="2.140625" style="14" customWidth="1"/>
    <col min="2" max="2" width="2" style="14" customWidth="1"/>
    <col min="3" max="3" width="1.85546875" style="14" customWidth="1"/>
    <col min="4" max="4" width="3" style="14" customWidth="1"/>
    <col min="5" max="5" width="47.42578125" style="14" customWidth="1"/>
    <col min="6" max="7" width="19.7109375" style="15" customWidth="1"/>
    <col min="8" max="256" width="16.42578125" style="14"/>
    <col min="257" max="257" width="2.140625" style="14" customWidth="1"/>
    <col min="258" max="258" width="2" style="14" customWidth="1"/>
    <col min="259" max="259" width="1.85546875" style="14" customWidth="1"/>
    <col min="260" max="260" width="3" style="14" customWidth="1"/>
    <col min="261" max="261" width="47.42578125" style="14" customWidth="1"/>
    <col min="262" max="262" width="19.7109375" style="14" customWidth="1"/>
    <col min="263" max="512" width="16.42578125" style="14"/>
    <col min="513" max="513" width="2.140625" style="14" customWidth="1"/>
    <col min="514" max="514" width="2" style="14" customWidth="1"/>
    <col min="515" max="515" width="1.85546875" style="14" customWidth="1"/>
    <col min="516" max="516" width="3" style="14" customWidth="1"/>
    <col min="517" max="517" width="47.42578125" style="14" customWidth="1"/>
    <col min="518" max="518" width="19.7109375" style="14" customWidth="1"/>
    <col min="519" max="768" width="16.42578125" style="14"/>
    <col min="769" max="769" width="2.140625" style="14" customWidth="1"/>
    <col min="770" max="770" width="2" style="14" customWidth="1"/>
    <col min="771" max="771" width="1.85546875" style="14" customWidth="1"/>
    <col min="772" max="772" width="3" style="14" customWidth="1"/>
    <col min="773" max="773" width="47.42578125" style="14" customWidth="1"/>
    <col min="774" max="774" width="19.7109375" style="14" customWidth="1"/>
    <col min="775" max="1024" width="16.42578125" style="14"/>
    <col min="1025" max="1025" width="2.140625" style="14" customWidth="1"/>
    <col min="1026" max="1026" width="2" style="14" customWidth="1"/>
    <col min="1027" max="1027" width="1.85546875" style="14" customWidth="1"/>
    <col min="1028" max="1028" width="3" style="14" customWidth="1"/>
    <col min="1029" max="1029" width="47.42578125" style="14" customWidth="1"/>
    <col min="1030" max="1030" width="19.7109375" style="14" customWidth="1"/>
    <col min="1031" max="1280" width="16.42578125" style="14"/>
    <col min="1281" max="1281" width="2.140625" style="14" customWidth="1"/>
    <col min="1282" max="1282" width="2" style="14" customWidth="1"/>
    <col min="1283" max="1283" width="1.85546875" style="14" customWidth="1"/>
    <col min="1284" max="1284" width="3" style="14" customWidth="1"/>
    <col min="1285" max="1285" width="47.42578125" style="14" customWidth="1"/>
    <col min="1286" max="1286" width="19.7109375" style="14" customWidth="1"/>
    <col min="1287" max="1536" width="16.42578125" style="14"/>
    <col min="1537" max="1537" width="2.140625" style="14" customWidth="1"/>
    <col min="1538" max="1538" width="2" style="14" customWidth="1"/>
    <col min="1539" max="1539" width="1.85546875" style="14" customWidth="1"/>
    <col min="1540" max="1540" width="3" style="14" customWidth="1"/>
    <col min="1541" max="1541" width="47.42578125" style="14" customWidth="1"/>
    <col min="1542" max="1542" width="19.7109375" style="14" customWidth="1"/>
    <col min="1543" max="1792" width="16.42578125" style="14"/>
    <col min="1793" max="1793" width="2.140625" style="14" customWidth="1"/>
    <col min="1794" max="1794" width="2" style="14" customWidth="1"/>
    <col min="1795" max="1795" width="1.85546875" style="14" customWidth="1"/>
    <col min="1796" max="1796" width="3" style="14" customWidth="1"/>
    <col min="1797" max="1797" width="47.42578125" style="14" customWidth="1"/>
    <col min="1798" max="1798" width="19.7109375" style="14" customWidth="1"/>
    <col min="1799" max="2048" width="16.42578125" style="14"/>
    <col min="2049" max="2049" width="2.140625" style="14" customWidth="1"/>
    <col min="2050" max="2050" width="2" style="14" customWidth="1"/>
    <col min="2051" max="2051" width="1.85546875" style="14" customWidth="1"/>
    <col min="2052" max="2052" width="3" style="14" customWidth="1"/>
    <col min="2053" max="2053" width="47.42578125" style="14" customWidth="1"/>
    <col min="2054" max="2054" width="19.7109375" style="14" customWidth="1"/>
    <col min="2055" max="2304" width="16.42578125" style="14"/>
    <col min="2305" max="2305" width="2.140625" style="14" customWidth="1"/>
    <col min="2306" max="2306" width="2" style="14" customWidth="1"/>
    <col min="2307" max="2307" width="1.85546875" style="14" customWidth="1"/>
    <col min="2308" max="2308" width="3" style="14" customWidth="1"/>
    <col min="2309" max="2309" width="47.42578125" style="14" customWidth="1"/>
    <col min="2310" max="2310" width="19.7109375" style="14" customWidth="1"/>
    <col min="2311" max="2560" width="16.42578125" style="14"/>
    <col min="2561" max="2561" width="2.140625" style="14" customWidth="1"/>
    <col min="2562" max="2562" width="2" style="14" customWidth="1"/>
    <col min="2563" max="2563" width="1.85546875" style="14" customWidth="1"/>
    <col min="2564" max="2564" width="3" style="14" customWidth="1"/>
    <col min="2565" max="2565" width="47.42578125" style="14" customWidth="1"/>
    <col min="2566" max="2566" width="19.7109375" style="14" customWidth="1"/>
    <col min="2567" max="2816" width="16.42578125" style="14"/>
    <col min="2817" max="2817" width="2.140625" style="14" customWidth="1"/>
    <col min="2818" max="2818" width="2" style="14" customWidth="1"/>
    <col min="2819" max="2819" width="1.85546875" style="14" customWidth="1"/>
    <col min="2820" max="2820" width="3" style="14" customWidth="1"/>
    <col min="2821" max="2821" width="47.42578125" style="14" customWidth="1"/>
    <col min="2822" max="2822" width="19.7109375" style="14" customWidth="1"/>
    <col min="2823" max="3072" width="16.42578125" style="14"/>
    <col min="3073" max="3073" width="2.140625" style="14" customWidth="1"/>
    <col min="3074" max="3074" width="2" style="14" customWidth="1"/>
    <col min="3075" max="3075" width="1.85546875" style="14" customWidth="1"/>
    <col min="3076" max="3076" width="3" style="14" customWidth="1"/>
    <col min="3077" max="3077" width="47.42578125" style="14" customWidth="1"/>
    <col min="3078" max="3078" width="19.7109375" style="14" customWidth="1"/>
    <col min="3079" max="3328" width="16.42578125" style="14"/>
    <col min="3329" max="3329" width="2.140625" style="14" customWidth="1"/>
    <col min="3330" max="3330" width="2" style="14" customWidth="1"/>
    <col min="3331" max="3331" width="1.85546875" style="14" customWidth="1"/>
    <col min="3332" max="3332" width="3" style="14" customWidth="1"/>
    <col min="3333" max="3333" width="47.42578125" style="14" customWidth="1"/>
    <col min="3334" max="3334" width="19.7109375" style="14" customWidth="1"/>
    <col min="3335" max="3584" width="16.42578125" style="14"/>
    <col min="3585" max="3585" width="2.140625" style="14" customWidth="1"/>
    <col min="3586" max="3586" width="2" style="14" customWidth="1"/>
    <col min="3587" max="3587" width="1.85546875" style="14" customWidth="1"/>
    <col min="3588" max="3588" width="3" style="14" customWidth="1"/>
    <col min="3589" max="3589" width="47.42578125" style="14" customWidth="1"/>
    <col min="3590" max="3590" width="19.7109375" style="14" customWidth="1"/>
    <col min="3591" max="3840" width="16.42578125" style="14"/>
    <col min="3841" max="3841" width="2.140625" style="14" customWidth="1"/>
    <col min="3842" max="3842" width="2" style="14" customWidth="1"/>
    <col min="3843" max="3843" width="1.85546875" style="14" customWidth="1"/>
    <col min="3844" max="3844" width="3" style="14" customWidth="1"/>
    <col min="3845" max="3845" width="47.42578125" style="14" customWidth="1"/>
    <col min="3846" max="3846" width="19.7109375" style="14" customWidth="1"/>
    <col min="3847" max="4096" width="16.42578125" style="14"/>
    <col min="4097" max="4097" width="2.140625" style="14" customWidth="1"/>
    <col min="4098" max="4098" width="2" style="14" customWidth="1"/>
    <col min="4099" max="4099" width="1.85546875" style="14" customWidth="1"/>
    <col min="4100" max="4100" width="3" style="14" customWidth="1"/>
    <col min="4101" max="4101" width="47.42578125" style="14" customWidth="1"/>
    <col min="4102" max="4102" width="19.7109375" style="14" customWidth="1"/>
    <col min="4103" max="4352" width="16.42578125" style="14"/>
    <col min="4353" max="4353" width="2.140625" style="14" customWidth="1"/>
    <col min="4354" max="4354" width="2" style="14" customWidth="1"/>
    <col min="4355" max="4355" width="1.85546875" style="14" customWidth="1"/>
    <col min="4356" max="4356" width="3" style="14" customWidth="1"/>
    <col min="4357" max="4357" width="47.42578125" style="14" customWidth="1"/>
    <col min="4358" max="4358" width="19.7109375" style="14" customWidth="1"/>
    <col min="4359" max="4608" width="16.42578125" style="14"/>
    <col min="4609" max="4609" width="2.140625" style="14" customWidth="1"/>
    <col min="4610" max="4610" width="2" style="14" customWidth="1"/>
    <col min="4611" max="4611" width="1.85546875" style="14" customWidth="1"/>
    <col min="4612" max="4612" width="3" style="14" customWidth="1"/>
    <col min="4613" max="4613" width="47.42578125" style="14" customWidth="1"/>
    <col min="4614" max="4614" width="19.7109375" style="14" customWidth="1"/>
    <col min="4615" max="4864" width="16.42578125" style="14"/>
    <col min="4865" max="4865" width="2.140625" style="14" customWidth="1"/>
    <col min="4866" max="4866" width="2" style="14" customWidth="1"/>
    <col min="4867" max="4867" width="1.85546875" style="14" customWidth="1"/>
    <col min="4868" max="4868" width="3" style="14" customWidth="1"/>
    <col min="4869" max="4869" width="47.42578125" style="14" customWidth="1"/>
    <col min="4870" max="4870" width="19.7109375" style="14" customWidth="1"/>
    <col min="4871" max="5120" width="16.42578125" style="14"/>
    <col min="5121" max="5121" width="2.140625" style="14" customWidth="1"/>
    <col min="5122" max="5122" width="2" style="14" customWidth="1"/>
    <col min="5123" max="5123" width="1.85546875" style="14" customWidth="1"/>
    <col min="5124" max="5124" width="3" style="14" customWidth="1"/>
    <col min="5125" max="5125" width="47.42578125" style="14" customWidth="1"/>
    <col min="5126" max="5126" width="19.7109375" style="14" customWidth="1"/>
    <col min="5127" max="5376" width="16.42578125" style="14"/>
    <col min="5377" max="5377" width="2.140625" style="14" customWidth="1"/>
    <col min="5378" max="5378" width="2" style="14" customWidth="1"/>
    <col min="5379" max="5379" width="1.85546875" style="14" customWidth="1"/>
    <col min="5380" max="5380" width="3" style="14" customWidth="1"/>
    <col min="5381" max="5381" width="47.42578125" style="14" customWidth="1"/>
    <col min="5382" max="5382" width="19.7109375" style="14" customWidth="1"/>
    <col min="5383" max="5632" width="16.42578125" style="14"/>
    <col min="5633" max="5633" width="2.140625" style="14" customWidth="1"/>
    <col min="5634" max="5634" width="2" style="14" customWidth="1"/>
    <col min="5635" max="5635" width="1.85546875" style="14" customWidth="1"/>
    <col min="5636" max="5636" width="3" style="14" customWidth="1"/>
    <col min="5637" max="5637" width="47.42578125" style="14" customWidth="1"/>
    <col min="5638" max="5638" width="19.7109375" style="14" customWidth="1"/>
    <col min="5639" max="5888" width="16.42578125" style="14"/>
    <col min="5889" max="5889" width="2.140625" style="14" customWidth="1"/>
    <col min="5890" max="5890" width="2" style="14" customWidth="1"/>
    <col min="5891" max="5891" width="1.85546875" style="14" customWidth="1"/>
    <col min="5892" max="5892" width="3" style="14" customWidth="1"/>
    <col min="5893" max="5893" width="47.42578125" style="14" customWidth="1"/>
    <col min="5894" max="5894" width="19.7109375" style="14" customWidth="1"/>
    <col min="5895" max="6144" width="16.42578125" style="14"/>
    <col min="6145" max="6145" width="2.140625" style="14" customWidth="1"/>
    <col min="6146" max="6146" width="2" style="14" customWidth="1"/>
    <col min="6147" max="6147" width="1.85546875" style="14" customWidth="1"/>
    <col min="6148" max="6148" width="3" style="14" customWidth="1"/>
    <col min="6149" max="6149" width="47.42578125" style="14" customWidth="1"/>
    <col min="6150" max="6150" width="19.7109375" style="14" customWidth="1"/>
    <col min="6151" max="6400" width="16.42578125" style="14"/>
    <col min="6401" max="6401" width="2.140625" style="14" customWidth="1"/>
    <col min="6402" max="6402" width="2" style="14" customWidth="1"/>
    <col min="6403" max="6403" width="1.85546875" style="14" customWidth="1"/>
    <col min="6404" max="6404" width="3" style="14" customWidth="1"/>
    <col min="6405" max="6405" width="47.42578125" style="14" customWidth="1"/>
    <col min="6406" max="6406" width="19.7109375" style="14" customWidth="1"/>
    <col min="6407" max="6656" width="16.42578125" style="14"/>
    <col min="6657" max="6657" width="2.140625" style="14" customWidth="1"/>
    <col min="6658" max="6658" width="2" style="14" customWidth="1"/>
    <col min="6659" max="6659" width="1.85546875" style="14" customWidth="1"/>
    <col min="6660" max="6660" width="3" style="14" customWidth="1"/>
    <col min="6661" max="6661" width="47.42578125" style="14" customWidth="1"/>
    <col min="6662" max="6662" width="19.7109375" style="14" customWidth="1"/>
    <col min="6663" max="6912" width="16.42578125" style="14"/>
    <col min="6913" max="6913" width="2.140625" style="14" customWidth="1"/>
    <col min="6914" max="6914" width="2" style="14" customWidth="1"/>
    <col min="6915" max="6915" width="1.85546875" style="14" customWidth="1"/>
    <col min="6916" max="6916" width="3" style="14" customWidth="1"/>
    <col min="6917" max="6917" width="47.42578125" style="14" customWidth="1"/>
    <col min="6918" max="6918" width="19.7109375" style="14" customWidth="1"/>
    <col min="6919" max="7168" width="16.42578125" style="14"/>
    <col min="7169" max="7169" width="2.140625" style="14" customWidth="1"/>
    <col min="7170" max="7170" width="2" style="14" customWidth="1"/>
    <col min="7171" max="7171" width="1.85546875" style="14" customWidth="1"/>
    <col min="7172" max="7172" width="3" style="14" customWidth="1"/>
    <col min="7173" max="7173" width="47.42578125" style="14" customWidth="1"/>
    <col min="7174" max="7174" width="19.7109375" style="14" customWidth="1"/>
    <col min="7175" max="7424" width="16.42578125" style="14"/>
    <col min="7425" max="7425" width="2.140625" style="14" customWidth="1"/>
    <col min="7426" max="7426" width="2" style="14" customWidth="1"/>
    <col min="7427" max="7427" width="1.85546875" style="14" customWidth="1"/>
    <col min="7428" max="7428" width="3" style="14" customWidth="1"/>
    <col min="7429" max="7429" width="47.42578125" style="14" customWidth="1"/>
    <col min="7430" max="7430" width="19.7109375" style="14" customWidth="1"/>
    <col min="7431" max="7680" width="16.42578125" style="14"/>
    <col min="7681" max="7681" width="2.140625" style="14" customWidth="1"/>
    <col min="7682" max="7682" width="2" style="14" customWidth="1"/>
    <col min="7683" max="7683" width="1.85546875" style="14" customWidth="1"/>
    <col min="7684" max="7684" width="3" style="14" customWidth="1"/>
    <col min="7685" max="7685" width="47.42578125" style="14" customWidth="1"/>
    <col min="7686" max="7686" width="19.7109375" style="14" customWidth="1"/>
    <col min="7687" max="7936" width="16.42578125" style="14"/>
    <col min="7937" max="7937" width="2.140625" style="14" customWidth="1"/>
    <col min="7938" max="7938" width="2" style="14" customWidth="1"/>
    <col min="7939" max="7939" width="1.85546875" style="14" customWidth="1"/>
    <col min="7940" max="7940" width="3" style="14" customWidth="1"/>
    <col min="7941" max="7941" width="47.42578125" style="14" customWidth="1"/>
    <col min="7942" max="7942" width="19.7109375" style="14" customWidth="1"/>
    <col min="7943" max="8192" width="16.42578125" style="14"/>
    <col min="8193" max="8193" width="2.140625" style="14" customWidth="1"/>
    <col min="8194" max="8194" width="2" style="14" customWidth="1"/>
    <col min="8195" max="8195" width="1.85546875" style="14" customWidth="1"/>
    <col min="8196" max="8196" width="3" style="14" customWidth="1"/>
    <col min="8197" max="8197" width="47.42578125" style="14" customWidth="1"/>
    <col min="8198" max="8198" width="19.7109375" style="14" customWidth="1"/>
    <col min="8199" max="8448" width="16.42578125" style="14"/>
    <col min="8449" max="8449" width="2.140625" style="14" customWidth="1"/>
    <col min="8450" max="8450" width="2" style="14" customWidth="1"/>
    <col min="8451" max="8451" width="1.85546875" style="14" customWidth="1"/>
    <col min="8452" max="8452" width="3" style="14" customWidth="1"/>
    <col min="8453" max="8453" width="47.42578125" style="14" customWidth="1"/>
    <col min="8454" max="8454" width="19.7109375" style="14" customWidth="1"/>
    <col min="8455" max="8704" width="16.42578125" style="14"/>
    <col min="8705" max="8705" width="2.140625" style="14" customWidth="1"/>
    <col min="8706" max="8706" width="2" style="14" customWidth="1"/>
    <col min="8707" max="8707" width="1.85546875" style="14" customWidth="1"/>
    <col min="8708" max="8708" width="3" style="14" customWidth="1"/>
    <col min="8709" max="8709" width="47.42578125" style="14" customWidth="1"/>
    <col min="8710" max="8710" width="19.7109375" style="14" customWidth="1"/>
    <col min="8711" max="8960" width="16.42578125" style="14"/>
    <col min="8961" max="8961" width="2.140625" style="14" customWidth="1"/>
    <col min="8962" max="8962" width="2" style="14" customWidth="1"/>
    <col min="8963" max="8963" width="1.85546875" style="14" customWidth="1"/>
    <col min="8964" max="8964" width="3" style="14" customWidth="1"/>
    <col min="8965" max="8965" width="47.42578125" style="14" customWidth="1"/>
    <col min="8966" max="8966" width="19.7109375" style="14" customWidth="1"/>
    <col min="8967" max="9216" width="16.42578125" style="14"/>
    <col min="9217" max="9217" width="2.140625" style="14" customWidth="1"/>
    <col min="9218" max="9218" width="2" style="14" customWidth="1"/>
    <col min="9219" max="9219" width="1.85546875" style="14" customWidth="1"/>
    <col min="9220" max="9220" width="3" style="14" customWidth="1"/>
    <col min="9221" max="9221" width="47.42578125" style="14" customWidth="1"/>
    <col min="9222" max="9222" width="19.7109375" style="14" customWidth="1"/>
    <col min="9223" max="9472" width="16.42578125" style="14"/>
    <col min="9473" max="9473" width="2.140625" style="14" customWidth="1"/>
    <col min="9474" max="9474" width="2" style="14" customWidth="1"/>
    <col min="9475" max="9475" width="1.85546875" style="14" customWidth="1"/>
    <col min="9476" max="9476" width="3" style="14" customWidth="1"/>
    <col min="9477" max="9477" width="47.42578125" style="14" customWidth="1"/>
    <col min="9478" max="9478" width="19.7109375" style="14" customWidth="1"/>
    <col min="9479" max="9728" width="16.42578125" style="14"/>
    <col min="9729" max="9729" width="2.140625" style="14" customWidth="1"/>
    <col min="9730" max="9730" width="2" style="14" customWidth="1"/>
    <col min="9731" max="9731" width="1.85546875" style="14" customWidth="1"/>
    <col min="9732" max="9732" width="3" style="14" customWidth="1"/>
    <col min="9733" max="9733" width="47.42578125" style="14" customWidth="1"/>
    <col min="9734" max="9734" width="19.7109375" style="14" customWidth="1"/>
    <col min="9735" max="9984" width="16.42578125" style="14"/>
    <col min="9985" max="9985" width="2.140625" style="14" customWidth="1"/>
    <col min="9986" max="9986" width="2" style="14" customWidth="1"/>
    <col min="9987" max="9987" width="1.85546875" style="14" customWidth="1"/>
    <col min="9988" max="9988" width="3" style="14" customWidth="1"/>
    <col min="9989" max="9989" width="47.42578125" style="14" customWidth="1"/>
    <col min="9990" max="9990" width="19.7109375" style="14" customWidth="1"/>
    <col min="9991" max="10240" width="16.42578125" style="14"/>
    <col min="10241" max="10241" width="2.140625" style="14" customWidth="1"/>
    <col min="10242" max="10242" width="2" style="14" customWidth="1"/>
    <col min="10243" max="10243" width="1.85546875" style="14" customWidth="1"/>
    <col min="10244" max="10244" width="3" style="14" customWidth="1"/>
    <col min="10245" max="10245" width="47.42578125" style="14" customWidth="1"/>
    <col min="10246" max="10246" width="19.7109375" style="14" customWidth="1"/>
    <col min="10247" max="10496" width="16.42578125" style="14"/>
    <col min="10497" max="10497" width="2.140625" style="14" customWidth="1"/>
    <col min="10498" max="10498" width="2" style="14" customWidth="1"/>
    <col min="10499" max="10499" width="1.85546875" style="14" customWidth="1"/>
    <col min="10500" max="10500" width="3" style="14" customWidth="1"/>
    <col min="10501" max="10501" width="47.42578125" style="14" customWidth="1"/>
    <col min="10502" max="10502" width="19.7109375" style="14" customWidth="1"/>
    <col min="10503" max="10752" width="16.42578125" style="14"/>
    <col min="10753" max="10753" width="2.140625" style="14" customWidth="1"/>
    <col min="10754" max="10754" width="2" style="14" customWidth="1"/>
    <col min="10755" max="10755" width="1.85546875" style="14" customWidth="1"/>
    <col min="10756" max="10756" width="3" style="14" customWidth="1"/>
    <col min="10757" max="10757" width="47.42578125" style="14" customWidth="1"/>
    <col min="10758" max="10758" width="19.7109375" style="14" customWidth="1"/>
    <col min="10759" max="11008" width="16.42578125" style="14"/>
    <col min="11009" max="11009" width="2.140625" style="14" customWidth="1"/>
    <col min="11010" max="11010" width="2" style="14" customWidth="1"/>
    <col min="11011" max="11011" width="1.85546875" style="14" customWidth="1"/>
    <col min="11012" max="11012" width="3" style="14" customWidth="1"/>
    <col min="11013" max="11013" width="47.42578125" style="14" customWidth="1"/>
    <col min="11014" max="11014" width="19.7109375" style="14" customWidth="1"/>
    <col min="11015" max="11264" width="16.42578125" style="14"/>
    <col min="11265" max="11265" width="2.140625" style="14" customWidth="1"/>
    <col min="11266" max="11266" width="2" style="14" customWidth="1"/>
    <col min="11267" max="11267" width="1.85546875" style="14" customWidth="1"/>
    <col min="11268" max="11268" width="3" style="14" customWidth="1"/>
    <col min="11269" max="11269" width="47.42578125" style="14" customWidth="1"/>
    <col min="11270" max="11270" width="19.7109375" style="14" customWidth="1"/>
    <col min="11271" max="11520" width="16.42578125" style="14"/>
    <col min="11521" max="11521" width="2.140625" style="14" customWidth="1"/>
    <col min="11522" max="11522" width="2" style="14" customWidth="1"/>
    <col min="11523" max="11523" width="1.85546875" style="14" customWidth="1"/>
    <col min="11524" max="11524" width="3" style="14" customWidth="1"/>
    <col min="11525" max="11525" width="47.42578125" style="14" customWidth="1"/>
    <col min="11526" max="11526" width="19.7109375" style="14" customWidth="1"/>
    <col min="11527" max="11776" width="16.42578125" style="14"/>
    <col min="11777" max="11777" width="2.140625" style="14" customWidth="1"/>
    <col min="11778" max="11778" width="2" style="14" customWidth="1"/>
    <col min="11779" max="11779" width="1.85546875" style="14" customWidth="1"/>
    <col min="11780" max="11780" width="3" style="14" customWidth="1"/>
    <col min="11781" max="11781" width="47.42578125" style="14" customWidth="1"/>
    <col min="11782" max="11782" width="19.7109375" style="14" customWidth="1"/>
    <col min="11783" max="12032" width="16.42578125" style="14"/>
    <col min="12033" max="12033" width="2.140625" style="14" customWidth="1"/>
    <col min="12034" max="12034" width="2" style="14" customWidth="1"/>
    <col min="12035" max="12035" width="1.85546875" style="14" customWidth="1"/>
    <col min="12036" max="12036" width="3" style="14" customWidth="1"/>
    <col min="12037" max="12037" width="47.42578125" style="14" customWidth="1"/>
    <col min="12038" max="12038" width="19.7109375" style="14" customWidth="1"/>
    <col min="12039" max="12288" width="16.42578125" style="14"/>
    <col min="12289" max="12289" width="2.140625" style="14" customWidth="1"/>
    <col min="12290" max="12290" width="2" style="14" customWidth="1"/>
    <col min="12291" max="12291" width="1.85546875" style="14" customWidth="1"/>
    <col min="12292" max="12292" width="3" style="14" customWidth="1"/>
    <col min="12293" max="12293" width="47.42578125" style="14" customWidth="1"/>
    <col min="12294" max="12294" width="19.7109375" style="14" customWidth="1"/>
    <col min="12295" max="12544" width="16.42578125" style="14"/>
    <col min="12545" max="12545" width="2.140625" style="14" customWidth="1"/>
    <col min="12546" max="12546" width="2" style="14" customWidth="1"/>
    <col min="12547" max="12547" width="1.85546875" style="14" customWidth="1"/>
    <col min="12548" max="12548" width="3" style="14" customWidth="1"/>
    <col min="12549" max="12549" width="47.42578125" style="14" customWidth="1"/>
    <col min="12550" max="12550" width="19.7109375" style="14" customWidth="1"/>
    <col min="12551" max="12800" width="16.42578125" style="14"/>
    <col min="12801" max="12801" width="2.140625" style="14" customWidth="1"/>
    <col min="12802" max="12802" width="2" style="14" customWidth="1"/>
    <col min="12803" max="12803" width="1.85546875" style="14" customWidth="1"/>
    <col min="12804" max="12804" width="3" style="14" customWidth="1"/>
    <col min="12805" max="12805" width="47.42578125" style="14" customWidth="1"/>
    <col min="12806" max="12806" width="19.7109375" style="14" customWidth="1"/>
    <col min="12807" max="13056" width="16.42578125" style="14"/>
    <col min="13057" max="13057" width="2.140625" style="14" customWidth="1"/>
    <col min="13058" max="13058" width="2" style="14" customWidth="1"/>
    <col min="13059" max="13059" width="1.85546875" style="14" customWidth="1"/>
    <col min="13060" max="13060" width="3" style="14" customWidth="1"/>
    <col min="13061" max="13061" width="47.42578125" style="14" customWidth="1"/>
    <col min="13062" max="13062" width="19.7109375" style="14" customWidth="1"/>
    <col min="13063" max="13312" width="16.42578125" style="14"/>
    <col min="13313" max="13313" width="2.140625" style="14" customWidth="1"/>
    <col min="13314" max="13314" width="2" style="14" customWidth="1"/>
    <col min="13315" max="13315" width="1.85546875" style="14" customWidth="1"/>
    <col min="13316" max="13316" width="3" style="14" customWidth="1"/>
    <col min="13317" max="13317" width="47.42578125" style="14" customWidth="1"/>
    <col min="13318" max="13318" width="19.7109375" style="14" customWidth="1"/>
    <col min="13319" max="13568" width="16.42578125" style="14"/>
    <col min="13569" max="13569" width="2.140625" style="14" customWidth="1"/>
    <col min="13570" max="13570" width="2" style="14" customWidth="1"/>
    <col min="13571" max="13571" width="1.85546875" style="14" customWidth="1"/>
    <col min="13572" max="13572" width="3" style="14" customWidth="1"/>
    <col min="13573" max="13573" width="47.42578125" style="14" customWidth="1"/>
    <col min="13574" max="13574" width="19.7109375" style="14" customWidth="1"/>
    <col min="13575" max="13824" width="16.42578125" style="14"/>
    <col min="13825" max="13825" width="2.140625" style="14" customWidth="1"/>
    <col min="13826" max="13826" width="2" style="14" customWidth="1"/>
    <col min="13827" max="13827" width="1.85546875" style="14" customWidth="1"/>
    <col min="13828" max="13828" width="3" style="14" customWidth="1"/>
    <col min="13829" max="13829" width="47.42578125" style="14" customWidth="1"/>
    <col min="13830" max="13830" width="19.7109375" style="14" customWidth="1"/>
    <col min="13831" max="14080" width="16.42578125" style="14"/>
    <col min="14081" max="14081" width="2.140625" style="14" customWidth="1"/>
    <col min="14082" max="14082" width="2" style="14" customWidth="1"/>
    <col min="14083" max="14083" width="1.85546875" style="14" customWidth="1"/>
    <col min="14084" max="14084" width="3" style="14" customWidth="1"/>
    <col min="14085" max="14085" width="47.42578125" style="14" customWidth="1"/>
    <col min="14086" max="14086" width="19.7109375" style="14" customWidth="1"/>
    <col min="14087" max="14336" width="16.42578125" style="14"/>
    <col min="14337" max="14337" width="2.140625" style="14" customWidth="1"/>
    <col min="14338" max="14338" width="2" style="14" customWidth="1"/>
    <col min="14339" max="14339" width="1.85546875" style="14" customWidth="1"/>
    <col min="14340" max="14340" width="3" style="14" customWidth="1"/>
    <col min="14341" max="14341" width="47.42578125" style="14" customWidth="1"/>
    <col min="14342" max="14342" width="19.7109375" style="14" customWidth="1"/>
    <col min="14343" max="14592" width="16.42578125" style="14"/>
    <col min="14593" max="14593" width="2.140625" style="14" customWidth="1"/>
    <col min="14594" max="14594" width="2" style="14" customWidth="1"/>
    <col min="14595" max="14595" width="1.85546875" style="14" customWidth="1"/>
    <col min="14596" max="14596" width="3" style="14" customWidth="1"/>
    <col min="14597" max="14597" width="47.42578125" style="14" customWidth="1"/>
    <col min="14598" max="14598" width="19.7109375" style="14" customWidth="1"/>
    <col min="14599" max="14848" width="16.42578125" style="14"/>
    <col min="14849" max="14849" width="2.140625" style="14" customWidth="1"/>
    <col min="14850" max="14850" width="2" style="14" customWidth="1"/>
    <col min="14851" max="14851" width="1.85546875" style="14" customWidth="1"/>
    <col min="14852" max="14852" width="3" style="14" customWidth="1"/>
    <col min="14853" max="14853" width="47.42578125" style="14" customWidth="1"/>
    <col min="14854" max="14854" width="19.7109375" style="14" customWidth="1"/>
    <col min="14855" max="15104" width="16.42578125" style="14"/>
    <col min="15105" max="15105" width="2.140625" style="14" customWidth="1"/>
    <col min="15106" max="15106" width="2" style="14" customWidth="1"/>
    <col min="15107" max="15107" width="1.85546875" style="14" customWidth="1"/>
    <col min="15108" max="15108" width="3" style="14" customWidth="1"/>
    <col min="15109" max="15109" width="47.42578125" style="14" customWidth="1"/>
    <col min="15110" max="15110" width="19.7109375" style="14" customWidth="1"/>
    <col min="15111" max="15360" width="16.42578125" style="14"/>
    <col min="15361" max="15361" width="2.140625" style="14" customWidth="1"/>
    <col min="15362" max="15362" width="2" style="14" customWidth="1"/>
    <col min="15363" max="15363" width="1.85546875" style="14" customWidth="1"/>
    <col min="15364" max="15364" width="3" style="14" customWidth="1"/>
    <col min="15365" max="15365" width="47.42578125" style="14" customWidth="1"/>
    <col min="15366" max="15366" width="19.7109375" style="14" customWidth="1"/>
    <col min="15367" max="15616" width="16.42578125" style="14"/>
    <col min="15617" max="15617" width="2.140625" style="14" customWidth="1"/>
    <col min="15618" max="15618" width="2" style="14" customWidth="1"/>
    <col min="15619" max="15619" width="1.85546875" style="14" customWidth="1"/>
    <col min="15620" max="15620" width="3" style="14" customWidth="1"/>
    <col min="15621" max="15621" width="47.42578125" style="14" customWidth="1"/>
    <col min="15622" max="15622" width="19.7109375" style="14" customWidth="1"/>
    <col min="15623" max="15872" width="16.42578125" style="14"/>
    <col min="15873" max="15873" width="2.140625" style="14" customWidth="1"/>
    <col min="15874" max="15874" width="2" style="14" customWidth="1"/>
    <col min="15875" max="15875" width="1.85546875" style="14" customWidth="1"/>
    <col min="15876" max="15876" width="3" style="14" customWidth="1"/>
    <col min="15877" max="15877" width="47.42578125" style="14" customWidth="1"/>
    <col min="15878" max="15878" width="19.7109375" style="14" customWidth="1"/>
    <col min="15879" max="16128" width="16.42578125" style="14"/>
    <col min="16129" max="16129" width="2.140625" style="14" customWidth="1"/>
    <col min="16130" max="16130" width="2" style="14" customWidth="1"/>
    <col min="16131" max="16131" width="1.85546875" style="14" customWidth="1"/>
    <col min="16132" max="16132" width="3" style="14" customWidth="1"/>
    <col min="16133" max="16133" width="47.42578125" style="14" customWidth="1"/>
    <col min="16134" max="16134" width="19.7109375" style="14" customWidth="1"/>
    <col min="16135" max="16384" width="16.42578125" style="14"/>
  </cols>
  <sheetData>
    <row r="1" spans="1:8" ht="10.9" customHeight="1" x14ac:dyDescent="0.2"/>
    <row r="2" spans="1:8" hidden="1" x14ac:dyDescent="0.2"/>
    <row r="3" spans="1:8" hidden="1" x14ac:dyDescent="0.2"/>
    <row r="4" spans="1:8" hidden="1" x14ac:dyDescent="0.2"/>
    <row r="5" spans="1:8" hidden="1" x14ac:dyDescent="0.2"/>
    <row r="6" spans="1:8" ht="18.75" x14ac:dyDescent="0.2">
      <c r="A6" s="156" t="s">
        <v>0</v>
      </c>
      <c r="B6" s="156"/>
      <c r="C6" s="156"/>
      <c r="D6" s="156"/>
      <c r="E6" s="156"/>
      <c r="F6" s="156"/>
      <c r="G6" s="156"/>
      <c r="H6" s="156"/>
    </row>
    <row r="7" spans="1:8" ht="18.75" x14ac:dyDescent="0.2">
      <c r="A7" s="156" t="s">
        <v>1</v>
      </c>
      <c r="B7" s="156"/>
      <c r="C7" s="156"/>
      <c r="D7" s="156"/>
      <c r="E7" s="156"/>
      <c r="F7" s="156"/>
      <c r="G7" s="156"/>
      <c r="H7" s="156"/>
    </row>
    <row r="8" spans="1:8" ht="18.75" x14ac:dyDescent="0.2">
      <c r="A8" s="157" t="s">
        <v>341</v>
      </c>
      <c r="B8" s="157"/>
      <c r="C8" s="157"/>
      <c r="D8" s="157"/>
      <c r="E8" s="157"/>
      <c r="F8" s="157"/>
      <c r="G8" s="157"/>
      <c r="H8" s="157"/>
    </row>
    <row r="9" spans="1:8" x14ac:dyDescent="0.2">
      <c r="A9" s="154"/>
      <c r="B9" s="154"/>
      <c r="C9" s="154"/>
      <c r="D9" s="154"/>
      <c r="E9" s="154"/>
      <c r="F9" s="154"/>
      <c r="G9" s="154"/>
      <c r="H9" s="154"/>
    </row>
    <row r="10" spans="1:8" ht="18.75" x14ac:dyDescent="0.2">
      <c r="A10" s="156" t="s">
        <v>30</v>
      </c>
      <c r="B10" s="156"/>
      <c r="C10" s="156"/>
      <c r="D10" s="156"/>
      <c r="E10" s="156"/>
      <c r="F10" s="156"/>
      <c r="G10" s="156"/>
      <c r="H10" s="156"/>
    </row>
    <row r="11" spans="1:8" ht="18.75" x14ac:dyDescent="0.2">
      <c r="A11" s="155" t="s">
        <v>4</v>
      </c>
      <c r="B11" s="155"/>
      <c r="C11" s="155"/>
      <c r="D11" s="155"/>
      <c r="E11" s="155"/>
      <c r="F11" s="155"/>
      <c r="G11" s="155"/>
      <c r="H11" s="155"/>
    </row>
    <row r="12" spans="1:8" ht="15.75" customHeight="1" x14ac:dyDescent="0.2">
      <c r="A12" s="153"/>
      <c r="B12" s="153"/>
      <c r="C12" s="153"/>
      <c r="D12" s="153"/>
      <c r="E12" s="153"/>
      <c r="F12" s="153"/>
      <c r="G12" s="153"/>
      <c r="H12" s="153"/>
    </row>
    <row r="13" spans="1:8" x14ac:dyDescent="0.2">
      <c r="F13" s="42"/>
      <c r="G13" s="42"/>
      <c r="H13" s="43"/>
    </row>
    <row r="14" spans="1:8" ht="12.75" customHeight="1" x14ac:dyDescent="0.2">
      <c r="A14" s="18" t="s">
        <v>6</v>
      </c>
      <c r="B14" s="19"/>
      <c r="C14" s="19"/>
      <c r="D14" s="19"/>
      <c r="E14" s="19"/>
      <c r="F14" s="20"/>
      <c r="G14" s="20"/>
    </row>
    <row r="15" spans="1:8" ht="12.75" customHeight="1" x14ac:dyDescent="0.2">
      <c r="A15" s="21"/>
      <c r="B15" s="18" t="s">
        <v>31</v>
      </c>
      <c r="C15" s="21"/>
      <c r="D15" s="21"/>
      <c r="E15" s="21"/>
      <c r="F15" s="20"/>
      <c r="G15" s="20"/>
    </row>
    <row r="16" spans="1:8" ht="12.75" customHeight="1" x14ac:dyDescent="0.2">
      <c r="A16" s="21"/>
      <c r="B16" s="21"/>
      <c r="C16" s="18" t="s">
        <v>32</v>
      </c>
      <c r="D16" s="21"/>
      <c r="E16" s="21"/>
      <c r="F16" s="22"/>
      <c r="G16" s="22"/>
    </row>
    <row r="17" spans="1:15" ht="12.75" customHeight="1" x14ac:dyDescent="0.2">
      <c r="A17" s="20"/>
      <c r="B17" s="20"/>
      <c r="C17" s="20"/>
      <c r="D17" s="20" t="s">
        <v>33</v>
      </c>
      <c r="E17" s="20"/>
      <c r="F17" s="23"/>
      <c r="G17" s="23"/>
      <c r="O17" s="14">
        <v>40101020</v>
      </c>
    </row>
    <row r="18" spans="1:15" ht="12.75" customHeight="1" x14ac:dyDescent="0.2">
      <c r="A18" s="20"/>
      <c r="B18" s="20"/>
      <c r="C18" s="20"/>
      <c r="D18" s="20" t="s">
        <v>34</v>
      </c>
      <c r="E18" s="20"/>
      <c r="F18" s="23"/>
      <c r="G18" s="23"/>
      <c r="O18" s="14">
        <v>40101050</v>
      </c>
    </row>
    <row r="19" spans="1:15" ht="12.75" customHeight="1" x14ac:dyDescent="0.2">
      <c r="A19" s="20"/>
      <c r="B19" s="20"/>
      <c r="C19" s="18" t="s">
        <v>35</v>
      </c>
      <c r="D19" s="20"/>
      <c r="E19" s="20"/>
      <c r="F19" s="23"/>
      <c r="G19" s="23"/>
    </row>
    <row r="20" spans="1:15" ht="12.75" customHeight="1" x14ac:dyDescent="0.2">
      <c r="A20" s="20"/>
      <c r="B20" s="20"/>
      <c r="C20" s="20"/>
      <c r="D20" s="20" t="s">
        <v>36</v>
      </c>
      <c r="E20" s="20"/>
      <c r="F20" s="23"/>
      <c r="G20" s="23"/>
      <c r="O20" s="14">
        <v>40102040</v>
      </c>
    </row>
    <row r="21" spans="1:15" ht="12.75" customHeight="1" x14ac:dyDescent="0.2">
      <c r="A21" s="20"/>
      <c r="B21" s="20"/>
      <c r="C21" s="20"/>
      <c r="D21" s="20" t="s">
        <v>37</v>
      </c>
      <c r="E21" s="20"/>
      <c r="F21" s="23"/>
      <c r="G21" s="23"/>
      <c r="O21" s="14">
        <v>40102041</v>
      </c>
    </row>
    <row r="22" spans="1:15" ht="12.75" customHeight="1" x14ac:dyDescent="0.2">
      <c r="A22" s="20"/>
      <c r="B22" s="20"/>
      <c r="C22" s="20"/>
      <c r="D22" s="20" t="s">
        <v>38</v>
      </c>
      <c r="E22" s="20"/>
      <c r="F22" s="23"/>
      <c r="G22" s="23"/>
      <c r="O22" s="14">
        <v>40102050</v>
      </c>
    </row>
    <row r="23" spans="1:15" ht="12.75" customHeight="1" x14ac:dyDescent="0.2">
      <c r="A23" s="20"/>
      <c r="B23" s="20"/>
      <c r="C23" s="20"/>
      <c r="D23" s="20" t="s">
        <v>39</v>
      </c>
      <c r="E23" s="20"/>
      <c r="F23" s="23"/>
      <c r="G23" s="23"/>
      <c r="O23" s="14">
        <v>40102051</v>
      </c>
    </row>
    <row r="24" spans="1:15" ht="12.75" customHeight="1" x14ac:dyDescent="0.2">
      <c r="A24" s="20"/>
      <c r="B24" s="20"/>
      <c r="C24" s="20"/>
      <c r="D24" s="20" t="s">
        <v>40</v>
      </c>
      <c r="E24" s="20"/>
      <c r="F24" s="23"/>
      <c r="G24" s="23"/>
      <c r="O24" s="14">
        <v>40102060</v>
      </c>
    </row>
    <row r="25" spans="1:15" s="17" customFormat="1" ht="12.75" customHeight="1" x14ac:dyDescent="0.2">
      <c r="A25" s="20"/>
      <c r="B25" s="20"/>
      <c r="C25" s="20"/>
      <c r="D25" s="20" t="s">
        <v>41</v>
      </c>
      <c r="E25" s="20"/>
      <c r="F25" s="23"/>
      <c r="G25" s="23"/>
      <c r="O25" s="14">
        <v>40102070</v>
      </c>
    </row>
    <row r="26" spans="1:15" ht="12.75" customHeight="1" x14ac:dyDescent="0.2">
      <c r="A26" s="20"/>
      <c r="B26" s="20"/>
      <c r="C26" s="20"/>
      <c r="D26" s="20" t="s">
        <v>42</v>
      </c>
      <c r="E26" s="20"/>
      <c r="F26" s="23"/>
      <c r="G26" s="23"/>
      <c r="O26" s="14">
        <v>40102080</v>
      </c>
    </row>
    <row r="27" spans="1:15" ht="12.75" customHeight="1" x14ac:dyDescent="0.2">
      <c r="A27" s="20"/>
      <c r="B27" s="20"/>
      <c r="C27" s="18" t="s">
        <v>43</v>
      </c>
      <c r="D27" s="20"/>
      <c r="E27" s="20"/>
      <c r="F27" s="23"/>
      <c r="G27" s="23"/>
    </row>
    <row r="28" spans="1:15" ht="12.75" customHeight="1" x14ac:dyDescent="0.2">
      <c r="A28" s="20"/>
      <c r="B28" s="20"/>
      <c r="C28" s="20"/>
      <c r="D28" s="20" t="s">
        <v>44</v>
      </c>
      <c r="E28" s="20"/>
      <c r="F28" s="23"/>
      <c r="G28" s="23"/>
      <c r="O28" s="14">
        <v>40103030</v>
      </c>
    </row>
    <row r="29" spans="1:15" ht="12.75" customHeight="1" x14ac:dyDescent="0.2">
      <c r="A29" s="20"/>
      <c r="B29" s="20"/>
      <c r="C29" s="20"/>
      <c r="D29" s="20" t="s">
        <v>45</v>
      </c>
      <c r="E29" s="20"/>
      <c r="F29" s="23"/>
      <c r="G29" s="23"/>
      <c r="O29" s="14">
        <v>40103040</v>
      </c>
    </row>
    <row r="30" spans="1:15" ht="12.75" customHeight="1" x14ac:dyDescent="0.2">
      <c r="A30" s="20"/>
      <c r="B30" s="20"/>
      <c r="C30" s="20"/>
      <c r="D30" s="20" t="s">
        <v>46</v>
      </c>
      <c r="E30" s="20"/>
      <c r="F30" s="23"/>
      <c r="G30" s="23"/>
      <c r="O30" s="14">
        <v>40103050</v>
      </c>
    </row>
    <row r="31" spans="1:15" ht="12.75" customHeight="1" x14ac:dyDescent="0.2">
      <c r="A31" s="20"/>
      <c r="B31" s="20"/>
      <c r="C31" s="20"/>
      <c r="D31" s="23" t="s">
        <v>47</v>
      </c>
      <c r="E31" s="20"/>
      <c r="F31" s="23"/>
      <c r="G31" s="23"/>
      <c r="O31" s="14">
        <v>40103060</v>
      </c>
    </row>
    <row r="32" spans="1:15" ht="12.75" customHeight="1" x14ac:dyDescent="0.2">
      <c r="A32" s="20"/>
      <c r="B32" s="20"/>
      <c r="C32" s="20"/>
      <c r="D32" s="20" t="s">
        <v>48</v>
      </c>
      <c r="E32" s="20"/>
      <c r="F32" s="23"/>
      <c r="G32" s="23"/>
      <c r="O32" s="14">
        <v>40103070</v>
      </c>
    </row>
    <row r="33" spans="1:15" ht="12.75" customHeight="1" x14ac:dyDescent="0.2">
      <c r="A33" s="20"/>
      <c r="B33" s="20"/>
      <c r="C33" s="20"/>
      <c r="D33" s="20" t="s">
        <v>49</v>
      </c>
      <c r="E33" s="20"/>
      <c r="F33" s="23"/>
      <c r="G33" s="23"/>
      <c r="O33" s="14">
        <v>40103080</v>
      </c>
    </row>
    <row r="34" spans="1:15" ht="12.75" customHeight="1" x14ac:dyDescent="0.2">
      <c r="A34" s="20"/>
      <c r="B34" s="20"/>
      <c r="C34" s="18" t="s">
        <v>50</v>
      </c>
      <c r="D34" s="20"/>
      <c r="E34" s="20"/>
      <c r="F34" s="24"/>
      <c r="G34" s="24"/>
    </row>
    <row r="35" spans="1:15" ht="12.75" customHeight="1" x14ac:dyDescent="0.2">
      <c r="A35" s="20"/>
      <c r="B35" s="20"/>
      <c r="C35" s="20"/>
      <c r="D35" s="20" t="s">
        <v>51</v>
      </c>
      <c r="E35" s="20"/>
      <c r="F35" s="23"/>
      <c r="G35" s="23"/>
      <c r="O35" s="14">
        <v>40104990</v>
      </c>
    </row>
    <row r="36" spans="1:15" ht="12.75" customHeight="1" x14ac:dyDescent="0.2">
      <c r="A36" s="20"/>
      <c r="B36" s="20"/>
      <c r="C36" s="18" t="s">
        <v>52</v>
      </c>
      <c r="D36" s="20"/>
      <c r="E36" s="20"/>
      <c r="F36" s="23"/>
      <c r="G36" s="23"/>
    </row>
    <row r="37" spans="1:15" x14ac:dyDescent="0.2">
      <c r="A37" s="20"/>
      <c r="B37" s="20"/>
      <c r="C37" s="20"/>
      <c r="D37" s="20" t="s">
        <v>53</v>
      </c>
      <c r="E37" s="20"/>
      <c r="F37" s="23"/>
      <c r="G37" s="23"/>
      <c r="O37" s="14">
        <v>40105010</v>
      </c>
    </row>
    <row r="38" spans="1:15" x14ac:dyDescent="0.2">
      <c r="A38" s="20"/>
      <c r="B38" s="20"/>
      <c r="C38" s="20"/>
      <c r="D38" s="20" t="s">
        <v>54</v>
      </c>
      <c r="E38" s="20"/>
      <c r="F38" s="23"/>
      <c r="G38" s="23"/>
      <c r="O38" s="14">
        <v>40105020</v>
      </c>
    </row>
    <row r="39" spans="1:15" x14ac:dyDescent="0.2">
      <c r="A39" s="20"/>
      <c r="B39" s="20"/>
      <c r="C39" s="20"/>
      <c r="D39" s="20" t="s">
        <v>55</v>
      </c>
      <c r="E39" s="20"/>
      <c r="F39" s="23"/>
      <c r="G39" s="23"/>
      <c r="O39" s="14">
        <v>40105030</v>
      </c>
    </row>
    <row r="40" spans="1:15" x14ac:dyDescent="0.2">
      <c r="A40" s="20"/>
      <c r="B40" s="20"/>
      <c r="C40" s="20"/>
      <c r="D40" s="20" t="s">
        <v>56</v>
      </c>
      <c r="E40" s="20"/>
      <c r="F40" s="23"/>
      <c r="G40" s="23"/>
      <c r="O40" s="14">
        <v>40105040</v>
      </c>
    </row>
    <row r="41" spans="1:15" x14ac:dyDescent="0.2">
      <c r="A41" s="21"/>
      <c r="B41" s="21"/>
      <c r="C41" s="18" t="s">
        <v>57</v>
      </c>
      <c r="D41" s="21"/>
      <c r="E41" s="21"/>
      <c r="F41" s="25">
        <f>SUM(F17:F40)</f>
        <v>0</v>
      </c>
      <c r="G41" s="25">
        <f>SUM(G17:G40)</f>
        <v>0</v>
      </c>
    </row>
    <row r="42" spans="1:15" x14ac:dyDescent="0.2">
      <c r="A42" s="21"/>
      <c r="B42" s="18" t="s">
        <v>58</v>
      </c>
      <c r="C42" s="18"/>
      <c r="D42" s="21"/>
      <c r="E42" s="21"/>
      <c r="F42" s="24"/>
      <c r="G42" s="24"/>
    </row>
    <row r="43" spans="1:15" x14ac:dyDescent="0.2">
      <c r="A43" s="21"/>
      <c r="B43" s="21"/>
      <c r="C43" s="18" t="s">
        <v>59</v>
      </c>
      <c r="D43" s="21"/>
      <c r="E43" s="21"/>
      <c r="F43" s="24"/>
      <c r="G43" s="24"/>
      <c r="O43" s="14">
        <v>40106010</v>
      </c>
    </row>
    <row r="44" spans="1:15" x14ac:dyDescent="0.2">
      <c r="A44" s="21"/>
      <c r="B44" s="18" t="s">
        <v>60</v>
      </c>
      <c r="C44" s="21"/>
      <c r="D44" s="21"/>
      <c r="E44" s="21"/>
      <c r="F44" s="23"/>
      <c r="G44" s="23"/>
    </row>
    <row r="45" spans="1:15" x14ac:dyDescent="0.2">
      <c r="A45" s="20"/>
      <c r="B45" s="20"/>
      <c r="C45" s="26" t="s">
        <v>61</v>
      </c>
      <c r="D45" s="20"/>
      <c r="E45" s="20"/>
      <c r="F45" s="23"/>
      <c r="G45" s="23"/>
      <c r="O45" s="14">
        <v>40106020</v>
      </c>
    </row>
    <row r="46" spans="1:15" x14ac:dyDescent="0.2">
      <c r="A46" s="20"/>
      <c r="B46" s="20"/>
      <c r="C46" s="26" t="s">
        <v>62</v>
      </c>
      <c r="D46" s="20"/>
      <c r="E46" s="20"/>
      <c r="F46" s="23"/>
      <c r="G46" s="23"/>
      <c r="O46" s="14">
        <v>40106030</v>
      </c>
    </row>
    <row r="47" spans="1:15" x14ac:dyDescent="0.2">
      <c r="A47" s="20"/>
      <c r="B47" s="20"/>
      <c r="C47" s="26" t="s">
        <v>63</v>
      </c>
      <c r="D47" s="20"/>
      <c r="E47" s="20"/>
      <c r="F47" s="23"/>
      <c r="G47" s="23"/>
      <c r="O47" s="14">
        <v>40106040</v>
      </c>
    </row>
    <row r="48" spans="1:15" x14ac:dyDescent="0.2">
      <c r="A48" s="20"/>
      <c r="B48" s="20"/>
      <c r="C48" s="26" t="s">
        <v>64</v>
      </c>
      <c r="D48" s="20"/>
      <c r="E48" s="20"/>
      <c r="F48" s="23"/>
      <c r="G48" s="23"/>
      <c r="O48" s="14">
        <v>40106050</v>
      </c>
    </row>
    <row r="49" spans="1:15" x14ac:dyDescent="0.2">
      <c r="A49" s="20"/>
      <c r="B49" s="20"/>
      <c r="C49" s="18" t="s">
        <v>65</v>
      </c>
      <c r="D49" s="20"/>
      <c r="E49" s="20"/>
      <c r="F49" s="25">
        <f>SUM(F45:F48)</f>
        <v>0</v>
      </c>
      <c r="G49" s="25">
        <f>SUM(G45:G48)</f>
        <v>0</v>
      </c>
    </row>
    <row r="50" spans="1:15" x14ac:dyDescent="0.2">
      <c r="A50" s="21"/>
      <c r="B50" s="18" t="s">
        <v>66</v>
      </c>
      <c r="C50" s="21"/>
      <c r="D50" s="21"/>
      <c r="E50" s="21"/>
      <c r="F50" s="24"/>
      <c r="G50" s="24"/>
    </row>
    <row r="51" spans="1:15" x14ac:dyDescent="0.2">
      <c r="A51" s="21"/>
      <c r="B51" s="21"/>
      <c r="C51" s="18" t="s">
        <v>67</v>
      </c>
      <c r="D51" s="21"/>
      <c r="E51" s="21"/>
      <c r="F51" s="23"/>
      <c r="G51" s="23"/>
    </row>
    <row r="52" spans="1:15" x14ac:dyDescent="0.2">
      <c r="A52" s="21"/>
      <c r="B52" s="21"/>
      <c r="C52" s="21"/>
      <c r="D52" s="26" t="s">
        <v>68</v>
      </c>
      <c r="E52" s="21"/>
      <c r="F52" s="23"/>
      <c r="G52" s="23"/>
      <c r="O52" s="14">
        <v>40201010</v>
      </c>
    </row>
    <row r="53" spans="1:15" x14ac:dyDescent="0.2">
      <c r="A53" s="21"/>
      <c r="B53" s="21"/>
      <c r="C53" s="21"/>
      <c r="D53" s="26" t="s">
        <v>69</v>
      </c>
      <c r="E53" s="26"/>
      <c r="F53" s="23"/>
      <c r="G53" s="23"/>
      <c r="O53" s="14">
        <v>40201020</v>
      </c>
    </row>
    <row r="54" spans="1:15" x14ac:dyDescent="0.2">
      <c r="A54" s="21"/>
      <c r="B54" s="21"/>
      <c r="C54" s="21"/>
      <c r="D54" s="26" t="s">
        <v>70</v>
      </c>
      <c r="E54" s="26"/>
      <c r="F54" s="23"/>
      <c r="G54" s="23"/>
      <c r="O54" s="14">
        <v>40201030</v>
      </c>
    </row>
    <row r="55" spans="1:15" x14ac:dyDescent="0.2">
      <c r="A55" s="21"/>
      <c r="B55" s="21"/>
      <c r="C55" s="21"/>
      <c r="D55" s="26" t="s">
        <v>71</v>
      </c>
      <c r="E55" s="26"/>
      <c r="F55" s="23"/>
      <c r="G55" s="23"/>
      <c r="O55" s="14">
        <v>40201040</v>
      </c>
    </row>
    <row r="56" spans="1:15" x14ac:dyDescent="0.2">
      <c r="A56" s="21"/>
      <c r="B56" s="21"/>
      <c r="C56" s="21"/>
      <c r="D56" s="26" t="s">
        <v>72</v>
      </c>
      <c r="E56" s="26"/>
      <c r="F56" s="23"/>
      <c r="G56" s="23"/>
      <c r="O56" s="14">
        <v>40201070</v>
      </c>
    </row>
    <row r="57" spans="1:15" x14ac:dyDescent="0.2">
      <c r="A57" s="21"/>
      <c r="B57" s="21"/>
      <c r="C57" s="21"/>
      <c r="D57" s="26" t="s">
        <v>73</v>
      </c>
      <c r="E57" s="26"/>
      <c r="F57" s="23"/>
      <c r="G57" s="23"/>
      <c r="O57" s="14">
        <v>40201100</v>
      </c>
    </row>
    <row r="58" spans="1:15" x14ac:dyDescent="0.2">
      <c r="A58" s="21"/>
      <c r="B58" s="21"/>
      <c r="C58" s="21"/>
      <c r="D58" s="26" t="s">
        <v>74</v>
      </c>
      <c r="E58" s="26"/>
      <c r="F58" s="23"/>
      <c r="G58" s="23"/>
      <c r="O58" s="14">
        <v>40201110</v>
      </c>
    </row>
    <row r="59" spans="1:15" x14ac:dyDescent="0.2">
      <c r="A59" s="21"/>
      <c r="B59" s="21"/>
      <c r="C59" s="21"/>
      <c r="D59" s="26" t="s">
        <v>75</v>
      </c>
      <c r="E59" s="26"/>
      <c r="F59" s="23"/>
      <c r="G59" s="23"/>
      <c r="O59" s="14">
        <v>40201130</v>
      </c>
    </row>
    <row r="60" spans="1:15" x14ac:dyDescent="0.2">
      <c r="A60" s="21"/>
      <c r="B60" s="21"/>
      <c r="C60" s="21"/>
      <c r="D60" s="26" t="s">
        <v>76</v>
      </c>
      <c r="E60" s="26"/>
      <c r="F60" s="23"/>
      <c r="G60" s="23"/>
      <c r="O60" s="14">
        <v>40201140</v>
      </c>
    </row>
    <row r="61" spans="1:15" x14ac:dyDescent="0.2">
      <c r="A61" s="21"/>
      <c r="B61" s="21"/>
      <c r="C61" s="21"/>
      <c r="D61" s="26" t="s">
        <v>77</v>
      </c>
      <c r="E61" s="26"/>
      <c r="F61" s="23"/>
      <c r="G61" s="23"/>
      <c r="O61" s="14">
        <v>40201150</v>
      </c>
    </row>
    <row r="62" spans="1:15" x14ac:dyDescent="0.2">
      <c r="A62" s="21"/>
      <c r="B62" s="21"/>
      <c r="C62" s="21"/>
      <c r="D62" s="26" t="s">
        <v>78</v>
      </c>
      <c r="E62" s="26"/>
      <c r="F62" s="23"/>
      <c r="G62" s="23"/>
      <c r="O62" s="14">
        <v>40201160</v>
      </c>
    </row>
    <row r="63" spans="1:15" x14ac:dyDescent="0.2">
      <c r="A63" s="21"/>
      <c r="B63" s="21"/>
      <c r="C63" s="21"/>
      <c r="D63" s="26" t="s">
        <v>79</v>
      </c>
      <c r="E63" s="26"/>
      <c r="F63" s="23"/>
      <c r="G63" s="23"/>
      <c r="O63" s="14">
        <v>40201980</v>
      </c>
    </row>
    <row r="64" spans="1:15" x14ac:dyDescent="0.2">
      <c r="A64" s="21"/>
      <c r="B64" s="21"/>
      <c r="C64" s="21"/>
      <c r="D64" s="26" t="s">
        <v>80</v>
      </c>
      <c r="E64" s="26"/>
      <c r="F64" s="23"/>
      <c r="G64" s="23"/>
      <c r="O64" s="14">
        <v>40201990</v>
      </c>
    </row>
    <row r="65" spans="1:15" x14ac:dyDescent="0.2">
      <c r="A65" s="21"/>
      <c r="B65" s="21"/>
      <c r="C65" s="18" t="s">
        <v>81</v>
      </c>
      <c r="D65" s="21"/>
      <c r="E65" s="21"/>
      <c r="F65" s="23"/>
      <c r="G65" s="23"/>
    </row>
    <row r="66" spans="1:15" x14ac:dyDescent="0.2">
      <c r="A66" s="21"/>
      <c r="B66" s="21"/>
      <c r="C66" s="21"/>
      <c r="D66" s="26" t="s">
        <v>82</v>
      </c>
      <c r="E66" s="26"/>
      <c r="F66" s="23"/>
      <c r="G66" s="23"/>
      <c r="O66" s="14">
        <v>40202010</v>
      </c>
    </row>
    <row r="67" spans="1:15" x14ac:dyDescent="0.2">
      <c r="A67" s="21"/>
      <c r="B67" s="21"/>
      <c r="C67" s="21"/>
      <c r="D67" s="26" t="s">
        <v>83</v>
      </c>
      <c r="E67" s="26"/>
      <c r="F67" s="23"/>
      <c r="G67" s="23"/>
      <c r="O67" s="14">
        <v>40202020</v>
      </c>
    </row>
    <row r="68" spans="1:15" x14ac:dyDescent="0.2">
      <c r="A68" s="21"/>
      <c r="B68" s="21"/>
      <c r="C68" s="21"/>
      <c r="D68" s="26" t="s">
        <v>84</v>
      </c>
      <c r="E68" s="26"/>
      <c r="F68" s="23"/>
      <c r="G68" s="23"/>
      <c r="O68" s="14">
        <v>40202040</v>
      </c>
    </row>
    <row r="69" spans="1:15" x14ac:dyDescent="0.2">
      <c r="A69" s="21"/>
      <c r="B69" s="21"/>
      <c r="C69" s="21"/>
      <c r="D69" s="26" t="s">
        <v>85</v>
      </c>
      <c r="E69" s="26"/>
      <c r="F69" s="23"/>
      <c r="G69" s="23"/>
      <c r="O69" s="14">
        <v>40202050</v>
      </c>
    </row>
    <row r="70" spans="1:15" x14ac:dyDescent="0.2">
      <c r="A70" s="21"/>
      <c r="B70" s="21"/>
      <c r="C70" s="21"/>
      <c r="D70" s="26" t="s">
        <v>86</v>
      </c>
      <c r="E70" s="26"/>
      <c r="F70" s="23"/>
      <c r="G70" s="23"/>
      <c r="O70" s="14">
        <v>40202060</v>
      </c>
    </row>
    <row r="71" spans="1:15" x14ac:dyDescent="0.2">
      <c r="A71" s="21"/>
      <c r="B71" s="21"/>
      <c r="C71" s="21"/>
      <c r="D71" s="26" t="s">
        <v>87</v>
      </c>
      <c r="E71" s="21"/>
      <c r="F71" s="23"/>
      <c r="G71" s="23"/>
      <c r="O71" s="14">
        <v>40202070</v>
      </c>
    </row>
    <row r="72" spans="1:15" x14ac:dyDescent="0.2">
      <c r="A72" s="21"/>
      <c r="B72" s="21"/>
      <c r="C72" s="21"/>
      <c r="D72" s="26" t="s">
        <v>88</v>
      </c>
      <c r="E72" s="21"/>
      <c r="F72" s="23"/>
      <c r="G72" s="23"/>
      <c r="O72" s="14">
        <v>40202080</v>
      </c>
    </row>
    <row r="73" spans="1:15" x14ac:dyDescent="0.2">
      <c r="A73" s="21"/>
      <c r="B73" s="21"/>
      <c r="C73" s="21"/>
      <c r="D73" s="26" t="s">
        <v>89</v>
      </c>
      <c r="E73" s="21"/>
      <c r="F73" s="23"/>
      <c r="G73" s="23"/>
      <c r="O73" s="14">
        <v>40202090</v>
      </c>
    </row>
    <row r="74" spans="1:15" x14ac:dyDescent="0.2">
      <c r="A74" s="21"/>
      <c r="B74" s="21"/>
      <c r="C74" s="21"/>
      <c r="D74" s="26" t="s">
        <v>90</v>
      </c>
      <c r="E74" s="21"/>
      <c r="F74" s="23"/>
      <c r="G74" s="23"/>
      <c r="O74" s="14">
        <v>40202100</v>
      </c>
    </row>
    <row r="75" spans="1:15" x14ac:dyDescent="0.2">
      <c r="A75" s="21"/>
      <c r="B75" s="21"/>
      <c r="C75" s="21"/>
      <c r="D75" s="26" t="s">
        <v>91</v>
      </c>
      <c r="E75" s="21"/>
      <c r="F75" s="23"/>
      <c r="G75" s="23"/>
      <c r="O75" s="14">
        <v>40202110</v>
      </c>
    </row>
    <row r="76" spans="1:15" x14ac:dyDescent="0.2">
      <c r="A76" s="21"/>
      <c r="B76" s="21"/>
      <c r="C76" s="21"/>
      <c r="D76" s="26" t="s">
        <v>92</v>
      </c>
      <c r="E76" s="21"/>
      <c r="F76" s="23"/>
      <c r="G76" s="23"/>
      <c r="O76" s="14">
        <v>40202120</v>
      </c>
    </row>
    <row r="77" spans="1:15" x14ac:dyDescent="0.2">
      <c r="A77" s="21"/>
      <c r="B77" s="21"/>
      <c r="C77" s="21"/>
      <c r="D77" s="26" t="s">
        <v>93</v>
      </c>
      <c r="E77" s="21"/>
      <c r="F77" s="23"/>
      <c r="G77" s="23"/>
      <c r="O77" s="14">
        <v>40202130</v>
      </c>
    </row>
    <row r="78" spans="1:15" x14ac:dyDescent="0.2">
      <c r="A78" s="21"/>
      <c r="B78" s="21"/>
      <c r="C78" s="21"/>
      <c r="D78" s="26" t="s">
        <v>94</v>
      </c>
      <c r="E78" s="21"/>
      <c r="F78" s="23"/>
      <c r="G78" s="23"/>
      <c r="O78" s="14">
        <v>40202140</v>
      </c>
    </row>
    <row r="79" spans="1:15" x14ac:dyDescent="0.2">
      <c r="A79" s="21"/>
      <c r="B79" s="21"/>
      <c r="C79" s="21"/>
      <c r="D79" s="26" t="s">
        <v>95</v>
      </c>
      <c r="E79" s="21"/>
      <c r="F79" s="23"/>
      <c r="G79" s="23"/>
      <c r="O79" s="14">
        <v>40202150</v>
      </c>
    </row>
    <row r="80" spans="1:15" x14ac:dyDescent="0.2">
      <c r="A80" s="21"/>
      <c r="B80" s="21"/>
      <c r="C80" s="21"/>
      <c r="D80" s="26" t="s">
        <v>96</v>
      </c>
      <c r="E80" s="21"/>
      <c r="F80" s="23"/>
      <c r="G80" s="23"/>
      <c r="O80" s="14">
        <v>40202160</v>
      </c>
    </row>
    <row r="81" spans="1:15" x14ac:dyDescent="0.2">
      <c r="A81" s="21"/>
      <c r="B81" s="21"/>
      <c r="C81" s="21"/>
      <c r="D81" s="26" t="s">
        <v>97</v>
      </c>
      <c r="E81" s="21"/>
      <c r="F81" s="23"/>
      <c r="G81" s="23"/>
      <c r="O81" s="14">
        <v>40202170</v>
      </c>
    </row>
    <row r="82" spans="1:15" x14ac:dyDescent="0.2">
      <c r="A82" s="21"/>
      <c r="B82" s="21"/>
      <c r="C82" s="21"/>
      <c r="D82" s="18" t="s">
        <v>98</v>
      </c>
      <c r="E82" s="21"/>
      <c r="F82" s="23"/>
      <c r="G82" s="23"/>
      <c r="O82" s="14">
        <v>40202180</v>
      </c>
    </row>
    <row r="83" spans="1:15" x14ac:dyDescent="0.2">
      <c r="A83" s="21"/>
      <c r="B83" s="21"/>
      <c r="C83" s="21"/>
      <c r="D83" s="26" t="s">
        <v>99</v>
      </c>
      <c r="E83" s="21"/>
      <c r="F83" s="23"/>
      <c r="G83" s="23"/>
      <c r="O83" s="14">
        <v>40202181</v>
      </c>
    </row>
    <row r="84" spans="1:15" x14ac:dyDescent="0.2">
      <c r="A84" s="21"/>
      <c r="B84" s="21"/>
      <c r="C84" s="21"/>
      <c r="D84" s="26" t="s">
        <v>100</v>
      </c>
      <c r="E84" s="21"/>
      <c r="F84" s="23"/>
      <c r="G84" s="23"/>
    </row>
    <row r="85" spans="1:15" x14ac:dyDescent="0.2">
      <c r="A85" s="21"/>
      <c r="B85" s="21"/>
      <c r="C85" s="21"/>
      <c r="D85" s="26"/>
      <c r="E85" s="20" t="s">
        <v>101</v>
      </c>
      <c r="F85" s="23"/>
      <c r="G85" s="23"/>
      <c r="O85" s="14">
        <v>50401010</v>
      </c>
    </row>
    <row r="86" spans="1:15" x14ac:dyDescent="0.2">
      <c r="A86" s="21"/>
      <c r="B86" s="21"/>
      <c r="C86" s="21"/>
      <c r="D86" s="26"/>
      <c r="E86" s="20" t="s">
        <v>102</v>
      </c>
      <c r="F86" s="23"/>
      <c r="G86" s="23"/>
      <c r="O86" s="14">
        <v>50401020</v>
      </c>
    </row>
    <row r="87" spans="1:15" x14ac:dyDescent="0.2">
      <c r="A87" s="21"/>
      <c r="B87" s="21"/>
      <c r="C87" s="21"/>
      <c r="D87" s="26"/>
      <c r="E87" s="20" t="s">
        <v>103</v>
      </c>
      <c r="F87" s="23"/>
      <c r="G87" s="23"/>
      <c r="O87" s="14">
        <v>50401030</v>
      </c>
    </row>
    <row r="88" spans="1:15" x14ac:dyDescent="0.2">
      <c r="A88" s="21"/>
      <c r="B88" s="21"/>
      <c r="C88" s="21"/>
      <c r="D88" s="26" t="s">
        <v>104</v>
      </c>
      <c r="E88" s="20"/>
      <c r="F88" s="23"/>
      <c r="G88" s="23"/>
    </row>
    <row r="89" spans="1:15" x14ac:dyDescent="0.2">
      <c r="A89" s="21"/>
      <c r="B89" s="21"/>
      <c r="C89" s="21"/>
      <c r="D89" s="26"/>
      <c r="E89" s="20" t="s">
        <v>104</v>
      </c>
      <c r="F89" s="23"/>
      <c r="G89" s="23"/>
      <c r="O89" s="14">
        <v>50402010</v>
      </c>
    </row>
    <row r="90" spans="1:15" x14ac:dyDescent="0.2">
      <c r="A90" s="21"/>
      <c r="B90" s="21"/>
      <c r="C90" s="21"/>
      <c r="D90" s="26"/>
      <c r="E90" s="27" t="s">
        <v>105</v>
      </c>
      <c r="F90" s="24"/>
      <c r="G90" s="24"/>
    </row>
    <row r="91" spans="1:15" x14ac:dyDescent="0.2">
      <c r="A91" s="21"/>
      <c r="B91" s="21"/>
      <c r="C91" s="21"/>
      <c r="D91" s="26" t="s">
        <v>106</v>
      </c>
      <c r="E91" s="21"/>
      <c r="F91" s="23"/>
      <c r="G91" s="23"/>
      <c r="O91" s="14">
        <v>40202190</v>
      </c>
    </row>
    <row r="92" spans="1:15" x14ac:dyDescent="0.2">
      <c r="A92" s="21"/>
      <c r="B92" s="21"/>
      <c r="C92" s="21"/>
      <c r="D92" s="26" t="s">
        <v>107</v>
      </c>
      <c r="E92" s="21"/>
      <c r="F92" s="23"/>
      <c r="G92" s="23"/>
      <c r="O92" s="14">
        <v>40202200</v>
      </c>
    </row>
    <row r="93" spans="1:15" x14ac:dyDescent="0.2">
      <c r="A93" s="21"/>
      <c r="B93" s="21"/>
      <c r="C93" s="21"/>
      <c r="D93" s="26" t="s">
        <v>108</v>
      </c>
      <c r="E93" s="21"/>
      <c r="F93" s="23"/>
      <c r="G93" s="23"/>
      <c r="O93" s="14">
        <v>40202210</v>
      </c>
    </row>
    <row r="94" spans="1:15" x14ac:dyDescent="0.2">
      <c r="A94" s="21"/>
      <c r="B94" s="21"/>
      <c r="C94" s="21"/>
      <c r="D94" s="26" t="s">
        <v>109</v>
      </c>
      <c r="E94" s="21"/>
      <c r="F94" s="23"/>
      <c r="G94" s="23"/>
      <c r="O94" s="14">
        <v>40202220</v>
      </c>
    </row>
    <row r="95" spans="1:15" x14ac:dyDescent="0.2">
      <c r="A95" s="21"/>
      <c r="B95" s="21"/>
      <c r="C95" s="21"/>
      <c r="D95" s="26" t="s">
        <v>110</v>
      </c>
      <c r="E95" s="21"/>
      <c r="F95" s="23"/>
      <c r="G95" s="23"/>
      <c r="O95" s="14">
        <v>40202230</v>
      </c>
    </row>
    <row r="96" spans="1:15" x14ac:dyDescent="0.2">
      <c r="A96" s="21"/>
      <c r="B96" s="21"/>
      <c r="C96" s="21"/>
      <c r="D96" s="26" t="s">
        <v>111</v>
      </c>
      <c r="E96" s="21"/>
      <c r="F96" s="23"/>
      <c r="G96" s="23"/>
      <c r="O96" s="14">
        <v>40202240</v>
      </c>
    </row>
    <row r="97" spans="1:15" x14ac:dyDescent="0.2">
      <c r="A97" s="21"/>
      <c r="B97" s="21"/>
      <c r="C97" s="21"/>
      <c r="D97" s="26" t="s">
        <v>112</v>
      </c>
      <c r="E97" s="21"/>
      <c r="F97" s="23"/>
      <c r="G97" s="23"/>
      <c r="O97" s="14">
        <v>40202250</v>
      </c>
    </row>
    <row r="98" spans="1:15" x14ac:dyDescent="0.2">
      <c r="A98" s="21"/>
      <c r="B98" s="21"/>
      <c r="C98" s="21"/>
      <c r="D98" s="26" t="s">
        <v>113</v>
      </c>
      <c r="E98" s="21"/>
      <c r="F98" s="23"/>
      <c r="G98" s="23"/>
      <c r="O98" s="14">
        <v>40202260</v>
      </c>
    </row>
    <row r="99" spans="1:15" x14ac:dyDescent="0.2">
      <c r="A99" s="21"/>
      <c r="B99" s="21"/>
      <c r="C99" s="21"/>
      <c r="D99" s="26" t="s">
        <v>114</v>
      </c>
      <c r="E99" s="21"/>
      <c r="F99" s="23"/>
      <c r="G99" s="23"/>
      <c r="O99" s="14">
        <v>40202980</v>
      </c>
    </row>
    <row r="100" spans="1:15" x14ac:dyDescent="0.2">
      <c r="A100" s="21"/>
      <c r="B100" s="21"/>
      <c r="C100" s="21"/>
      <c r="D100" s="26" t="s">
        <v>115</v>
      </c>
      <c r="E100" s="21"/>
      <c r="F100" s="23"/>
      <c r="G100" s="23"/>
      <c r="O100" s="14">
        <v>40202990</v>
      </c>
    </row>
    <row r="101" spans="1:15" x14ac:dyDescent="0.2">
      <c r="A101" s="21"/>
      <c r="B101" s="21"/>
      <c r="C101" s="21"/>
      <c r="D101" s="18" t="s">
        <v>116</v>
      </c>
      <c r="E101" s="21"/>
      <c r="F101" s="25">
        <f>SUM(F52:F100)</f>
        <v>0</v>
      </c>
      <c r="G101" s="25">
        <f>SUM(G52:G100)</f>
        <v>0</v>
      </c>
    </row>
    <row r="102" spans="1:15" x14ac:dyDescent="0.2">
      <c r="A102" s="21"/>
      <c r="B102" s="18" t="s">
        <v>117</v>
      </c>
      <c r="C102" s="21"/>
      <c r="D102" s="21"/>
      <c r="E102" s="21"/>
      <c r="F102" s="24"/>
      <c r="G102" s="24"/>
    </row>
    <row r="103" spans="1:15" x14ac:dyDescent="0.2">
      <c r="A103" s="21"/>
      <c r="B103" s="21"/>
      <c r="C103" s="18" t="s">
        <v>118</v>
      </c>
      <c r="D103" s="21"/>
      <c r="E103" s="21"/>
      <c r="F103" s="23"/>
      <c r="G103" s="23"/>
    </row>
    <row r="104" spans="1:15" x14ac:dyDescent="0.2">
      <c r="A104" s="21"/>
      <c r="B104" s="21"/>
      <c r="C104" s="18"/>
      <c r="D104" s="26" t="s">
        <v>119</v>
      </c>
      <c r="E104" s="26"/>
      <c r="F104" s="23"/>
      <c r="G104" s="23"/>
      <c r="O104" s="14">
        <v>40401010</v>
      </c>
    </row>
    <row r="105" spans="1:15" x14ac:dyDescent="0.2">
      <c r="A105" s="21"/>
      <c r="B105" s="21"/>
      <c r="C105" s="18"/>
      <c r="D105" s="26" t="s">
        <v>120</v>
      </c>
      <c r="E105" s="26"/>
      <c r="F105" s="23"/>
      <c r="G105" s="23"/>
      <c r="O105" s="14">
        <v>40401020</v>
      </c>
    </row>
    <row r="106" spans="1:15" x14ac:dyDescent="0.2">
      <c r="A106" s="21"/>
      <c r="B106" s="21"/>
      <c r="C106" s="18" t="s">
        <v>121</v>
      </c>
      <c r="D106" s="21"/>
      <c r="E106" s="21"/>
      <c r="F106" s="23"/>
      <c r="G106" s="23"/>
    </row>
    <row r="107" spans="1:15" x14ac:dyDescent="0.2">
      <c r="A107" s="21"/>
      <c r="B107" s="21"/>
      <c r="C107" s="21"/>
      <c r="D107" s="26" t="s">
        <v>122</v>
      </c>
      <c r="E107" s="21"/>
      <c r="F107" s="23"/>
      <c r="G107" s="23"/>
      <c r="O107" s="14">
        <v>40402010</v>
      </c>
    </row>
    <row r="108" spans="1:15" x14ac:dyDescent="0.2">
      <c r="A108" s="21"/>
      <c r="B108" s="21"/>
      <c r="C108" s="21"/>
      <c r="D108" s="26" t="s">
        <v>123</v>
      </c>
      <c r="E108" s="21"/>
      <c r="F108" s="23"/>
      <c r="G108" s="23"/>
      <c r="O108" s="14">
        <v>40402020</v>
      </c>
    </row>
    <row r="109" spans="1:15" x14ac:dyDescent="0.2">
      <c r="A109" s="21"/>
      <c r="B109" s="21"/>
      <c r="C109" s="21"/>
      <c r="D109" s="26" t="s">
        <v>124</v>
      </c>
      <c r="E109" s="21"/>
      <c r="F109" s="23"/>
      <c r="G109" s="23"/>
      <c r="O109" s="14">
        <v>40402030</v>
      </c>
    </row>
    <row r="110" spans="1:15" x14ac:dyDescent="0.2">
      <c r="A110" s="21"/>
      <c r="B110" s="21"/>
      <c r="C110" s="21"/>
      <c r="D110" s="18" t="s">
        <v>125</v>
      </c>
      <c r="E110" s="21"/>
      <c r="F110" s="25">
        <f>SUM(F104:F109)</f>
        <v>0</v>
      </c>
      <c r="G110" s="25">
        <f>SUM(G104:G109)</f>
        <v>0</v>
      </c>
    </row>
    <row r="111" spans="1:15" x14ac:dyDescent="0.2">
      <c r="A111" s="21"/>
      <c r="B111" s="18" t="s">
        <v>126</v>
      </c>
      <c r="C111" s="21"/>
      <c r="D111" s="21"/>
      <c r="E111" s="21"/>
      <c r="F111" s="24"/>
      <c r="G111" s="24"/>
    </row>
    <row r="112" spans="1:15" x14ac:dyDescent="0.2">
      <c r="A112" s="21"/>
      <c r="B112" s="21"/>
      <c r="C112" s="18" t="s">
        <v>12</v>
      </c>
      <c r="D112" s="21"/>
      <c r="E112" s="21"/>
      <c r="F112" s="23"/>
      <c r="G112" s="23"/>
    </row>
    <row r="113" spans="1:15" x14ac:dyDescent="0.2">
      <c r="A113" s="21"/>
      <c r="B113" s="21"/>
      <c r="C113" s="21"/>
      <c r="D113" s="26" t="s">
        <v>127</v>
      </c>
      <c r="E113" s="26"/>
      <c r="F113" s="23"/>
      <c r="G113" s="23"/>
      <c r="O113" s="14">
        <v>40501060</v>
      </c>
    </row>
    <row r="114" spans="1:15" x14ac:dyDescent="0.2">
      <c r="A114" s="21"/>
      <c r="B114" s="21"/>
      <c r="C114" s="21"/>
      <c r="D114" s="26" t="s">
        <v>128</v>
      </c>
      <c r="E114" s="26"/>
      <c r="F114" s="23"/>
      <c r="G114" s="23"/>
      <c r="O114" s="14">
        <v>40501070</v>
      </c>
    </row>
    <row r="115" spans="1:15" x14ac:dyDescent="0.2">
      <c r="A115" s="21"/>
      <c r="B115" s="21"/>
      <c r="C115" s="21"/>
      <c r="D115" s="26" t="s">
        <v>129</v>
      </c>
      <c r="E115" s="26"/>
      <c r="F115" s="23"/>
      <c r="G115" s="23"/>
      <c r="O115" s="14">
        <v>40501080</v>
      </c>
    </row>
    <row r="116" spans="1:15" x14ac:dyDescent="0.2">
      <c r="A116" s="21"/>
      <c r="B116" s="21"/>
      <c r="C116" s="21"/>
      <c r="D116" s="26" t="s">
        <v>130</v>
      </c>
      <c r="E116" s="26"/>
      <c r="F116" s="23"/>
      <c r="G116" s="23"/>
      <c r="O116" s="14">
        <v>40501090</v>
      </c>
    </row>
    <row r="117" spans="1:15" x14ac:dyDescent="0.2">
      <c r="A117" s="21"/>
      <c r="B117" s="21"/>
      <c r="C117" s="21"/>
      <c r="D117" s="26" t="s">
        <v>131</v>
      </c>
      <c r="E117" s="26"/>
      <c r="F117" s="23"/>
      <c r="G117" s="23"/>
      <c r="O117" s="14">
        <v>40501100</v>
      </c>
    </row>
    <row r="118" spans="1:15" ht="13.5" thickBot="1" x14ac:dyDescent="0.25">
      <c r="A118" s="21"/>
      <c r="B118" s="21"/>
      <c r="C118" s="21"/>
      <c r="D118" s="18" t="s">
        <v>132</v>
      </c>
      <c r="E118" s="26"/>
      <c r="F118" s="28">
        <f>SUM(F113:F117)</f>
        <v>0</v>
      </c>
      <c r="G118" s="28">
        <f>SUM(G113:G117)</f>
        <v>0</v>
      </c>
    </row>
    <row r="119" spans="1:15" ht="13.5" thickBot="1" x14ac:dyDescent="0.25">
      <c r="A119" s="18" t="s">
        <v>14</v>
      </c>
      <c r="B119" s="21"/>
      <c r="C119" s="21"/>
      <c r="D119" s="21"/>
      <c r="E119" s="29"/>
      <c r="F119" s="30">
        <f>+F41+F49+F101+F110+F118</f>
        <v>0</v>
      </c>
      <c r="G119" s="30">
        <f>+G41+G49+G101+G110+G118</f>
        <v>0</v>
      </c>
    </row>
    <row r="120" spans="1:15" x14ac:dyDescent="0.2">
      <c r="A120" s="18" t="s">
        <v>133</v>
      </c>
      <c r="B120" s="21"/>
      <c r="C120" s="21"/>
      <c r="D120" s="21"/>
      <c r="E120" s="31"/>
      <c r="F120" s="23"/>
      <c r="G120" s="23"/>
    </row>
    <row r="121" spans="1:15" x14ac:dyDescent="0.2">
      <c r="A121" s="21"/>
      <c r="B121" s="18" t="s">
        <v>134</v>
      </c>
      <c r="C121" s="21"/>
      <c r="D121" s="31"/>
      <c r="E121" s="20"/>
      <c r="F121" s="23"/>
      <c r="G121" s="23"/>
    </row>
    <row r="122" spans="1:15" x14ac:dyDescent="0.2">
      <c r="A122" s="21"/>
      <c r="B122" s="18"/>
      <c r="C122" s="18" t="s">
        <v>135</v>
      </c>
      <c r="D122" s="31"/>
      <c r="E122" s="20"/>
      <c r="F122" s="32"/>
      <c r="G122" s="32"/>
    </row>
    <row r="123" spans="1:15" x14ac:dyDescent="0.2">
      <c r="A123" s="32"/>
      <c r="B123" s="18"/>
      <c r="C123" s="18"/>
      <c r="D123" s="26" t="s">
        <v>136</v>
      </c>
      <c r="E123" s="32"/>
      <c r="F123" s="23"/>
      <c r="G123" s="23"/>
      <c r="O123" s="14">
        <v>50101010</v>
      </c>
    </row>
    <row r="124" spans="1:15" x14ac:dyDescent="0.2">
      <c r="A124" s="20"/>
      <c r="B124" s="18"/>
      <c r="C124" s="18"/>
      <c r="D124" s="26" t="s">
        <v>137</v>
      </c>
      <c r="E124" s="20"/>
      <c r="F124" s="23"/>
      <c r="G124" s="23"/>
      <c r="O124" s="14">
        <v>50101020</v>
      </c>
    </row>
    <row r="125" spans="1:15" x14ac:dyDescent="0.2">
      <c r="A125" s="20"/>
      <c r="B125" s="18"/>
      <c r="C125" s="18" t="s">
        <v>138</v>
      </c>
      <c r="D125" s="31"/>
      <c r="E125" s="20"/>
      <c r="F125" s="32"/>
      <c r="G125" s="32"/>
    </row>
    <row r="126" spans="1:15" x14ac:dyDescent="0.2">
      <c r="A126" s="20"/>
      <c r="B126" s="18"/>
      <c r="C126" s="31"/>
      <c r="D126" s="26" t="s">
        <v>139</v>
      </c>
      <c r="E126" s="26"/>
      <c r="F126" s="23"/>
      <c r="G126" s="23"/>
      <c r="O126" s="14">
        <v>50102010</v>
      </c>
    </row>
    <row r="127" spans="1:15" x14ac:dyDescent="0.2">
      <c r="A127" s="20"/>
      <c r="B127" s="18"/>
      <c r="C127" s="31"/>
      <c r="D127" s="26" t="s">
        <v>140</v>
      </c>
      <c r="E127" s="26"/>
      <c r="F127" s="23"/>
      <c r="G127" s="23"/>
      <c r="O127" s="14">
        <v>50102020</v>
      </c>
    </row>
    <row r="128" spans="1:15" x14ac:dyDescent="0.2">
      <c r="A128" s="20"/>
      <c r="B128" s="18"/>
      <c r="C128" s="31"/>
      <c r="D128" s="26" t="s">
        <v>141</v>
      </c>
      <c r="E128" s="26"/>
      <c r="F128" s="23"/>
      <c r="G128" s="23"/>
      <c r="O128" s="14">
        <v>50102030</v>
      </c>
    </row>
    <row r="129" spans="1:15" x14ac:dyDescent="0.2">
      <c r="A129" s="20"/>
      <c r="B129" s="18"/>
      <c r="C129" s="31"/>
      <c r="D129" s="26" t="s">
        <v>142</v>
      </c>
      <c r="E129" s="26"/>
      <c r="F129" s="23"/>
      <c r="G129" s="23"/>
      <c r="O129" s="14">
        <v>50102040</v>
      </c>
    </row>
    <row r="130" spans="1:15" x14ac:dyDescent="0.2">
      <c r="A130" s="20"/>
      <c r="B130" s="18"/>
      <c r="C130" s="31"/>
      <c r="D130" s="26" t="s">
        <v>143</v>
      </c>
      <c r="E130" s="26"/>
      <c r="F130" s="23"/>
      <c r="G130" s="23"/>
      <c r="O130" s="14">
        <v>50102050</v>
      </c>
    </row>
    <row r="131" spans="1:15" x14ac:dyDescent="0.2">
      <c r="A131" s="20"/>
      <c r="B131" s="18"/>
      <c r="C131" s="31"/>
      <c r="D131" s="26" t="s">
        <v>144</v>
      </c>
      <c r="E131" s="26"/>
      <c r="F131" s="23"/>
      <c r="G131" s="23"/>
      <c r="O131" s="14">
        <v>50102060</v>
      </c>
    </row>
    <row r="132" spans="1:15" x14ac:dyDescent="0.2">
      <c r="A132" s="20"/>
      <c r="B132" s="18"/>
      <c r="C132" s="31"/>
      <c r="D132" s="26" t="s">
        <v>145</v>
      </c>
      <c r="E132" s="26"/>
      <c r="F132" s="23"/>
      <c r="G132" s="23"/>
      <c r="O132" s="14">
        <v>50102070</v>
      </c>
    </row>
    <row r="133" spans="1:15" x14ac:dyDescent="0.2">
      <c r="A133" s="20"/>
      <c r="B133" s="18"/>
      <c r="C133" s="31"/>
      <c r="D133" s="26" t="s">
        <v>146</v>
      </c>
      <c r="E133" s="26"/>
      <c r="F133" s="23"/>
      <c r="G133" s="23"/>
      <c r="O133" s="14">
        <v>50102080</v>
      </c>
    </row>
    <row r="134" spans="1:15" x14ac:dyDescent="0.2">
      <c r="A134" s="20"/>
      <c r="B134" s="18"/>
      <c r="C134" s="31"/>
      <c r="D134" s="26" t="s">
        <v>147</v>
      </c>
      <c r="E134" s="26"/>
      <c r="F134" s="23"/>
      <c r="G134" s="23"/>
      <c r="O134" s="14">
        <v>50102090</v>
      </c>
    </row>
    <row r="135" spans="1:15" x14ac:dyDescent="0.2">
      <c r="A135" s="20"/>
      <c r="B135" s="18"/>
      <c r="C135" s="31"/>
      <c r="D135" s="26" t="s">
        <v>148</v>
      </c>
      <c r="E135" s="26"/>
      <c r="F135" s="23"/>
      <c r="G135" s="23"/>
      <c r="O135" s="14">
        <v>50102100</v>
      </c>
    </row>
    <row r="136" spans="1:15" x14ac:dyDescent="0.2">
      <c r="A136" s="20"/>
      <c r="B136" s="18"/>
      <c r="C136" s="31"/>
      <c r="D136" s="26" t="s">
        <v>149</v>
      </c>
      <c r="E136" s="26"/>
      <c r="F136" s="23"/>
      <c r="G136" s="23"/>
      <c r="O136" s="14">
        <v>50102110</v>
      </c>
    </row>
    <row r="137" spans="1:15" x14ac:dyDescent="0.2">
      <c r="A137" s="20"/>
      <c r="B137" s="18"/>
      <c r="C137" s="31"/>
      <c r="D137" s="26" t="s">
        <v>150</v>
      </c>
      <c r="E137" s="26"/>
      <c r="F137" s="32"/>
      <c r="G137" s="32"/>
      <c r="O137" s="14">
        <v>50102120</v>
      </c>
    </row>
    <row r="138" spans="1:15" x14ac:dyDescent="0.2">
      <c r="A138" s="20"/>
      <c r="B138" s="18"/>
      <c r="C138" s="31"/>
      <c r="D138" s="26" t="s">
        <v>151</v>
      </c>
      <c r="E138" s="26"/>
      <c r="F138" s="23"/>
      <c r="G138" s="23"/>
      <c r="O138" s="14">
        <v>50102130</v>
      </c>
    </row>
    <row r="139" spans="1:15" x14ac:dyDescent="0.2">
      <c r="A139" s="20"/>
      <c r="B139" s="18"/>
      <c r="C139" s="31"/>
      <c r="D139" s="26" t="s">
        <v>152</v>
      </c>
      <c r="E139" s="26"/>
      <c r="F139" s="23"/>
      <c r="G139" s="23"/>
      <c r="O139" s="14">
        <v>50102140</v>
      </c>
    </row>
    <row r="140" spans="1:15" x14ac:dyDescent="0.2">
      <c r="A140" s="20"/>
      <c r="B140" s="18"/>
      <c r="C140" s="31"/>
      <c r="D140" s="26" t="s">
        <v>153</v>
      </c>
      <c r="E140" s="26"/>
      <c r="F140" s="23"/>
      <c r="G140" s="23"/>
      <c r="O140" s="14">
        <v>50102150</v>
      </c>
    </row>
    <row r="141" spans="1:15" x14ac:dyDescent="0.2">
      <c r="A141" s="20"/>
      <c r="B141" s="18"/>
      <c r="C141" s="20"/>
      <c r="D141" s="26" t="s">
        <v>154</v>
      </c>
      <c r="E141" s="26"/>
      <c r="F141" s="32"/>
      <c r="G141" s="32"/>
      <c r="O141" s="14">
        <v>50102990</v>
      </c>
    </row>
    <row r="142" spans="1:15" x14ac:dyDescent="0.2">
      <c r="A142" s="21"/>
      <c r="B142" s="18"/>
      <c r="C142" s="18" t="s">
        <v>155</v>
      </c>
      <c r="D142" s="21"/>
      <c r="E142" s="21"/>
      <c r="F142" s="23"/>
      <c r="G142" s="23"/>
    </row>
    <row r="143" spans="1:15" x14ac:dyDescent="0.2">
      <c r="A143" s="20"/>
      <c r="B143" s="18"/>
      <c r="C143" s="18"/>
      <c r="D143" s="26" t="s">
        <v>156</v>
      </c>
      <c r="E143" s="31"/>
      <c r="F143" s="23"/>
      <c r="G143" s="23"/>
      <c r="O143" s="14">
        <v>50103010</v>
      </c>
    </row>
    <row r="144" spans="1:15" x14ac:dyDescent="0.2">
      <c r="A144" s="20"/>
      <c r="B144" s="18"/>
      <c r="C144" s="18"/>
      <c r="D144" s="26" t="s">
        <v>157</v>
      </c>
      <c r="E144" s="31"/>
      <c r="F144" s="23"/>
      <c r="G144" s="23"/>
      <c r="O144" s="14">
        <v>50103020</v>
      </c>
    </row>
    <row r="145" spans="1:15" x14ac:dyDescent="0.2">
      <c r="A145" s="20"/>
      <c r="B145" s="18"/>
      <c r="C145" s="18"/>
      <c r="D145" s="26" t="s">
        <v>158</v>
      </c>
      <c r="E145" s="31"/>
      <c r="F145" s="23"/>
      <c r="G145" s="23"/>
      <c r="O145" s="14">
        <v>50103030</v>
      </c>
    </row>
    <row r="146" spans="1:15" x14ac:dyDescent="0.2">
      <c r="A146" s="20"/>
      <c r="B146" s="18"/>
      <c r="C146" s="18"/>
      <c r="D146" s="26" t="s">
        <v>159</v>
      </c>
      <c r="E146" s="31"/>
      <c r="F146" s="23"/>
      <c r="G146" s="23"/>
      <c r="O146" s="14">
        <v>50103040</v>
      </c>
    </row>
    <row r="147" spans="1:15" x14ac:dyDescent="0.2">
      <c r="A147" s="20"/>
      <c r="B147" s="18"/>
      <c r="C147" s="18"/>
      <c r="D147" s="26" t="s">
        <v>160</v>
      </c>
      <c r="E147" s="31"/>
      <c r="F147" s="23"/>
      <c r="G147" s="23"/>
      <c r="O147" s="14">
        <v>50103050</v>
      </c>
    </row>
    <row r="148" spans="1:15" x14ac:dyDescent="0.2">
      <c r="A148" s="21"/>
      <c r="B148" s="18"/>
      <c r="C148" s="18" t="s">
        <v>161</v>
      </c>
      <c r="D148" s="21"/>
      <c r="E148" s="21"/>
      <c r="F148" s="23"/>
      <c r="G148" s="23"/>
    </row>
    <row r="149" spans="1:15" x14ac:dyDescent="0.2">
      <c r="A149" s="20"/>
      <c r="B149" s="18"/>
      <c r="C149" s="18"/>
      <c r="D149" s="26" t="s">
        <v>162</v>
      </c>
      <c r="E149" s="20"/>
      <c r="F149" s="23"/>
      <c r="G149" s="23"/>
      <c r="O149" s="14">
        <v>50104010</v>
      </c>
    </row>
    <row r="150" spans="1:15" x14ac:dyDescent="0.2">
      <c r="A150" s="20"/>
      <c r="B150" s="18"/>
      <c r="C150" s="18"/>
      <c r="D150" s="26" t="s">
        <v>163</v>
      </c>
      <c r="E150" s="20"/>
      <c r="F150" s="23"/>
      <c r="G150" s="23"/>
      <c r="O150" s="14">
        <v>50104020</v>
      </c>
    </row>
    <row r="151" spans="1:15" x14ac:dyDescent="0.2">
      <c r="A151" s="20"/>
      <c r="B151" s="18"/>
      <c r="C151" s="18"/>
      <c r="D151" s="26" t="s">
        <v>164</v>
      </c>
      <c r="E151" s="20"/>
      <c r="F151" s="23"/>
      <c r="G151" s="23"/>
      <c r="O151" s="14">
        <v>50104030</v>
      </c>
    </row>
    <row r="152" spans="1:15" x14ac:dyDescent="0.2">
      <c r="A152" s="20"/>
      <c r="B152" s="18"/>
      <c r="C152" s="18"/>
      <c r="D152" s="26" t="s">
        <v>161</v>
      </c>
      <c r="E152" s="20"/>
      <c r="F152" s="33"/>
      <c r="G152" s="33"/>
      <c r="O152" s="14">
        <v>50104990</v>
      </c>
    </row>
    <row r="153" spans="1:15" x14ac:dyDescent="0.2">
      <c r="A153" s="21"/>
      <c r="B153" s="18"/>
      <c r="C153" s="18" t="s">
        <v>165</v>
      </c>
      <c r="D153" s="21"/>
      <c r="E153" s="21"/>
      <c r="F153" s="25">
        <f>SUM(F123:F152)</f>
        <v>0</v>
      </c>
      <c r="G153" s="25">
        <f>SUM(G123:G152)</f>
        <v>0</v>
      </c>
    </row>
    <row r="154" spans="1:15" x14ac:dyDescent="0.2">
      <c r="A154" s="21"/>
      <c r="B154" s="18" t="s">
        <v>166</v>
      </c>
      <c r="C154" s="29"/>
      <c r="D154" s="21"/>
      <c r="E154" s="21"/>
      <c r="F154" s="23"/>
      <c r="G154" s="23"/>
    </row>
    <row r="155" spans="1:15" x14ac:dyDescent="0.2">
      <c r="A155" s="21"/>
      <c r="B155" s="18"/>
      <c r="C155" s="18" t="s">
        <v>167</v>
      </c>
      <c r="D155" s="21"/>
      <c r="E155" s="21"/>
      <c r="F155" s="23"/>
      <c r="G155" s="23"/>
    </row>
    <row r="156" spans="1:15" x14ac:dyDescent="0.2">
      <c r="A156" s="20"/>
      <c r="B156" s="18"/>
      <c r="C156" s="18"/>
      <c r="D156" s="26" t="s">
        <v>168</v>
      </c>
      <c r="E156" s="20"/>
      <c r="F156" s="23"/>
      <c r="G156" s="23"/>
      <c r="O156" s="14">
        <v>50201010</v>
      </c>
    </row>
    <row r="157" spans="1:15" x14ac:dyDescent="0.2">
      <c r="A157" s="20"/>
      <c r="B157" s="18"/>
      <c r="C157" s="18"/>
      <c r="D157" s="26" t="s">
        <v>169</v>
      </c>
      <c r="E157" s="20"/>
      <c r="F157" s="23"/>
      <c r="G157" s="23"/>
      <c r="O157" s="14">
        <v>50201020</v>
      </c>
    </row>
    <row r="158" spans="1:15" x14ac:dyDescent="0.2">
      <c r="A158" s="21"/>
      <c r="B158" s="18"/>
      <c r="C158" s="18" t="s">
        <v>170</v>
      </c>
      <c r="D158" s="21"/>
      <c r="E158" s="21"/>
      <c r="F158" s="32"/>
      <c r="G158" s="32"/>
    </row>
    <row r="159" spans="1:15" x14ac:dyDescent="0.2">
      <c r="A159" s="20"/>
      <c r="B159" s="18"/>
      <c r="C159" s="18"/>
      <c r="D159" s="26" t="s">
        <v>171</v>
      </c>
      <c r="E159" s="20"/>
      <c r="F159" s="23"/>
      <c r="G159" s="23"/>
      <c r="O159" s="14">
        <v>50202010</v>
      </c>
    </row>
    <row r="160" spans="1:15" x14ac:dyDescent="0.2">
      <c r="A160" s="20"/>
      <c r="B160" s="18"/>
      <c r="C160" s="18"/>
      <c r="D160" s="26" t="s">
        <v>172</v>
      </c>
      <c r="E160" s="20"/>
      <c r="F160" s="23"/>
      <c r="G160" s="23"/>
      <c r="O160" s="14">
        <v>50202020</v>
      </c>
    </row>
    <row r="161" spans="1:15" x14ac:dyDescent="0.2">
      <c r="A161" s="21"/>
      <c r="B161" s="18"/>
      <c r="C161" s="18" t="s">
        <v>173</v>
      </c>
      <c r="D161" s="21"/>
      <c r="E161" s="21"/>
      <c r="F161" s="23"/>
      <c r="G161" s="23"/>
    </row>
    <row r="162" spans="1:15" x14ac:dyDescent="0.2">
      <c r="A162" s="20"/>
      <c r="B162" s="18"/>
      <c r="C162" s="18"/>
      <c r="D162" s="26" t="s">
        <v>174</v>
      </c>
      <c r="E162" s="26"/>
      <c r="F162" s="23"/>
      <c r="G162" s="23"/>
      <c r="O162" s="14">
        <v>50203010</v>
      </c>
    </row>
    <row r="163" spans="1:15" x14ac:dyDescent="0.2">
      <c r="A163" s="20"/>
      <c r="B163" s="18"/>
      <c r="C163" s="18"/>
      <c r="D163" s="26" t="s">
        <v>175</v>
      </c>
      <c r="E163" s="26"/>
      <c r="F163" s="23"/>
      <c r="G163" s="23"/>
      <c r="O163" s="14">
        <v>50203020</v>
      </c>
    </row>
    <row r="164" spans="1:15" x14ac:dyDescent="0.2">
      <c r="A164" s="20"/>
      <c r="B164" s="18"/>
      <c r="C164" s="18"/>
      <c r="D164" s="26" t="s">
        <v>176</v>
      </c>
      <c r="E164" s="26"/>
      <c r="F164" s="23"/>
      <c r="G164" s="23"/>
      <c r="O164" s="14">
        <v>50203030</v>
      </c>
    </row>
    <row r="165" spans="1:15" x14ac:dyDescent="0.2">
      <c r="A165" s="20"/>
      <c r="B165" s="18"/>
      <c r="C165" s="18"/>
      <c r="D165" s="26" t="s">
        <v>177</v>
      </c>
      <c r="E165" s="26"/>
      <c r="F165" s="23"/>
      <c r="G165" s="23"/>
      <c r="O165" s="14">
        <v>50203040</v>
      </c>
    </row>
    <row r="166" spans="1:15" x14ac:dyDescent="0.2">
      <c r="A166" s="20"/>
      <c r="B166" s="18"/>
      <c r="C166" s="18"/>
      <c r="D166" s="26" t="s">
        <v>178</v>
      </c>
      <c r="E166" s="26"/>
      <c r="F166" s="23"/>
      <c r="G166" s="23"/>
      <c r="O166" s="14">
        <v>50203050</v>
      </c>
    </row>
    <row r="167" spans="1:15" x14ac:dyDescent="0.2">
      <c r="A167" s="20"/>
      <c r="B167" s="18"/>
      <c r="C167" s="18"/>
      <c r="D167" s="26" t="s">
        <v>179</v>
      </c>
      <c r="E167" s="26"/>
      <c r="F167" s="23"/>
      <c r="G167" s="23"/>
      <c r="O167" s="14">
        <v>50203060</v>
      </c>
    </row>
    <row r="168" spans="1:15" x14ac:dyDescent="0.2">
      <c r="A168" s="20"/>
      <c r="B168" s="18"/>
      <c r="C168" s="18"/>
      <c r="D168" s="26" t="s">
        <v>180</v>
      </c>
      <c r="E168" s="26"/>
      <c r="F168" s="23"/>
      <c r="G168" s="23"/>
      <c r="O168" s="14">
        <v>50203070</v>
      </c>
    </row>
    <row r="169" spans="1:15" x14ac:dyDescent="0.2">
      <c r="A169" s="20"/>
      <c r="B169" s="18"/>
      <c r="C169" s="18"/>
      <c r="D169" s="26" t="s">
        <v>181</v>
      </c>
      <c r="E169" s="26"/>
      <c r="F169" s="23"/>
      <c r="G169" s="23"/>
      <c r="O169" s="14">
        <v>50203080</v>
      </c>
    </row>
    <row r="170" spans="1:15" x14ac:dyDescent="0.2">
      <c r="A170" s="20"/>
      <c r="B170" s="18"/>
      <c r="C170" s="18"/>
      <c r="D170" s="26" t="s">
        <v>182</v>
      </c>
      <c r="E170" s="26"/>
      <c r="F170" s="23"/>
      <c r="G170" s="23"/>
      <c r="O170" s="14">
        <v>50203090</v>
      </c>
    </row>
    <row r="171" spans="1:15" x14ac:dyDescent="0.2">
      <c r="A171" s="20"/>
      <c r="B171" s="18"/>
      <c r="C171" s="18"/>
      <c r="D171" s="26" t="s">
        <v>183</v>
      </c>
      <c r="E171" s="26"/>
      <c r="F171" s="32"/>
      <c r="G171" s="32"/>
      <c r="O171" s="14">
        <v>50203100</v>
      </c>
    </row>
    <row r="172" spans="1:15" x14ac:dyDescent="0.2">
      <c r="A172" s="20"/>
      <c r="B172" s="18"/>
      <c r="C172" s="18"/>
      <c r="D172" s="26" t="s">
        <v>184</v>
      </c>
      <c r="E172" s="26"/>
      <c r="F172" s="23"/>
      <c r="G172" s="23"/>
      <c r="O172" s="14">
        <v>50203110</v>
      </c>
    </row>
    <row r="173" spans="1:15" x14ac:dyDescent="0.2">
      <c r="A173" s="20"/>
      <c r="B173" s="18"/>
      <c r="C173" s="18"/>
      <c r="D173" s="26" t="s">
        <v>185</v>
      </c>
      <c r="E173" s="26"/>
      <c r="F173" s="23"/>
      <c r="G173" s="23"/>
      <c r="O173" s="14">
        <v>50203120</v>
      </c>
    </row>
    <row r="174" spans="1:15" x14ac:dyDescent="0.2">
      <c r="A174" s="20"/>
      <c r="B174" s="18"/>
      <c r="C174" s="18"/>
      <c r="D174" s="26" t="s">
        <v>186</v>
      </c>
      <c r="E174" s="26"/>
      <c r="F174" s="23"/>
      <c r="G174" s="23"/>
      <c r="O174" s="14">
        <v>50203130</v>
      </c>
    </row>
    <row r="175" spans="1:15" x14ac:dyDescent="0.2">
      <c r="A175" s="20"/>
      <c r="B175" s="18"/>
      <c r="C175" s="18"/>
      <c r="D175" s="26" t="s">
        <v>187</v>
      </c>
      <c r="E175" s="26"/>
      <c r="F175" s="23"/>
      <c r="G175" s="23"/>
      <c r="O175" s="14">
        <v>50203990</v>
      </c>
    </row>
    <row r="176" spans="1:15" x14ac:dyDescent="0.2">
      <c r="A176" s="21"/>
      <c r="B176" s="18"/>
      <c r="C176" s="18" t="s">
        <v>188</v>
      </c>
      <c r="D176" s="21"/>
      <c r="E176" s="21"/>
      <c r="F176" s="23"/>
      <c r="G176" s="23"/>
    </row>
    <row r="177" spans="1:15" x14ac:dyDescent="0.2">
      <c r="A177" s="20"/>
      <c r="B177" s="18"/>
      <c r="C177" s="31"/>
      <c r="D177" s="26" t="s">
        <v>189</v>
      </c>
      <c r="E177" s="20"/>
      <c r="F177" s="23"/>
      <c r="G177" s="23"/>
      <c r="O177" s="14">
        <v>50204010</v>
      </c>
    </row>
    <row r="178" spans="1:15" x14ac:dyDescent="0.2">
      <c r="A178" s="20"/>
      <c r="B178" s="18"/>
      <c r="C178" s="31"/>
      <c r="D178" s="26" t="s">
        <v>190</v>
      </c>
      <c r="E178" s="20"/>
      <c r="F178" s="23"/>
      <c r="G178" s="23"/>
      <c r="O178" s="14">
        <v>50204020</v>
      </c>
    </row>
    <row r="179" spans="1:15" x14ac:dyDescent="0.2">
      <c r="A179" s="21"/>
      <c r="B179" s="18"/>
      <c r="C179" s="18" t="s">
        <v>191</v>
      </c>
      <c r="D179" s="21"/>
      <c r="E179" s="21"/>
      <c r="F179" s="23"/>
      <c r="G179" s="23"/>
    </row>
    <row r="180" spans="1:15" x14ac:dyDescent="0.2">
      <c r="A180" s="20"/>
      <c r="B180" s="18"/>
      <c r="C180" s="31"/>
      <c r="D180" s="26" t="s">
        <v>192</v>
      </c>
      <c r="E180" s="26"/>
      <c r="F180" s="23"/>
      <c r="G180" s="23"/>
      <c r="O180" s="14">
        <v>50205010</v>
      </c>
    </row>
    <row r="181" spans="1:15" x14ac:dyDescent="0.2">
      <c r="A181" s="20"/>
      <c r="B181" s="18"/>
      <c r="C181" s="31"/>
      <c r="D181" s="26" t="s">
        <v>193</v>
      </c>
      <c r="E181" s="26"/>
      <c r="F181" s="23"/>
      <c r="G181" s="23"/>
      <c r="O181" s="14">
        <v>50205020</v>
      </c>
    </row>
    <row r="182" spans="1:15" x14ac:dyDescent="0.2">
      <c r="A182" s="20"/>
      <c r="B182" s="18"/>
      <c r="C182" s="31"/>
      <c r="D182" s="26" t="s">
        <v>194</v>
      </c>
      <c r="E182" s="26"/>
      <c r="F182" s="23"/>
      <c r="G182" s="23"/>
      <c r="O182" s="14">
        <v>50205030</v>
      </c>
    </row>
    <row r="183" spans="1:15" x14ac:dyDescent="0.2">
      <c r="A183" s="20"/>
      <c r="B183" s="18"/>
      <c r="C183" s="31"/>
      <c r="D183" s="26" t="s">
        <v>195</v>
      </c>
      <c r="E183" s="26"/>
      <c r="F183" s="23"/>
      <c r="G183" s="23"/>
      <c r="O183" s="14">
        <v>50205040</v>
      </c>
    </row>
    <row r="184" spans="1:15" x14ac:dyDescent="0.2">
      <c r="A184" s="20"/>
      <c r="B184" s="18"/>
      <c r="C184" s="18" t="s">
        <v>196</v>
      </c>
      <c r="D184" s="20"/>
      <c r="E184" s="20"/>
      <c r="F184" s="23"/>
      <c r="G184" s="23"/>
    </row>
    <row r="185" spans="1:15" x14ac:dyDescent="0.2">
      <c r="A185" s="20"/>
      <c r="B185" s="18"/>
      <c r="C185" s="31"/>
      <c r="D185" s="26" t="s">
        <v>197</v>
      </c>
      <c r="E185" s="20"/>
      <c r="F185" s="23"/>
      <c r="G185" s="23"/>
      <c r="O185" s="14">
        <v>50206010</v>
      </c>
    </row>
    <row r="186" spans="1:15" x14ac:dyDescent="0.2">
      <c r="A186" s="20"/>
      <c r="B186" s="18"/>
      <c r="C186" s="31"/>
      <c r="D186" s="26" t="s">
        <v>198</v>
      </c>
      <c r="E186" s="20"/>
      <c r="F186" s="23"/>
      <c r="G186" s="23"/>
      <c r="O186" s="14">
        <v>50206020</v>
      </c>
    </row>
    <row r="187" spans="1:15" x14ac:dyDescent="0.2">
      <c r="A187" s="20"/>
      <c r="B187" s="18"/>
      <c r="C187" s="18" t="s">
        <v>199</v>
      </c>
      <c r="D187" s="20"/>
      <c r="E187" s="20"/>
      <c r="F187" s="23"/>
      <c r="G187" s="23"/>
    </row>
    <row r="188" spans="1:15" x14ac:dyDescent="0.2">
      <c r="A188" s="20"/>
      <c r="B188" s="18"/>
      <c r="C188" s="31"/>
      <c r="D188" s="26" t="s">
        <v>200</v>
      </c>
      <c r="E188" s="20"/>
      <c r="F188" s="23"/>
      <c r="G188" s="23"/>
      <c r="O188" s="14">
        <v>50207010</v>
      </c>
    </row>
    <row r="189" spans="1:15" x14ac:dyDescent="0.2">
      <c r="A189" s="20"/>
      <c r="B189" s="18"/>
      <c r="C189" s="31"/>
      <c r="D189" s="26" t="s">
        <v>201</v>
      </c>
      <c r="E189" s="20"/>
      <c r="F189" s="23"/>
      <c r="G189" s="23"/>
      <c r="O189" s="14">
        <v>50207020</v>
      </c>
    </row>
    <row r="190" spans="1:15" x14ac:dyDescent="0.2">
      <c r="A190" s="20"/>
      <c r="B190" s="18"/>
      <c r="C190" s="18" t="s">
        <v>202</v>
      </c>
      <c r="D190" s="31"/>
      <c r="E190" s="20"/>
      <c r="F190" s="23"/>
      <c r="G190" s="23"/>
    </row>
    <row r="191" spans="1:15" x14ac:dyDescent="0.2">
      <c r="A191" s="20"/>
      <c r="B191" s="18"/>
      <c r="C191" s="31"/>
      <c r="D191" s="26" t="s">
        <v>203</v>
      </c>
      <c r="E191" s="26"/>
      <c r="F191" s="23"/>
      <c r="G191" s="23"/>
      <c r="O191" s="14">
        <v>50208010</v>
      </c>
    </row>
    <row r="192" spans="1:15" x14ac:dyDescent="0.2">
      <c r="A192" s="20"/>
      <c r="B192" s="18"/>
      <c r="C192" s="23"/>
      <c r="D192" s="26" t="s">
        <v>204</v>
      </c>
      <c r="E192" s="26"/>
      <c r="F192" s="23"/>
      <c r="G192" s="23"/>
      <c r="O192" s="14">
        <v>50208020</v>
      </c>
    </row>
    <row r="193" spans="1:15" x14ac:dyDescent="0.2">
      <c r="A193" s="20"/>
      <c r="B193" s="18"/>
      <c r="C193" s="18" t="s">
        <v>205</v>
      </c>
      <c r="D193" s="31"/>
      <c r="E193" s="20"/>
      <c r="F193" s="23"/>
      <c r="G193" s="23"/>
    </row>
    <row r="194" spans="1:15" x14ac:dyDescent="0.2">
      <c r="A194" s="20"/>
      <c r="B194" s="18"/>
      <c r="C194" s="18"/>
      <c r="D194" s="26" t="s">
        <v>205</v>
      </c>
      <c r="E194" s="20"/>
      <c r="F194" s="23"/>
      <c r="G194" s="23"/>
      <c r="O194" s="14">
        <v>50209010</v>
      </c>
    </row>
    <row r="195" spans="1:15" x14ac:dyDescent="0.2">
      <c r="A195" s="20"/>
      <c r="B195" s="18"/>
      <c r="C195" s="18" t="s">
        <v>206</v>
      </c>
      <c r="D195" s="31"/>
      <c r="E195" s="20"/>
      <c r="F195" s="23"/>
      <c r="G195" s="23"/>
    </row>
    <row r="196" spans="1:15" x14ac:dyDescent="0.2">
      <c r="A196" s="20"/>
      <c r="B196" s="18"/>
      <c r="C196" s="18"/>
      <c r="D196" s="26" t="s">
        <v>207</v>
      </c>
      <c r="E196" s="26"/>
      <c r="F196" s="23"/>
      <c r="G196" s="23"/>
      <c r="O196" s="14">
        <v>50210010</v>
      </c>
    </row>
    <row r="197" spans="1:15" x14ac:dyDescent="0.2">
      <c r="A197" s="21"/>
      <c r="B197" s="18"/>
      <c r="C197" s="18"/>
      <c r="D197" s="26" t="s">
        <v>208</v>
      </c>
      <c r="E197" s="26"/>
      <c r="F197" s="23"/>
      <c r="G197" s="23"/>
      <c r="O197" s="14">
        <v>50210020</v>
      </c>
    </row>
    <row r="198" spans="1:15" x14ac:dyDescent="0.2">
      <c r="A198" s="20"/>
      <c r="B198" s="18"/>
      <c r="C198" s="18"/>
      <c r="D198" s="26" t="s">
        <v>209</v>
      </c>
      <c r="E198" s="26"/>
      <c r="F198" s="23"/>
      <c r="G198" s="23"/>
      <c r="O198" s="14">
        <v>50210030</v>
      </c>
    </row>
    <row r="199" spans="1:15" x14ac:dyDescent="0.2">
      <c r="A199" s="20"/>
      <c r="B199" s="18"/>
      <c r="C199" s="18" t="s">
        <v>210</v>
      </c>
      <c r="D199" s="31"/>
      <c r="E199" s="20"/>
      <c r="F199" s="23"/>
      <c r="G199" s="23"/>
    </row>
    <row r="200" spans="1:15" x14ac:dyDescent="0.2">
      <c r="A200" s="20"/>
      <c r="B200" s="18"/>
      <c r="C200" s="18"/>
      <c r="D200" s="26" t="s">
        <v>211</v>
      </c>
      <c r="E200" s="20"/>
      <c r="F200" s="23"/>
      <c r="G200" s="23"/>
      <c r="O200" s="14">
        <v>50211010</v>
      </c>
    </row>
    <row r="201" spans="1:15" x14ac:dyDescent="0.2">
      <c r="A201" s="20"/>
      <c r="B201" s="18"/>
      <c r="C201" s="18"/>
      <c r="D201" s="26" t="s">
        <v>212</v>
      </c>
      <c r="E201" s="20"/>
      <c r="F201" s="23"/>
      <c r="G201" s="23"/>
      <c r="O201" s="14">
        <v>50211020</v>
      </c>
    </row>
    <row r="202" spans="1:15" x14ac:dyDescent="0.2">
      <c r="A202" s="20"/>
      <c r="B202" s="18"/>
      <c r="C202" s="18"/>
      <c r="D202" s="26" t="s">
        <v>213</v>
      </c>
      <c r="E202" s="20"/>
      <c r="F202" s="23"/>
      <c r="G202" s="23"/>
      <c r="O202" s="14">
        <v>50211030</v>
      </c>
    </row>
    <row r="203" spans="1:15" x14ac:dyDescent="0.2">
      <c r="A203" s="20"/>
      <c r="B203" s="18"/>
      <c r="C203" s="18"/>
      <c r="D203" s="26" t="s">
        <v>214</v>
      </c>
      <c r="E203" s="20"/>
      <c r="F203" s="23"/>
      <c r="G203" s="23"/>
      <c r="O203" s="14">
        <v>50211990</v>
      </c>
    </row>
    <row r="204" spans="1:15" x14ac:dyDescent="0.2">
      <c r="A204" s="20"/>
      <c r="B204" s="18"/>
      <c r="C204" s="18" t="s">
        <v>215</v>
      </c>
      <c r="D204" s="20"/>
      <c r="E204" s="20"/>
      <c r="F204" s="23"/>
      <c r="G204" s="23"/>
    </row>
    <row r="205" spans="1:15" x14ac:dyDescent="0.2">
      <c r="A205" s="20"/>
      <c r="B205" s="18"/>
      <c r="C205" s="18"/>
      <c r="D205" s="26" t="s">
        <v>216</v>
      </c>
      <c r="E205" s="20"/>
      <c r="F205" s="23"/>
      <c r="G205" s="23"/>
      <c r="O205" s="14">
        <v>50212010</v>
      </c>
    </row>
    <row r="206" spans="1:15" x14ac:dyDescent="0.2">
      <c r="A206" s="20"/>
      <c r="B206" s="18"/>
      <c r="C206" s="18"/>
      <c r="D206" s="26" t="s">
        <v>217</v>
      </c>
      <c r="E206" s="20"/>
      <c r="F206" s="23"/>
      <c r="G206" s="23"/>
      <c r="O206" s="14">
        <v>50212020</v>
      </c>
    </row>
    <row r="207" spans="1:15" x14ac:dyDescent="0.2">
      <c r="A207" s="20"/>
      <c r="B207" s="18"/>
      <c r="C207" s="18"/>
      <c r="D207" s="26" t="s">
        <v>218</v>
      </c>
      <c r="E207" s="20"/>
      <c r="F207" s="23"/>
      <c r="G207" s="23"/>
      <c r="O207" s="14">
        <v>50212030</v>
      </c>
    </row>
    <row r="208" spans="1:15" x14ac:dyDescent="0.2">
      <c r="A208" s="20"/>
      <c r="B208" s="18"/>
      <c r="C208" s="18"/>
      <c r="D208" s="26" t="s">
        <v>219</v>
      </c>
      <c r="E208" s="20"/>
      <c r="F208" s="23"/>
      <c r="G208" s="23"/>
      <c r="O208" s="14">
        <v>50212990</v>
      </c>
    </row>
    <row r="209" spans="1:15" x14ac:dyDescent="0.2">
      <c r="A209" s="20"/>
      <c r="B209" s="18"/>
      <c r="C209" s="18" t="s">
        <v>220</v>
      </c>
      <c r="D209" s="20"/>
      <c r="E209" s="20"/>
      <c r="F209" s="23"/>
      <c r="G209" s="23"/>
    </row>
    <row r="210" spans="1:15" x14ac:dyDescent="0.2">
      <c r="A210" s="20"/>
      <c r="B210" s="18"/>
      <c r="C210" s="18"/>
      <c r="D210" s="26" t="s">
        <v>221</v>
      </c>
      <c r="E210" s="20"/>
      <c r="F210" s="23"/>
      <c r="G210" s="23"/>
      <c r="O210" s="14">
        <v>50213010</v>
      </c>
    </row>
    <row r="211" spans="1:15" x14ac:dyDescent="0.2">
      <c r="A211" s="20"/>
      <c r="B211" s="18"/>
      <c r="C211" s="18"/>
      <c r="D211" s="26" t="s">
        <v>222</v>
      </c>
      <c r="E211" s="20"/>
      <c r="F211" s="23"/>
      <c r="G211" s="23"/>
      <c r="O211" s="14">
        <v>50213020</v>
      </c>
    </row>
    <row r="212" spans="1:15" x14ac:dyDescent="0.2">
      <c r="A212" s="20"/>
      <c r="B212" s="18"/>
      <c r="C212" s="18"/>
      <c r="D212" s="26" t="s">
        <v>223</v>
      </c>
      <c r="E212" s="20"/>
      <c r="F212" s="23"/>
      <c r="G212" s="23"/>
      <c r="O212" s="14">
        <v>50213030</v>
      </c>
    </row>
    <row r="213" spans="1:15" x14ac:dyDescent="0.2">
      <c r="A213" s="21"/>
      <c r="B213" s="18"/>
      <c r="C213" s="18"/>
      <c r="D213" s="26" t="s">
        <v>224</v>
      </c>
      <c r="E213" s="21"/>
      <c r="F213" s="23"/>
      <c r="G213" s="23"/>
      <c r="O213" s="14">
        <v>50213040</v>
      </c>
    </row>
    <row r="214" spans="1:15" x14ac:dyDescent="0.2">
      <c r="A214" s="20"/>
      <c r="B214" s="18"/>
      <c r="C214" s="18"/>
      <c r="D214" s="26" t="s">
        <v>225</v>
      </c>
      <c r="E214" s="20"/>
      <c r="F214" s="23"/>
      <c r="G214" s="23"/>
      <c r="O214" s="14">
        <v>50213050</v>
      </c>
    </row>
    <row r="215" spans="1:15" x14ac:dyDescent="0.2">
      <c r="A215" s="20"/>
      <c r="B215" s="18"/>
      <c r="C215" s="18"/>
      <c r="D215" s="26" t="s">
        <v>226</v>
      </c>
      <c r="E215" s="20"/>
      <c r="F215" s="23"/>
      <c r="G215" s="23"/>
      <c r="O215" s="14">
        <v>50213060</v>
      </c>
    </row>
    <row r="216" spans="1:15" x14ac:dyDescent="0.2">
      <c r="A216" s="20"/>
      <c r="B216" s="18"/>
      <c r="C216" s="18"/>
      <c r="D216" s="26" t="s">
        <v>227</v>
      </c>
      <c r="E216" s="20"/>
      <c r="F216" s="23"/>
      <c r="G216" s="23"/>
      <c r="O216" s="14">
        <v>50213070</v>
      </c>
    </row>
    <row r="217" spans="1:15" x14ac:dyDescent="0.2">
      <c r="A217" s="20"/>
      <c r="B217" s="18"/>
      <c r="C217" s="18"/>
      <c r="D217" s="26" t="s">
        <v>228</v>
      </c>
      <c r="E217" s="20"/>
      <c r="F217" s="23"/>
      <c r="G217" s="23"/>
      <c r="O217" s="14">
        <v>50213080</v>
      </c>
    </row>
    <row r="218" spans="1:15" x14ac:dyDescent="0.2">
      <c r="A218" s="20"/>
      <c r="B218" s="18"/>
      <c r="C218" s="18"/>
      <c r="D218" s="26" t="s">
        <v>229</v>
      </c>
      <c r="E218" s="20"/>
      <c r="F218" s="23"/>
      <c r="G218" s="23"/>
      <c r="O218" s="14">
        <v>50213090</v>
      </c>
    </row>
    <row r="219" spans="1:15" x14ac:dyDescent="0.2">
      <c r="A219" s="21"/>
      <c r="B219" s="18"/>
      <c r="C219" s="18"/>
      <c r="D219" s="26" t="s">
        <v>230</v>
      </c>
      <c r="E219" s="21"/>
      <c r="F219" s="23"/>
      <c r="G219" s="23"/>
      <c r="O219" s="14">
        <v>50213990</v>
      </c>
    </row>
    <row r="220" spans="1:15" x14ac:dyDescent="0.2">
      <c r="A220" s="20"/>
      <c r="B220" s="18"/>
      <c r="C220" s="18" t="s">
        <v>231</v>
      </c>
      <c r="D220" s="20"/>
      <c r="E220" s="20"/>
      <c r="F220" s="32"/>
      <c r="G220" s="32"/>
    </row>
    <row r="221" spans="1:15" x14ac:dyDescent="0.2">
      <c r="A221" s="20"/>
      <c r="B221" s="18"/>
      <c r="C221" s="20"/>
      <c r="D221" s="26" t="s">
        <v>232</v>
      </c>
      <c r="E221" s="20"/>
      <c r="F221" s="23"/>
      <c r="G221" s="23"/>
      <c r="O221" s="14">
        <v>50216010</v>
      </c>
    </row>
    <row r="222" spans="1:15" x14ac:dyDescent="0.2">
      <c r="A222" s="20"/>
      <c r="B222" s="18"/>
      <c r="C222" s="20"/>
      <c r="D222" s="26" t="s">
        <v>233</v>
      </c>
      <c r="E222" s="20"/>
      <c r="F222" s="23"/>
      <c r="G222" s="23"/>
      <c r="O222" s="14">
        <v>50216020</v>
      </c>
    </row>
    <row r="223" spans="1:15" x14ac:dyDescent="0.2">
      <c r="A223" s="20"/>
      <c r="B223" s="18"/>
      <c r="C223" s="20"/>
      <c r="D223" s="26" t="s">
        <v>234</v>
      </c>
      <c r="E223" s="20"/>
      <c r="F223" s="23"/>
      <c r="G223" s="23"/>
      <c r="O223" s="14">
        <v>50216030</v>
      </c>
    </row>
    <row r="224" spans="1:15" x14ac:dyDescent="0.2">
      <c r="A224" s="20"/>
      <c r="B224" s="18"/>
      <c r="C224" s="21" t="s">
        <v>235</v>
      </c>
      <c r="D224" s="20"/>
      <c r="E224" s="20"/>
      <c r="F224" s="32"/>
      <c r="G224" s="32"/>
    </row>
    <row r="225" spans="1:15" x14ac:dyDescent="0.2">
      <c r="A225" s="20"/>
      <c r="B225" s="18"/>
      <c r="C225" s="20"/>
      <c r="D225" s="26" t="s">
        <v>236</v>
      </c>
      <c r="E225" s="26"/>
      <c r="F225" s="23"/>
      <c r="G225" s="23"/>
      <c r="O225" s="14">
        <v>50299010</v>
      </c>
    </row>
    <row r="226" spans="1:15" x14ac:dyDescent="0.2">
      <c r="A226" s="20"/>
      <c r="B226" s="18"/>
      <c r="C226" s="20"/>
      <c r="D226" s="26" t="s">
        <v>237</v>
      </c>
      <c r="E226" s="26"/>
      <c r="F226" s="23"/>
      <c r="G226" s="23"/>
      <c r="O226" s="14">
        <v>50299020</v>
      </c>
    </row>
    <row r="227" spans="1:15" x14ac:dyDescent="0.2">
      <c r="A227" s="34"/>
      <c r="B227" s="18"/>
      <c r="C227" s="34"/>
      <c r="D227" s="26" t="s">
        <v>238</v>
      </c>
      <c r="E227" s="26"/>
      <c r="F227" s="23"/>
      <c r="G227" s="23"/>
      <c r="O227" s="14">
        <v>50299030</v>
      </c>
    </row>
    <row r="228" spans="1:15" x14ac:dyDescent="0.2">
      <c r="A228" s="20"/>
      <c r="B228" s="18"/>
      <c r="C228" s="20"/>
      <c r="D228" s="26" t="s">
        <v>239</v>
      </c>
      <c r="E228" s="26"/>
      <c r="F228" s="23"/>
      <c r="G228" s="23"/>
      <c r="O228" s="14">
        <v>50299040</v>
      </c>
    </row>
    <row r="229" spans="1:15" x14ac:dyDescent="0.2">
      <c r="A229" s="21"/>
      <c r="B229" s="18"/>
      <c r="C229" s="21"/>
      <c r="D229" s="26" t="s">
        <v>240</v>
      </c>
      <c r="E229" s="26"/>
      <c r="F229" s="23"/>
      <c r="G229" s="23"/>
      <c r="O229" s="14">
        <v>50299050</v>
      </c>
    </row>
    <row r="230" spans="1:15" x14ac:dyDescent="0.2">
      <c r="A230" s="20"/>
      <c r="B230" s="18"/>
      <c r="C230" s="20"/>
      <c r="D230" s="26" t="s">
        <v>241</v>
      </c>
      <c r="E230" s="26"/>
      <c r="F230" s="23"/>
      <c r="G230" s="23"/>
      <c r="O230" s="14">
        <v>50299060</v>
      </c>
    </row>
    <row r="231" spans="1:15" x14ac:dyDescent="0.2">
      <c r="A231" s="20"/>
      <c r="B231" s="18"/>
      <c r="C231" s="20"/>
      <c r="D231" s="26" t="s">
        <v>242</v>
      </c>
      <c r="E231" s="26"/>
      <c r="F231" s="23"/>
      <c r="G231" s="23"/>
      <c r="O231" s="14">
        <v>50299070</v>
      </c>
    </row>
    <row r="232" spans="1:15" x14ac:dyDescent="0.2">
      <c r="A232" s="20"/>
      <c r="B232" s="18"/>
      <c r="C232" s="20"/>
      <c r="D232" s="26" t="s">
        <v>243</v>
      </c>
      <c r="E232" s="26"/>
      <c r="F232" s="23"/>
      <c r="G232" s="23"/>
      <c r="O232" s="14">
        <v>50299080</v>
      </c>
    </row>
    <row r="233" spans="1:15" x14ac:dyDescent="0.2">
      <c r="A233" s="21"/>
      <c r="B233" s="18"/>
      <c r="C233" s="21"/>
      <c r="D233" s="26" t="s">
        <v>244</v>
      </c>
      <c r="E233" s="26"/>
      <c r="F233" s="33"/>
      <c r="G233" s="33"/>
      <c r="O233" s="14">
        <v>50299990</v>
      </c>
    </row>
    <row r="234" spans="1:15" x14ac:dyDescent="0.2">
      <c r="A234" s="21"/>
      <c r="B234" s="18"/>
      <c r="C234" s="35" t="s">
        <v>245</v>
      </c>
      <c r="D234" s="20"/>
      <c r="E234" s="21"/>
      <c r="F234" s="25">
        <f>SUM(F156:F233)</f>
        <v>0</v>
      </c>
      <c r="G234" s="25">
        <f>SUM(G156:G233)</f>
        <v>0</v>
      </c>
    </row>
    <row r="235" spans="1:15" x14ac:dyDescent="0.2">
      <c r="A235" s="20"/>
      <c r="B235" s="18" t="s">
        <v>246</v>
      </c>
      <c r="C235" s="20"/>
      <c r="D235" s="20"/>
      <c r="E235" s="20"/>
      <c r="F235" s="23"/>
      <c r="G235" s="23"/>
    </row>
    <row r="236" spans="1:15" x14ac:dyDescent="0.2">
      <c r="A236" s="21"/>
      <c r="B236" s="18"/>
      <c r="C236" s="35" t="s">
        <v>18</v>
      </c>
      <c r="D236" s="21"/>
      <c r="E236" s="21"/>
      <c r="F236" s="23"/>
      <c r="G236" s="23"/>
    </row>
    <row r="237" spans="1:15" x14ac:dyDescent="0.2">
      <c r="A237" s="20"/>
      <c r="B237" s="18"/>
      <c r="C237" s="20"/>
      <c r="D237" s="26" t="s">
        <v>247</v>
      </c>
      <c r="E237" s="26"/>
      <c r="F237" s="23"/>
      <c r="G237" s="23"/>
      <c r="O237" s="14">
        <v>50301010</v>
      </c>
    </row>
    <row r="238" spans="1:15" x14ac:dyDescent="0.2">
      <c r="A238" s="20"/>
      <c r="B238" s="18"/>
      <c r="C238" s="20"/>
      <c r="D238" s="26" t="s">
        <v>248</v>
      </c>
      <c r="E238" s="26"/>
      <c r="F238" s="23"/>
      <c r="G238" s="23"/>
      <c r="O238" s="14">
        <v>50301020</v>
      </c>
    </row>
    <row r="239" spans="1:15" x14ac:dyDescent="0.2">
      <c r="A239" s="20"/>
      <c r="B239" s="18"/>
      <c r="C239" s="20"/>
      <c r="D239" s="26" t="s">
        <v>249</v>
      </c>
      <c r="E239" s="26"/>
      <c r="F239" s="23"/>
      <c r="G239" s="23"/>
      <c r="O239" s="14">
        <v>50301030</v>
      </c>
    </row>
    <row r="240" spans="1:15" x14ac:dyDescent="0.2">
      <c r="A240" s="20"/>
      <c r="B240" s="18"/>
      <c r="C240" s="20"/>
      <c r="D240" s="26" t="s">
        <v>250</v>
      </c>
      <c r="E240" s="26"/>
      <c r="F240" s="23"/>
      <c r="G240" s="23"/>
      <c r="O240" s="14">
        <v>50301040</v>
      </c>
    </row>
    <row r="241" spans="1:15" x14ac:dyDescent="0.2">
      <c r="A241" s="20"/>
      <c r="B241" s="18"/>
      <c r="C241" s="20"/>
      <c r="D241" s="26" t="s">
        <v>251</v>
      </c>
      <c r="E241" s="26"/>
      <c r="F241" s="23"/>
      <c r="G241" s="23"/>
      <c r="O241" s="14">
        <v>50301050</v>
      </c>
    </row>
    <row r="242" spans="1:15" x14ac:dyDescent="0.2">
      <c r="A242" s="20"/>
      <c r="B242" s="18"/>
      <c r="C242" s="20"/>
      <c r="D242" s="26" t="s">
        <v>252</v>
      </c>
      <c r="E242" s="26"/>
      <c r="F242" s="33"/>
      <c r="G242" s="33"/>
      <c r="O242" s="14">
        <v>50301990</v>
      </c>
    </row>
    <row r="243" spans="1:15" x14ac:dyDescent="0.2">
      <c r="A243" s="20"/>
      <c r="B243" s="18"/>
      <c r="C243" s="35" t="s">
        <v>253</v>
      </c>
      <c r="D243" s="20"/>
      <c r="E243" s="20"/>
      <c r="F243" s="25">
        <f>SUM(F237:F242)</f>
        <v>0</v>
      </c>
      <c r="G243" s="25">
        <f>SUM(G237:G242)</f>
        <v>0</v>
      </c>
    </row>
    <row r="244" spans="1:15" x14ac:dyDescent="0.2">
      <c r="A244" s="20"/>
      <c r="B244" s="18" t="s">
        <v>254</v>
      </c>
      <c r="C244" s="20"/>
      <c r="D244" s="20"/>
      <c r="E244" s="20"/>
      <c r="F244" s="32"/>
      <c r="G244" s="32"/>
    </row>
    <row r="245" spans="1:15" x14ac:dyDescent="0.2">
      <c r="A245" s="20"/>
      <c r="B245" s="18"/>
      <c r="C245" s="35" t="s">
        <v>255</v>
      </c>
      <c r="D245" s="20"/>
      <c r="E245" s="20"/>
      <c r="F245" s="23"/>
      <c r="G245" s="23"/>
    </row>
    <row r="246" spans="1:15" x14ac:dyDescent="0.2">
      <c r="A246" s="21"/>
      <c r="B246" s="18"/>
      <c r="C246" s="21"/>
      <c r="D246" s="26" t="s">
        <v>256</v>
      </c>
      <c r="E246" s="20"/>
      <c r="F246" s="23"/>
      <c r="G246" s="23"/>
      <c r="O246" s="14">
        <v>50501010</v>
      </c>
    </row>
    <row r="247" spans="1:15" x14ac:dyDescent="0.2">
      <c r="A247" s="20"/>
      <c r="B247" s="18"/>
      <c r="C247" s="20"/>
      <c r="D247" s="26" t="s">
        <v>257</v>
      </c>
      <c r="E247" s="20"/>
      <c r="F247" s="23"/>
      <c r="G247" s="23"/>
      <c r="O247" s="14">
        <v>50501020</v>
      </c>
    </row>
    <row r="248" spans="1:15" x14ac:dyDescent="0.2">
      <c r="A248" s="20"/>
      <c r="B248" s="18"/>
      <c r="C248" s="20"/>
      <c r="D248" s="26" t="s">
        <v>258</v>
      </c>
      <c r="E248" s="20"/>
      <c r="F248" s="23"/>
      <c r="G248" s="23"/>
      <c r="O248" s="14">
        <v>50501030</v>
      </c>
    </row>
    <row r="249" spans="1:15" x14ac:dyDescent="0.2">
      <c r="A249" s="21"/>
      <c r="B249" s="18"/>
      <c r="C249" s="21"/>
      <c r="D249" s="26" t="s">
        <v>259</v>
      </c>
      <c r="E249" s="20"/>
      <c r="F249" s="23"/>
      <c r="G249" s="23"/>
      <c r="O249" s="14">
        <v>50501040</v>
      </c>
    </row>
    <row r="250" spans="1:15" x14ac:dyDescent="0.2">
      <c r="A250" s="20"/>
      <c r="B250" s="18"/>
      <c r="C250" s="20"/>
      <c r="D250" s="26" t="s">
        <v>260</v>
      </c>
      <c r="E250" s="20"/>
      <c r="F250" s="23"/>
      <c r="G250" s="23"/>
      <c r="O250" s="14">
        <v>50501050</v>
      </c>
    </row>
    <row r="251" spans="1:15" x14ac:dyDescent="0.2">
      <c r="A251" s="20"/>
      <c r="B251" s="18"/>
      <c r="C251" s="20"/>
      <c r="D251" s="26" t="s">
        <v>261</v>
      </c>
      <c r="E251" s="20"/>
      <c r="F251" s="23"/>
      <c r="G251" s="23"/>
      <c r="O251" s="14">
        <v>50501060</v>
      </c>
    </row>
    <row r="252" spans="1:15" x14ac:dyDescent="0.2">
      <c r="A252" s="20"/>
      <c r="B252" s="18"/>
      <c r="C252" s="20"/>
      <c r="D252" s="26" t="s">
        <v>262</v>
      </c>
      <c r="E252" s="20"/>
      <c r="F252" s="23"/>
      <c r="G252" s="23"/>
      <c r="O252" s="14">
        <v>50501070</v>
      </c>
    </row>
    <row r="253" spans="1:15" x14ac:dyDescent="0.2">
      <c r="A253" s="20"/>
      <c r="B253" s="18"/>
      <c r="C253" s="20"/>
      <c r="D253" s="26" t="s">
        <v>263</v>
      </c>
      <c r="E253" s="20"/>
      <c r="F253" s="23"/>
      <c r="G253" s="23"/>
      <c r="O253" s="14">
        <v>50501080</v>
      </c>
    </row>
    <row r="254" spans="1:15" x14ac:dyDescent="0.2">
      <c r="A254" s="21"/>
      <c r="B254" s="18"/>
      <c r="C254" s="21"/>
      <c r="D254" s="26" t="s">
        <v>264</v>
      </c>
      <c r="E254" s="20"/>
      <c r="F254" s="23"/>
      <c r="G254" s="23"/>
      <c r="O254" s="14">
        <v>50501090</v>
      </c>
    </row>
    <row r="255" spans="1:15" x14ac:dyDescent="0.2">
      <c r="A255" s="20"/>
      <c r="B255" s="18"/>
      <c r="C255" s="20"/>
      <c r="D255" s="26" t="s">
        <v>265</v>
      </c>
      <c r="E255" s="20"/>
      <c r="F255" s="23"/>
      <c r="G255" s="23"/>
      <c r="O255" s="14">
        <v>50501100</v>
      </c>
    </row>
    <row r="256" spans="1:15" x14ac:dyDescent="0.2">
      <c r="A256" s="20"/>
      <c r="B256" s="18"/>
      <c r="C256" s="20"/>
      <c r="D256" s="26" t="s">
        <v>266</v>
      </c>
      <c r="E256" s="20"/>
      <c r="F256" s="23"/>
      <c r="G256" s="23"/>
      <c r="O256" s="14">
        <v>50501990</v>
      </c>
    </row>
    <row r="257" spans="1:15" x14ac:dyDescent="0.2">
      <c r="A257" s="21"/>
      <c r="B257" s="18"/>
      <c r="C257" s="21" t="s">
        <v>267</v>
      </c>
      <c r="D257" s="21"/>
      <c r="E257" s="21"/>
      <c r="F257" s="36"/>
      <c r="G257" s="36"/>
    </row>
    <row r="258" spans="1:15" x14ac:dyDescent="0.2">
      <c r="A258" s="21"/>
      <c r="B258" s="18"/>
      <c r="C258" s="21"/>
      <c r="D258" s="26" t="s">
        <v>268</v>
      </c>
      <c r="E258" s="21"/>
      <c r="F258" s="23"/>
      <c r="G258" s="23"/>
      <c r="O258" s="14">
        <v>50502010</v>
      </c>
    </row>
    <row r="259" spans="1:15" x14ac:dyDescent="0.2">
      <c r="A259" s="20"/>
      <c r="B259" s="18"/>
      <c r="C259" s="21" t="s">
        <v>269</v>
      </c>
      <c r="D259" s="20"/>
      <c r="E259" s="20"/>
      <c r="F259" s="23"/>
      <c r="G259" s="23"/>
    </row>
    <row r="260" spans="1:15" x14ac:dyDescent="0.2">
      <c r="A260" s="20"/>
      <c r="B260" s="18"/>
      <c r="C260" s="20"/>
      <c r="D260" s="26" t="s">
        <v>270</v>
      </c>
      <c r="E260" s="20"/>
      <c r="F260" s="23"/>
      <c r="G260" s="23"/>
      <c r="O260" s="14">
        <v>50503010</v>
      </c>
    </row>
    <row r="261" spans="1:15" x14ac:dyDescent="0.2">
      <c r="A261" s="21"/>
      <c r="B261" s="18"/>
      <c r="C261" s="21"/>
      <c r="D261" s="26" t="s">
        <v>271</v>
      </c>
      <c r="E261" s="20"/>
      <c r="F261" s="23"/>
      <c r="G261" s="23"/>
      <c r="O261" s="14">
        <v>50503020</v>
      </c>
    </row>
    <row r="262" spans="1:15" x14ac:dyDescent="0.2">
      <c r="A262" s="20"/>
      <c r="B262" s="18"/>
      <c r="C262" s="20"/>
      <c r="D262" s="26" t="s">
        <v>272</v>
      </c>
      <c r="E262" s="20"/>
      <c r="F262" s="23"/>
      <c r="G262" s="23"/>
      <c r="O262" s="14">
        <v>50503030</v>
      </c>
    </row>
    <row r="263" spans="1:15" x14ac:dyDescent="0.2">
      <c r="A263" s="20"/>
      <c r="B263" s="18"/>
      <c r="C263" s="20"/>
      <c r="D263" s="26" t="s">
        <v>273</v>
      </c>
      <c r="E263" s="20"/>
      <c r="F263" s="23"/>
      <c r="G263" s="23"/>
      <c r="O263" s="14">
        <v>50503040</v>
      </c>
    </row>
    <row r="264" spans="1:15" x14ac:dyDescent="0.2">
      <c r="A264" s="20"/>
      <c r="B264" s="18"/>
      <c r="C264" s="20"/>
      <c r="D264" s="26" t="s">
        <v>274</v>
      </c>
      <c r="E264" s="20"/>
      <c r="F264" s="23"/>
      <c r="G264" s="23"/>
      <c r="O264" s="14">
        <v>50503050</v>
      </c>
    </row>
    <row r="265" spans="1:15" x14ac:dyDescent="0.2">
      <c r="A265" s="20"/>
      <c r="B265" s="18"/>
      <c r="C265" s="20"/>
      <c r="D265" s="26" t="s">
        <v>275</v>
      </c>
      <c r="E265" s="20"/>
      <c r="F265" s="23"/>
      <c r="G265" s="23"/>
      <c r="O265" s="14">
        <v>50503060</v>
      </c>
    </row>
    <row r="266" spans="1:15" x14ac:dyDescent="0.2">
      <c r="A266" s="20"/>
      <c r="B266" s="18"/>
      <c r="C266" s="20"/>
      <c r="D266" s="26" t="s">
        <v>276</v>
      </c>
      <c r="E266" s="20"/>
      <c r="F266" s="23"/>
      <c r="G266" s="23"/>
      <c r="O266" s="14">
        <v>50503070</v>
      </c>
    </row>
    <row r="267" spans="1:15" x14ac:dyDescent="0.2">
      <c r="A267" s="21"/>
      <c r="B267" s="18"/>
      <c r="C267" s="21"/>
      <c r="D267" s="26" t="s">
        <v>277</v>
      </c>
      <c r="E267" s="20"/>
      <c r="F267" s="23"/>
      <c r="G267" s="23"/>
      <c r="O267" s="14">
        <v>50503080</v>
      </c>
    </row>
    <row r="268" spans="1:15" x14ac:dyDescent="0.2">
      <c r="A268" s="20"/>
      <c r="B268" s="18"/>
      <c r="C268" s="20"/>
      <c r="D268" s="26" t="s">
        <v>278</v>
      </c>
      <c r="E268" s="20"/>
      <c r="F268" s="23"/>
      <c r="G268" s="23"/>
      <c r="O268" s="14">
        <v>50503090</v>
      </c>
    </row>
    <row r="269" spans="1:15" x14ac:dyDescent="0.2">
      <c r="A269" s="20"/>
      <c r="B269" s="18"/>
      <c r="C269" s="20"/>
      <c r="D269" s="26" t="s">
        <v>279</v>
      </c>
      <c r="E269" s="20"/>
      <c r="F269" s="23"/>
      <c r="G269" s="23"/>
      <c r="O269" s="14">
        <v>50503100</v>
      </c>
    </row>
    <row r="270" spans="1:15" x14ac:dyDescent="0.2">
      <c r="A270" s="21"/>
      <c r="B270" s="18"/>
      <c r="C270" s="21" t="s">
        <v>280</v>
      </c>
      <c r="D270" s="21"/>
      <c r="E270" s="21"/>
      <c r="F270" s="36"/>
      <c r="G270" s="36"/>
    </row>
    <row r="271" spans="1:15" x14ac:dyDescent="0.2">
      <c r="A271" s="21"/>
      <c r="B271" s="18"/>
      <c r="C271" s="21"/>
      <c r="D271" s="26" t="s">
        <v>281</v>
      </c>
      <c r="E271" s="26"/>
      <c r="F271" s="23"/>
      <c r="G271" s="23"/>
      <c r="O271" s="14">
        <v>50504050</v>
      </c>
    </row>
    <row r="272" spans="1:15" x14ac:dyDescent="0.2">
      <c r="A272" s="20"/>
      <c r="B272" s="18"/>
      <c r="C272" s="20"/>
      <c r="D272" s="26" t="s">
        <v>282</v>
      </c>
      <c r="E272" s="26"/>
      <c r="F272" s="23"/>
      <c r="G272" s="23"/>
      <c r="O272" s="14">
        <v>50504080</v>
      </c>
    </row>
    <row r="273" spans="1:15" x14ac:dyDescent="0.2">
      <c r="A273" s="20"/>
      <c r="B273" s="18"/>
      <c r="C273" s="21" t="s">
        <v>283</v>
      </c>
      <c r="D273" s="20"/>
      <c r="E273" s="20"/>
      <c r="F273" s="23"/>
      <c r="G273" s="23"/>
    </row>
    <row r="274" spans="1:15" x14ac:dyDescent="0.2">
      <c r="A274" s="20"/>
      <c r="B274" s="18"/>
      <c r="C274" s="20"/>
      <c r="D274" s="26" t="s">
        <v>284</v>
      </c>
      <c r="E274" s="20"/>
      <c r="F274" s="33"/>
      <c r="G274" s="33"/>
      <c r="O274" s="14">
        <v>50505010</v>
      </c>
    </row>
    <row r="275" spans="1:15" x14ac:dyDescent="0.2">
      <c r="A275" s="20"/>
      <c r="B275" s="18"/>
      <c r="C275" s="35" t="s">
        <v>285</v>
      </c>
      <c r="D275" s="20"/>
      <c r="E275" s="20"/>
      <c r="F275" s="37">
        <f>SUM(F246:F274)</f>
        <v>0</v>
      </c>
      <c r="G275" s="37">
        <f>SUM(G246:G274)</f>
        <v>0</v>
      </c>
    </row>
    <row r="276" spans="1:15" x14ac:dyDescent="0.2">
      <c r="A276" s="18" t="s">
        <v>286</v>
      </c>
      <c r="B276" s="20"/>
      <c r="C276" s="20"/>
      <c r="D276" s="20"/>
      <c r="E276" s="20"/>
      <c r="F276" s="25">
        <f>+F153+F234+F243+F275</f>
        <v>0</v>
      </c>
      <c r="G276" s="25">
        <f>+G153+G234+G243+G275</f>
        <v>0</v>
      </c>
    </row>
    <row r="277" spans="1:15" x14ac:dyDescent="0.2">
      <c r="A277" s="18" t="s">
        <v>287</v>
      </c>
      <c r="B277" s="20"/>
      <c r="C277" s="20"/>
      <c r="D277" s="20"/>
      <c r="E277" s="20"/>
      <c r="F277" s="25">
        <f>+F119-F276</f>
        <v>0</v>
      </c>
      <c r="G277" s="25">
        <f>+G119-G276</f>
        <v>0</v>
      </c>
    </row>
    <row r="278" spans="1:15" x14ac:dyDescent="0.2">
      <c r="A278" s="18" t="s">
        <v>288</v>
      </c>
      <c r="B278" s="21"/>
      <c r="C278" s="21"/>
      <c r="D278" s="21"/>
      <c r="E278" s="21"/>
      <c r="F278" s="32"/>
      <c r="G278" s="32"/>
    </row>
    <row r="279" spans="1:15" x14ac:dyDescent="0.2">
      <c r="A279" s="21"/>
      <c r="B279" s="18" t="s">
        <v>289</v>
      </c>
      <c r="C279" s="21"/>
      <c r="D279" s="21"/>
      <c r="E279" s="21"/>
      <c r="F279" s="23"/>
      <c r="G279" s="23"/>
    </row>
    <row r="280" spans="1:15" x14ac:dyDescent="0.2">
      <c r="A280" s="21"/>
      <c r="B280" s="18"/>
      <c r="C280" s="38" t="s">
        <v>290</v>
      </c>
      <c r="D280" s="21"/>
      <c r="E280" s="21"/>
      <c r="F280" s="23"/>
      <c r="G280" s="23"/>
      <c r="O280" s="14">
        <v>40301010</v>
      </c>
    </row>
    <row r="281" spans="1:15" x14ac:dyDescent="0.2">
      <c r="A281" s="21"/>
      <c r="B281" s="18"/>
      <c r="C281" s="38" t="s">
        <v>291</v>
      </c>
      <c r="D281" s="21"/>
      <c r="E281" s="21"/>
      <c r="F281" s="23"/>
      <c r="G281" s="23"/>
      <c r="O281" s="14">
        <v>40301020</v>
      </c>
    </row>
    <row r="282" spans="1:15" x14ac:dyDescent="0.2">
      <c r="A282" s="21"/>
      <c r="B282" s="18"/>
      <c r="C282" s="38" t="s">
        <v>292</v>
      </c>
      <c r="D282" s="21"/>
      <c r="E282" s="21"/>
      <c r="F282" s="23"/>
      <c r="G282" s="23"/>
      <c r="O282" s="14">
        <v>40301030</v>
      </c>
    </row>
    <row r="283" spans="1:15" x14ac:dyDescent="0.2">
      <c r="A283" s="21"/>
      <c r="B283" s="18"/>
      <c r="C283" s="38" t="s">
        <v>293</v>
      </c>
      <c r="D283" s="21"/>
      <c r="E283" s="21"/>
      <c r="F283" s="23"/>
      <c r="G283" s="23"/>
      <c r="O283" s="14">
        <v>40301040</v>
      </c>
    </row>
    <row r="284" spans="1:15" x14ac:dyDescent="0.2">
      <c r="A284" s="21"/>
      <c r="B284" s="18"/>
      <c r="C284" s="38" t="s">
        <v>294</v>
      </c>
      <c r="D284" s="21"/>
      <c r="E284" s="21"/>
      <c r="F284" s="23"/>
      <c r="G284" s="23"/>
      <c r="O284" s="14">
        <v>40301050</v>
      </c>
    </row>
    <row r="285" spans="1:15" x14ac:dyDescent="0.2">
      <c r="A285" s="21"/>
      <c r="B285" s="18"/>
      <c r="C285" s="38" t="s">
        <v>295</v>
      </c>
      <c r="D285" s="21"/>
      <c r="E285" s="21"/>
      <c r="F285" s="23"/>
      <c r="G285" s="23"/>
      <c r="O285" s="14">
        <v>40301060</v>
      </c>
    </row>
    <row r="286" spans="1:15" x14ac:dyDescent="0.2">
      <c r="A286" s="21"/>
      <c r="B286" s="18"/>
      <c r="C286" s="38"/>
      <c r="D286" s="21" t="s">
        <v>296</v>
      </c>
      <c r="E286" s="21"/>
      <c r="F286" s="23">
        <f>SUM(F280:F285)</f>
        <v>0</v>
      </c>
      <c r="G286" s="23"/>
    </row>
    <row r="287" spans="1:15" x14ac:dyDescent="0.2">
      <c r="A287" s="21"/>
      <c r="B287" s="18" t="s">
        <v>297</v>
      </c>
      <c r="C287" s="21"/>
      <c r="D287" s="21"/>
      <c r="E287" s="21"/>
      <c r="F287" s="23"/>
      <c r="G287" s="23"/>
    </row>
    <row r="288" spans="1:15" x14ac:dyDescent="0.2">
      <c r="A288" s="21"/>
      <c r="B288" s="18"/>
      <c r="C288" s="38" t="s">
        <v>298</v>
      </c>
      <c r="D288" s="21"/>
      <c r="E288" s="21"/>
      <c r="F288" s="23"/>
      <c r="G288" s="23"/>
      <c r="O288" s="14">
        <v>40302010</v>
      </c>
    </row>
    <row r="289" spans="1:15" x14ac:dyDescent="0.2">
      <c r="A289" s="21"/>
      <c r="B289" s="18"/>
      <c r="C289" s="38" t="s">
        <v>299</v>
      </c>
      <c r="D289" s="21"/>
      <c r="E289" s="21"/>
      <c r="F289" s="23"/>
      <c r="G289" s="23"/>
      <c r="O289" s="14">
        <v>40302020</v>
      </c>
    </row>
    <row r="290" spans="1:15" x14ac:dyDescent="0.2">
      <c r="A290" s="21"/>
      <c r="B290" s="18"/>
      <c r="C290" s="38" t="s">
        <v>300</v>
      </c>
      <c r="D290" s="21"/>
      <c r="E290" s="21"/>
      <c r="F290" s="23"/>
      <c r="G290" s="23"/>
    </row>
    <row r="291" spans="1:15" x14ac:dyDescent="0.2">
      <c r="A291" s="21"/>
      <c r="B291" s="18"/>
      <c r="C291" s="38" t="s">
        <v>301</v>
      </c>
      <c r="D291" s="21"/>
      <c r="E291" s="21"/>
      <c r="F291" s="23"/>
      <c r="G291" s="23"/>
    </row>
    <row r="292" spans="1:15" x14ac:dyDescent="0.2">
      <c r="A292" s="21"/>
      <c r="B292" s="21"/>
      <c r="C292" s="21"/>
      <c r="D292" s="35" t="s">
        <v>302</v>
      </c>
      <c r="E292" s="21"/>
      <c r="F292" s="25">
        <f>SUM(F288:F291)</f>
        <v>0</v>
      </c>
      <c r="G292" s="25">
        <f>SUM(G280:G291)</f>
        <v>0</v>
      </c>
    </row>
    <row r="293" spans="1:15" x14ac:dyDescent="0.2">
      <c r="A293" s="20"/>
      <c r="B293" s="18" t="s">
        <v>303</v>
      </c>
      <c r="C293" s="20"/>
      <c r="D293" s="20"/>
      <c r="E293" s="20"/>
      <c r="F293" s="23"/>
      <c r="G293" s="23"/>
    </row>
    <row r="294" spans="1:15" x14ac:dyDescent="0.2">
      <c r="A294" s="20"/>
      <c r="B294" s="18"/>
      <c r="C294" s="38" t="s">
        <v>304</v>
      </c>
      <c r="D294" s="20"/>
      <c r="E294" s="20"/>
      <c r="F294" s="23"/>
      <c r="G294" s="23"/>
      <c r="O294" s="14">
        <v>50214020</v>
      </c>
    </row>
    <row r="295" spans="1:15" x14ac:dyDescent="0.2">
      <c r="A295" s="20"/>
      <c r="B295" s="18"/>
      <c r="C295" s="38" t="s">
        <v>305</v>
      </c>
      <c r="D295" s="20"/>
      <c r="E295" s="20"/>
      <c r="F295" s="23"/>
      <c r="G295" s="23"/>
      <c r="O295" s="14">
        <v>50214030</v>
      </c>
    </row>
    <row r="296" spans="1:15" x14ac:dyDescent="0.2">
      <c r="A296" s="21"/>
      <c r="B296" s="18"/>
      <c r="C296" s="38" t="s">
        <v>306</v>
      </c>
      <c r="D296" s="21"/>
      <c r="E296" s="21"/>
      <c r="F296" s="23"/>
      <c r="G296" s="23"/>
      <c r="O296" s="14">
        <v>50214060</v>
      </c>
    </row>
    <row r="297" spans="1:15" x14ac:dyDescent="0.2">
      <c r="A297" s="20"/>
      <c r="B297" s="18"/>
      <c r="C297" s="38" t="s">
        <v>307</v>
      </c>
      <c r="D297" s="20"/>
      <c r="E297" s="20"/>
      <c r="F297" s="23"/>
      <c r="G297" s="23"/>
      <c r="O297" s="14">
        <v>50214070</v>
      </c>
    </row>
    <row r="298" spans="1:15" x14ac:dyDescent="0.2">
      <c r="A298" s="20"/>
      <c r="B298" s="18"/>
      <c r="C298" s="38" t="s">
        <v>308</v>
      </c>
      <c r="D298" s="20"/>
      <c r="E298" s="20"/>
      <c r="F298" s="23"/>
      <c r="G298" s="23"/>
      <c r="O298" s="14">
        <v>50214080</v>
      </c>
    </row>
    <row r="299" spans="1:15" x14ac:dyDescent="0.2">
      <c r="A299" s="20"/>
      <c r="B299" s="18"/>
      <c r="C299" s="38" t="s">
        <v>309</v>
      </c>
      <c r="D299" s="20"/>
      <c r="E299" s="20"/>
      <c r="F299" s="23"/>
      <c r="G299" s="23"/>
      <c r="O299" s="14">
        <v>50214990</v>
      </c>
    </row>
    <row r="300" spans="1:15" x14ac:dyDescent="0.2">
      <c r="A300" s="20"/>
      <c r="B300" s="18"/>
      <c r="C300" s="38"/>
      <c r="D300" s="21" t="s">
        <v>310</v>
      </c>
      <c r="E300" s="20"/>
      <c r="F300" s="23">
        <f>SUM(F294:F299)</f>
        <v>0</v>
      </c>
      <c r="G300" s="23"/>
    </row>
    <row r="301" spans="1:15" x14ac:dyDescent="0.2">
      <c r="A301" s="21"/>
      <c r="B301" s="18" t="s">
        <v>311</v>
      </c>
      <c r="C301" s="21"/>
      <c r="D301" s="21"/>
      <c r="E301" s="21"/>
      <c r="F301" s="23"/>
      <c r="G301" s="23"/>
    </row>
    <row r="302" spans="1:15" x14ac:dyDescent="0.2">
      <c r="A302" s="20"/>
      <c r="B302" s="18"/>
      <c r="C302" s="38" t="s">
        <v>312</v>
      </c>
      <c r="D302" s="20"/>
      <c r="E302" s="20"/>
      <c r="F302" s="23"/>
      <c r="G302" s="23"/>
      <c r="O302" s="14">
        <v>50215010</v>
      </c>
    </row>
    <row r="303" spans="1:15" x14ac:dyDescent="0.2">
      <c r="A303" s="20"/>
      <c r="B303" s="18"/>
      <c r="C303" s="38" t="s">
        <v>313</v>
      </c>
      <c r="D303" s="20"/>
      <c r="E303" s="20"/>
      <c r="F303" s="23"/>
      <c r="G303" s="23"/>
      <c r="O303" s="14">
        <v>50215020</v>
      </c>
    </row>
    <row r="304" spans="1:15" ht="13.5" thickBot="1" x14ac:dyDescent="0.25">
      <c r="A304" s="21"/>
      <c r="B304" s="21"/>
      <c r="C304" s="21"/>
      <c r="D304" s="35" t="s">
        <v>314</v>
      </c>
      <c r="E304" s="21"/>
      <c r="F304" s="28">
        <f>SUM(F302:F303)</f>
        <v>0</v>
      </c>
      <c r="G304" s="28">
        <f>SUM(G294:G303)</f>
        <v>0</v>
      </c>
    </row>
    <row r="305" spans="1:15" ht="13.5" thickBot="1" x14ac:dyDescent="0.25">
      <c r="A305" s="20"/>
      <c r="B305" s="18" t="s">
        <v>315</v>
      </c>
      <c r="C305" s="21"/>
      <c r="D305" s="35"/>
      <c r="E305" s="21"/>
      <c r="F305" s="30">
        <f>F277+F286+F292-F300-F304</f>
        <v>0</v>
      </c>
      <c r="G305" s="30">
        <f>+G292+G304</f>
        <v>0</v>
      </c>
    </row>
    <row r="306" spans="1:15" x14ac:dyDescent="0.2">
      <c r="A306" s="21"/>
      <c r="B306" s="35" t="s">
        <v>316</v>
      </c>
      <c r="C306" s="20"/>
      <c r="D306" s="38"/>
      <c r="E306" s="20"/>
      <c r="F306" s="24"/>
      <c r="G306" s="24"/>
    </row>
    <row r="307" spans="1:15" x14ac:dyDescent="0.2">
      <c r="A307" s="21"/>
      <c r="B307" s="20"/>
      <c r="C307" s="35" t="s">
        <v>317</v>
      </c>
      <c r="D307" s="38"/>
      <c r="E307" s="38"/>
      <c r="F307" s="24"/>
      <c r="G307" s="24"/>
    </row>
    <row r="308" spans="1:15" x14ac:dyDescent="0.2">
      <c r="A308" s="21"/>
      <c r="B308" s="20"/>
      <c r="C308" s="38"/>
      <c r="D308" s="38" t="s">
        <v>318</v>
      </c>
      <c r="E308" s="38"/>
      <c r="F308" s="23"/>
      <c r="G308" s="23"/>
      <c r="O308" s="14">
        <v>40701010</v>
      </c>
    </row>
    <row r="309" spans="1:15" x14ac:dyDescent="0.2">
      <c r="A309" s="20"/>
      <c r="B309" s="20"/>
      <c r="C309" s="35" t="s">
        <v>12</v>
      </c>
      <c r="D309" s="38"/>
      <c r="E309" s="38"/>
      <c r="F309" s="23"/>
      <c r="G309" s="23"/>
    </row>
    <row r="310" spans="1:15" x14ac:dyDescent="0.2">
      <c r="A310" s="21"/>
      <c r="B310" s="20"/>
      <c r="C310" s="38"/>
      <c r="D310" s="38" t="s">
        <v>319</v>
      </c>
      <c r="E310" s="38"/>
      <c r="F310" s="23"/>
      <c r="G310" s="23"/>
      <c r="O310" s="14">
        <v>40501010</v>
      </c>
    </row>
    <row r="311" spans="1:15" x14ac:dyDescent="0.2">
      <c r="A311" s="21"/>
      <c r="B311" s="20"/>
      <c r="C311" s="38"/>
      <c r="D311" s="38" t="s">
        <v>320</v>
      </c>
      <c r="E311" s="38"/>
      <c r="F311" s="23"/>
      <c r="G311" s="23"/>
      <c r="O311" s="14">
        <v>40501020</v>
      </c>
    </row>
    <row r="312" spans="1:15" x14ac:dyDescent="0.2">
      <c r="A312" s="21"/>
      <c r="B312" s="20"/>
      <c r="C312" s="38"/>
      <c r="D312" s="38" t="s">
        <v>321</v>
      </c>
      <c r="E312" s="38"/>
      <c r="F312" s="23"/>
      <c r="G312" s="23"/>
      <c r="O312" s="14">
        <v>40501030</v>
      </c>
    </row>
    <row r="313" spans="1:15" x14ac:dyDescent="0.2">
      <c r="A313" s="21"/>
      <c r="B313" s="20"/>
      <c r="C313" s="38"/>
      <c r="D313" s="38" t="s">
        <v>322</v>
      </c>
      <c r="E313" s="38"/>
      <c r="F313" s="23"/>
      <c r="G313" s="23"/>
      <c r="O313" s="14">
        <v>40501040</v>
      </c>
    </row>
    <row r="314" spans="1:15" x14ac:dyDescent="0.2">
      <c r="A314" s="21"/>
      <c r="B314" s="20"/>
      <c r="C314" s="38"/>
      <c r="D314" s="38" t="s">
        <v>323</v>
      </c>
      <c r="E314" s="38"/>
      <c r="F314" s="23"/>
      <c r="G314" s="23"/>
      <c r="O314" s="14">
        <v>40501050</v>
      </c>
    </row>
    <row r="315" spans="1:15" x14ac:dyDescent="0.2">
      <c r="A315" s="21"/>
      <c r="B315" s="20"/>
      <c r="C315" s="38"/>
      <c r="D315" s="38" t="s">
        <v>324</v>
      </c>
      <c r="E315" s="38"/>
      <c r="F315" s="23"/>
      <c r="G315" s="23"/>
      <c r="O315" s="14">
        <v>40501110</v>
      </c>
    </row>
    <row r="316" spans="1:15" x14ac:dyDescent="0.2">
      <c r="A316" s="21"/>
      <c r="B316" s="20"/>
      <c r="C316" s="38"/>
      <c r="D316" s="38" t="s">
        <v>325</v>
      </c>
      <c r="E316" s="38"/>
      <c r="F316" s="23"/>
      <c r="G316" s="23"/>
      <c r="O316" s="14">
        <v>40501120</v>
      </c>
    </row>
    <row r="317" spans="1:15" x14ac:dyDescent="0.2">
      <c r="A317" s="21"/>
      <c r="B317" s="20"/>
      <c r="C317" s="38"/>
      <c r="D317" s="38" t="s">
        <v>326</v>
      </c>
      <c r="E317" s="38"/>
      <c r="F317" s="23"/>
      <c r="G317" s="23"/>
      <c r="O317" s="14">
        <v>40501990</v>
      </c>
    </row>
    <row r="318" spans="1:15" x14ac:dyDescent="0.2">
      <c r="A318" s="21"/>
      <c r="B318" s="20"/>
      <c r="C318" s="38"/>
      <c r="D318" s="35" t="s">
        <v>132</v>
      </c>
      <c r="E318" s="38"/>
      <c r="F318" s="39">
        <f>SUM(F310:F317)</f>
        <v>0</v>
      </c>
      <c r="G318" s="39">
        <f>SUM(G308:G317)</f>
        <v>0</v>
      </c>
    </row>
    <row r="319" spans="1:15" x14ac:dyDescent="0.2">
      <c r="A319" s="21"/>
      <c r="B319" s="20"/>
      <c r="C319" s="35" t="s">
        <v>327</v>
      </c>
      <c r="D319" s="38"/>
      <c r="E319" s="38"/>
      <c r="F319" s="40"/>
      <c r="G319" s="40"/>
    </row>
    <row r="320" spans="1:15" x14ac:dyDescent="0.2">
      <c r="A320" s="21"/>
      <c r="B320" s="20"/>
      <c r="C320" s="38"/>
      <c r="D320" s="38" t="s">
        <v>327</v>
      </c>
      <c r="E320" s="38"/>
      <c r="F320" s="23"/>
      <c r="G320" s="23"/>
      <c r="O320" s="14">
        <v>40601010</v>
      </c>
    </row>
    <row r="321" spans="1:15" x14ac:dyDescent="0.2">
      <c r="A321" s="20"/>
      <c r="B321" s="20"/>
      <c r="C321" s="35" t="s">
        <v>328</v>
      </c>
      <c r="D321" s="38"/>
      <c r="E321" s="38"/>
      <c r="F321" s="23"/>
      <c r="G321" s="23"/>
    </row>
    <row r="322" spans="1:15" x14ac:dyDescent="0.2">
      <c r="A322" s="21"/>
      <c r="B322" s="20"/>
      <c r="C322" s="38"/>
      <c r="D322" s="38" t="s">
        <v>329</v>
      </c>
      <c r="E322" s="38"/>
      <c r="F322" s="23"/>
      <c r="G322" s="23"/>
    </row>
    <row r="323" spans="1:15" x14ac:dyDescent="0.2">
      <c r="A323" s="21"/>
      <c r="B323" s="20"/>
      <c r="C323" s="38"/>
      <c r="D323" s="41" t="s">
        <v>330</v>
      </c>
      <c r="E323" s="21"/>
      <c r="F323" s="23"/>
      <c r="G323" s="23"/>
      <c r="O323" s="14">
        <v>50504010</v>
      </c>
    </row>
    <row r="324" spans="1:15" x14ac:dyDescent="0.2">
      <c r="A324" s="21"/>
      <c r="B324" s="20"/>
      <c r="C324" s="38"/>
      <c r="D324" s="41" t="s">
        <v>331</v>
      </c>
      <c r="E324" s="21"/>
      <c r="F324" s="23"/>
      <c r="G324" s="23"/>
      <c r="O324" s="14">
        <v>50504020</v>
      </c>
    </row>
    <row r="325" spans="1:15" x14ac:dyDescent="0.2">
      <c r="A325" s="21"/>
      <c r="B325" s="20"/>
      <c r="C325" s="38"/>
      <c r="D325" s="41" t="s">
        <v>332</v>
      </c>
      <c r="E325" s="21"/>
      <c r="F325" s="23"/>
      <c r="G325" s="23"/>
      <c r="O325" s="14">
        <v>50504030</v>
      </c>
    </row>
    <row r="326" spans="1:15" x14ac:dyDescent="0.2">
      <c r="A326" s="21"/>
      <c r="B326" s="20"/>
      <c r="C326" s="38"/>
      <c r="D326" s="41" t="s">
        <v>333</v>
      </c>
      <c r="E326" s="21"/>
      <c r="F326" s="23"/>
      <c r="G326" s="23"/>
      <c r="O326" s="14">
        <v>50504040</v>
      </c>
    </row>
    <row r="327" spans="1:15" x14ac:dyDescent="0.2">
      <c r="A327" s="21"/>
      <c r="B327" s="20"/>
      <c r="C327" s="38"/>
      <c r="D327" s="41" t="s">
        <v>334</v>
      </c>
      <c r="E327" s="21"/>
      <c r="F327" s="23"/>
      <c r="G327" s="23"/>
      <c r="O327" s="14">
        <v>50504060</v>
      </c>
    </row>
    <row r="328" spans="1:15" x14ac:dyDescent="0.2">
      <c r="A328" s="21"/>
      <c r="B328" s="20"/>
      <c r="C328" s="38"/>
      <c r="D328" s="41" t="s">
        <v>335</v>
      </c>
      <c r="E328" s="21"/>
      <c r="F328" s="23"/>
      <c r="G328" s="23"/>
      <c r="O328" s="14">
        <v>50504070</v>
      </c>
    </row>
    <row r="329" spans="1:15" x14ac:dyDescent="0.2">
      <c r="A329" s="21"/>
      <c r="B329" s="20"/>
      <c r="C329" s="38"/>
      <c r="D329" s="41" t="s">
        <v>336</v>
      </c>
      <c r="E329" s="21"/>
      <c r="F329" s="23"/>
      <c r="G329" s="23"/>
      <c r="O329" s="14">
        <v>50504090</v>
      </c>
    </row>
    <row r="330" spans="1:15" x14ac:dyDescent="0.2">
      <c r="A330" s="21"/>
      <c r="B330" s="20"/>
      <c r="C330" s="38"/>
      <c r="D330" s="41" t="s">
        <v>337</v>
      </c>
      <c r="E330" s="21"/>
      <c r="F330" s="23"/>
      <c r="G330" s="23"/>
      <c r="O330" s="14">
        <v>50504100</v>
      </c>
    </row>
    <row r="331" spans="1:15" x14ac:dyDescent="0.2">
      <c r="A331" s="21"/>
      <c r="B331" s="20"/>
      <c r="C331" s="38"/>
      <c r="D331" s="41" t="s">
        <v>338</v>
      </c>
      <c r="E331" s="21"/>
      <c r="F331" s="23"/>
      <c r="G331" s="23"/>
      <c r="O331" s="14">
        <v>50504990</v>
      </c>
    </row>
    <row r="332" spans="1:15" x14ac:dyDescent="0.2">
      <c r="A332" s="21"/>
      <c r="B332" s="20"/>
      <c r="C332" s="38"/>
      <c r="D332" s="16" t="s">
        <v>339</v>
      </c>
      <c r="E332" s="21"/>
      <c r="F332" s="33">
        <f>SUM(F322:F331)</f>
        <v>0</v>
      </c>
      <c r="G332" s="33"/>
    </row>
    <row r="333" spans="1:15" ht="13.5" thickBot="1" x14ac:dyDescent="0.25">
      <c r="A333" s="21"/>
      <c r="B333" s="20"/>
      <c r="C333" s="35" t="s">
        <v>340</v>
      </c>
      <c r="D333" s="16"/>
      <c r="E333" s="21"/>
      <c r="F333" s="28">
        <f>F308+F318+F320-F332</f>
        <v>0</v>
      </c>
      <c r="G333" s="28">
        <f>SUM(G322:G332)</f>
        <v>0</v>
      </c>
    </row>
    <row r="334" spans="1:15" ht="13.5" thickBot="1" x14ac:dyDescent="0.25">
      <c r="A334" s="18" t="s">
        <v>25</v>
      </c>
      <c r="B334" s="18"/>
      <c r="C334" s="20"/>
      <c r="D334" s="20"/>
      <c r="E334" s="20"/>
      <c r="F334" s="30">
        <f>F305+F333</f>
        <v>0</v>
      </c>
      <c r="G334" s="30">
        <f>+G119-G276-G304</f>
        <v>0</v>
      </c>
    </row>
  </sheetData>
  <mergeCells count="7">
    <mergeCell ref="A12:H12"/>
    <mergeCell ref="A9:H9"/>
    <mergeCell ref="A11:H11"/>
    <mergeCell ref="A6:H6"/>
    <mergeCell ref="A7:H7"/>
    <mergeCell ref="A8:H8"/>
    <mergeCell ref="A10:H10"/>
  </mergeCells>
  <pageMargins left="0.7" right="0.7" top="0.75" bottom="0.75" header="0.3" footer="0.3"/>
  <pageSetup scale="80" orientation="portrait" r:id="rId1"/>
  <colBreaks count="1" manualBreakCount="1">
    <brk id="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A8F5F-3929-4671-B9E5-893F00262A22}">
  <dimension ref="A1:J34"/>
  <sheetViews>
    <sheetView tabSelected="1" view="pageLayout" topLeftCell="A13" zoomScaleNormal="100" zoomScaleSheetLayoutView="100" workbookViewId="0">
      <selection activeCell="D21" sqref="D21"/>
    </sheetView>
  </sheetViews>
  <sheetFormatPr defaultRowHeight="15" x14ac:dyDescent="0.25"/>
  <cols>
    <col min="1" max="1" width="11.42578125" customWidth="1"/>
    <col min="3" max="3" width="40.7109375" customWidth="1"/>
    <col min="4" max="4" width="22.42578125" customWidth="1"/>
    <col min="5" max="5" width="15.28515625" customWidth="1"/>
    <col min="6" max="6" width="17" customWidth="1"/>
    <col min="257" max="257" width="11.42578125" customWidth="1"/>
    <col min="259" max="259" width="40.7109375" customWidth="1"/>
    <col min="260" max="260" width="24.7109375" customWidth="1"/>
    <col min="261" max="261" width="27.42578125" customWidth="1"/>
    <col min="513" max="513" width="11.42578125" customWidth="1"/>
    <col min="515" max="515" width="40.7109375" customWidth="1"/>
    <col min="516" max="516" width="24.7109375" customWidth="1"/>
    <col min="517" max="517" width="27.42578125" customWidth="1"/>
    <col min="769" max="769" width="11.42578125" customWidth="1"/>
    <col min="771" max="771" width="40.7109375" customWidth="1"/>
    <col min="772" max="772" width="24.7109375" customWidth="1"/>
    <col min="773" max="773" width="27.42578125" customWidth="1"/>
    <col min="1025" max="1025" width="11.42578125" customWidth="1"/>
    <col min="1027" max="1027" width="40.7109375" customWidth="1"/>
    <col min="1028" max="1028" width="24.7109375" customWidth="1"/>
    <col min="1029" max="1029" width="27.42578125" customWidth="1"/>
    <col min="1281" max="1281" width="11.42578125" customWidth="1"/>
    <col min="1283" max="1283" width="40.7109375" customWidth="1"/>
    <col min="1284" max="1284" width="24.7109375" customWidth="1"/>
    <col min="1285" max="1285" width="27.42578125" customWidth="1"/>
    <col min="1537" max="1537" width="11.42578125" customWidth="1"/>
    <col min="1539" max="1539" width="40.7109375" customWidth="1"/>
    <col min="1540" max="1540" width="24.7109375" customWidth="1"/>
    <col min="1541" max="1541" width="27.42578125" customWidth="1"/>
    <col min="1793" max="1793" width="11.42578125" customWidth="1"/>
    <col min="1795" max="1795" width="40.7109375" customWidth="1"/>
    <col min="1796" max="1796" width="24.7109375" customWidth="1"/>
    <col min="1797" max="1797" width="27.42578125" customWidth="1"/>
    <col min="2049" max="2049" width="11.42578125" customWidth="1"/>
    <col min="2051" max="2051" width="40.7109375" customWidth="1"/>
    <col min="2052" max="2052" width="24.7109375" customWidth="1"/>
    <col min="2053" max="2053" width="27.42578125" customWidth="1"/>
    <col min="2305" max="2305" width="11.42578125" customWidth="1"/>
    <col min="2307" max="2307" width="40.7109375" customWidth="1"/>
    <col min="2308" max="2308" width="24.7109375" customWidth="1"/>
    <col min="2309" max="2309" width="27.42578125" customWidth="1"/>
    <col min="2561" max="2561" width="11.42578125" customWidth="1"/>
    <col min="2563" max="2563" width="40.7109375" customWidth="1"/>
    <col min="2564" max="2564" width="24.7109375" customWidth="1"/>
    <col min="2565" max="2565" width="27.42578125" customWidth="1"/>
    <col min="2817" max="2817" width="11.42578125" customWidth="1"/>
    <col min="2819" max="2819" width="40.7109375" customWidth="1"/>
    <col min="2820" max="2820" width="24.7109375" customWidth="1"/>
    <col min="2821" max="2821" width="27.42578125" customWidth="1"/>
    <col min="3073" max="3073" width="11.42578125" customWidth="1"/>
    <col min="3075" max="3075" width="40.7109375" customWidth="1"/>
    <col min="3076" max="3076" width="24.7109375" customWidth="1"/>
    <col min="3077" max="3077" width="27.42578125" customWidth="1"/>
    <col min="3329" max="3329" width="11.42578125" customWidth="1"/>
    <col min="3331" max="3331" width="40.7109375" customWidth="1"/>
    <col min="3332" max="3332" width="24.7109375" customWidth="1"/>
    <col min="3333" max="3333" width="27.42578125" customWidth="1"/>
    <col min="3585" max="3585" width="11.42578125" customWidth="1"/>
    <col min="3587" max="3587" width="40.7109375" customWidth="1"/>
    <col min="3588" max="3588" width="24.7109375" customWidth="1"/>
    <col min="3589" max="3589" width="27.42578125" customWidth="1"/>
    <col min="3841" max="3841" width="11.42578125" customWidth="1"/>
    <col min="3843" max="3843" width="40.7109375" customWidth="1"/>
    <col min="3844" max="3844" width="24.7109375" customWidth="1"/>
    <col min="3845" max="3845" width="27.42578125" customWidth="1"/>
    <col min="4097" max="4097" width="11.42578125" customWidth="1"/>
    <col min="4099" max="4099" width="40.7109375" customWidth="1"/>
    <col min="4100" max="4100" width="24.7109375" customWidth="1"/>
    <col min="4101" max="4101" width="27.42578125" customWidth="1"/>
    <col min="4353" max="4353" width="11.42578125" customWidth="1"/>
    <col min="4355" max="4355" width="40.7109375" customWidth="1"/>
    <col min="4356" max="4356" width="24.7109375" customWidth="1"/>
    <col min="4357" max="4357" width="27.42578125" customWidth="1"/>
    <col min="4609" max="4609" width="11.42578125" customWidth="1"/>
    <col min="4611" max="4611" width="40.7109375" customWidth="1"/>
    <col min="4612" max="4612" width="24.7109375" customWidth="1"/>
    <col min="4613" max="4613" width="27.42578125" customWidth="1"/>
    <col min="4865" max="4865" width="11.42578125" customWidth="1"/>
    <col min="4867" max="4867" width="40.7109375" customWidth="1"/>
    <col min="4868" max="4868" width="24.7109375" customWidth="1"/>
    <col min="4869" max="4869" width="27.42578125" customWidth="1"/>
    <col min="5121" max="5121" width="11.42578125" customWidth="1"/>
    <col min="5123" max="5123" width="40.7109375" customWidth="1"/>
    <col min="5124" max="5124" width="24.7109375" customWidth="1"/>
    <col min="5125" max="5125" width="27.42578125" customWidth="1"/>
    <col min="5377" max="5377" width="11.42578125" customWidth="1"/>
    <col min="5379" max="5379" width="40.7109375" customWidth="1"/>
    <col min="5380" max="5380" width="24.7109375" customWidth="1"/>
    <col min="5381" max="5381" width="27.42578125" customWidth="1"/>
    <col min="5633" max="5633" width="11.42578125" customWidth="1"/>
    <col min="5635" max="5635" width="40.7109375" customWidth="1"/>
    <col min="5636" max="5636" width="24.7109375" customWidth="1"/>
    <col min="5637" max="5637" width="27.42578125" customWidth="1"/>
    <col min="5889" max="5889" width="11.42578125" customWidth="1"/>
    <col min="5891" max="5891" width="40.7109375" customWidth="1"/>
    <col min="5892" max="5892" width="24.7109375" customWidth="1"/>
    <col min="5893" max="5893" width="27.42578125" customWidth="1"/>
    <col min="6145" max="6145" width="11.42578125" customWidth="1"/>
    <col min="6147" max="6147" width="40.7109375" customWidth="1"/>
    <col min="6148" max="6148" width="24.7109375" customWidth="1"/>
    <col min="6149" max="6149" width="27.42578125" customWidth="1"/>
    <col min="6401" max="6401" width="11.42578125" customWidth="1"/>
    <col min="6403" max="6403" width="40.7109375" customWidth="1"/>
    <col min="6404" max="6404" width="24.7109375" customWidth="1"/>
    <col min="6405" max="6405" width="27.42578125" customWidth="1"/>
    <col min="6657" max="6657" width="11.42578125" customWidth="1"/>
    <col min="6659" max="6659" width="40.7109375" customWidth="1"/>
    <col min="6660" max="6660" width="24.7109375" customWidth="1"/>
    <col min="6661" max="6661" width="27.42578125" customWidth="1"/>
    <col min="6913" max="6913" width="11.42578125" customWidth="1"/>
    <col min="6915" max="6915" width="40.7109375" customWidth="1"/>
    <col min="6916" max="6916" width="24.7109375" customWidth="1"/>
    <col min="6917" max="6917" width="27.42578125" customWidth="1"/>
    <col min="7169" max="7169" width="11.42578125" customWidth="1"/>
    <col min="7171" max="7171" width="40.7109375" customWidth="1"/>
    <col min="7172" max="7172" width="24.7109375" customWidth="1"/>
    <col min="7173" max="7173" width="27.42578125" customWidth="1"/>
    <col min="7425" max="7425" width="11.42578125" customWidth="1"/>
    <col min="7427" max="7427" width="40.7109375" customWidth="1"/>
    <col min="7428" max="7428" width="24.7109375" customWidth="1"/>
    <col min="7429" max="7429" width="27.42578125" customWidth="1"/>
    <col min="7681" max="7681" width="11.42578125" customWidth="1"/>
    <col min="7683" max="7683" width="40.7109375" customWidth="1"/>
    <col min="7684" max="7684" width="24.7109375" customWidth="1"/>
    <col min="7685" max="7685" width="27.42578125" customWidth="1"/>
    <col min="7937" max="7937" width="11.42578125" customWidth="1"/>
    <col min="7939" max="7939" width="40.7109375" customWidth="1"/>
    <col min="7940" max="7940" width="24.7109375" customWidth="1"/>
    <col min="7941" max="7941" width="27.42578125" customWidth="1"/>
    <col min="8193" max="8193" width="11.42578125" customWidth="1"/>
    <col min="8195" max="8195" width="40.7109375" customWidth="1"/>
    <col min="8196" max="8196" width="24.7109375" customWidth="1"/>
    <col min="8197" max="8197" width="27.42578125" customWidth="1"/>
    <col min="8449" max="8449" width="11.42578125" customWidth="1"/>
    <col min="8451" max="8451" width="40.7109375" customWidth="1"/>
    <col min="8452" max="8452" width="24.7109375" customWidth="1"/>
    <col min="8453" max="8453" width="27.42578125" customWidth="1"/>
    <col min="8705" max="8705" width="11.42578125" customWidth="1"/>
    <col min="8707" max="8707" width="40.7109375" customWidth="1"/>
    <col min="8708" max="8708" width="24.7109375" customWidth="1"/>
    <col min="8709" max="8709" width="27.42578125" customWidth="1"/>
    <col min="8961" max="8961" width="11.42578125" customWidth="1"/>
    <col min="8963" max="8963" width="40.7109375" customWidth="1"/>
    <col min="8964" max="8964" width="24.7109375" customWidth="1"/>
    <col min="8965" max="8965" width="27.42578125" customWidth="1"/>
    <col min="9217" max="9217" width="11.42578125" customWidth="1"/>
    <col min="9219" max="9219" width="40.7109375" customWidth="1"/>
    <col min="9220" max="9220" width="24.7109375" customWidth="1"/>
    <col min="9221" max="9221" width="27.42578125" customWidth="1"/>
    <col min="9473" max="9473" width="11.42578125" customWidth="1"/>
    <col min="9475" max="9475" width="40.7109375" customWidth="1"/>
    <col min="9476" max="9476" width="24.7109375" customWidth="1"/>
    <col min="9477" max="9477" width="27.42578125" customWidth="1"/>
    <col min="9729" max="9729" width="11.42578125" customWidth="1"/>
    <col min="9731" max="9731" width="40.7109375" customWidth="1"/>
    <col min="9732" max="9732" width="24.7109375" customWidth="1"/>
    <col min="9733" max="9733" width="27.42578125" customWidth="1"/>
    <col min="9985" max="9985" width="11.42578125" customWidth="1"/>
    <col min="9987" max="9987" width="40.7109375" customWidth="1"/>
    <col min="9988" max="9988" width="24.7109375" customWidth="1"/>
    <col min="9989" max="9989" width="27.42578125" customWidth="1"/>
    <col min="10241" max="10241" width="11.42578125" customWidth="1"/>
    <col min="10243" max="10243" width="40.7109375" customWidth="1"/>
    <col min="10244" max="10244" width="24.7109375" customWidth="1"/>
    <col min="10245" max="10245" width="27.42578125" customWidth="1"/>
    <col min="10497" max="10497" width="11.42578125" customWidth="1"/>
    <col min="10499" max="10499" width="40.7109375" customWidth="1"/>
    <col min="10500" max="10500" width="24.7109375" customWidth="1"/>
    <col min="10501" max="10501" width="27.42578125" customWidth="1"/>
    <col min="10753" max="10753" width="11.42578125" customWidth="1"/>
    <col min="10755" max="10755" width="40.7109375" customWidth="1"/>
    <col min="10756" max="10756" width="24.7109375" customWidth="1"/>
    <col min="10757" max="10757" width="27.42578125" customWidth="1"/>
    <col min="11009" max="11009" width="11.42578125" customWidth="1"/>
    <col min="11011" max="11011" width="40.7109375" customWidth="1"/>
    <col min="11012" max="11012" width="24.7109375" customWidth="1"/>
    <col min="11013" max="11013" width="27.42578125" customWidth="1"/>
    <col min="11265" max="11265" width="11.42578125" customWidth="1"/>
    <col min="11267" max="11267" width="40.7109375" customWidth="1"/>
    <col min="11268" max="11268" width="24.7109375" customWidth="1"/>
    <col min="11269" max="11269" width="27.42578125" customWidth="1"/>
    <col min="11521" max="11521" width="11.42578125" customWidth="1"/>
    <col min="11523" max="11523" width="40.7109375" customWidth="1"/>
    <col min="11524" max="11524" width="24.7109375" customWidth="1"/>
    <col min="11525" max="11525" width="27.42578125" customWidth="1"/>
    <col min="11777" max="11777" width="11.42578125" customWidth="1"/>
    <col min="11779" max="11779" width="40.7109375" customWidth="1"/>
    <col min="11780" max="11780" width="24.7109375" customWidth="1"/>
    <col min="11781" max="11781" width="27.42578125" customWidth="1"/>
    <col min="12033" max="12033" width="11.42578125" customWidth="1"/>
    <col min="12035" max="12035" width="40.7109375" customWidth="1"/>
    <col min="12036" max="12036" width="24.7109375" customWidth="1"/>
    <col min="12037" max="12037" width="27.42578125" customWidth="1"/>
    <col min="12289" max="12289" width="11.42578125" customWidth="1"/>
    <col min="12291" max="12291" width="40.7109375" customWidth="1"/>
    <col min="12292" max="12292" width="24.7109375" customWidth="1"/>
    <col min="12293" max="12293" width="27.42578125" customWidth="1"/>
    <col min="12545" max="12545" width="11.42578125" customWidth="1"/>
    <col min="12547" max="12547" width="40.7109375" customWidth="1"/>
    <col min="12548" max="12548" width="24.7109375" customWidth="1"/>
    <col min="12549" max="12549" width="27.42578125" customWidth="1"/>
    <col min="12801" max="12801" width="11.42578125" customWidth="1"/>
    <col min="12803" max="12803" width="40.7109375" customWidth="1"/>
    <col min="12804" max="12804" width="24.7109375" customWidth="1"/>
    <col min="12805" max="12805" width="27.42578125" customWidth="1"/>
    <col min="13057" max="13057" width="11.42578125" customWidth="1"/>
    <col min="13059" max="13059" width="40.7109375" customWidth="1"/>
    <col min="13060" max="13060" width="24.7109375" customWidth="1"/>
    <col min="13061" max="13061" width="27.42578125" customWidth="1"/>
    <col min="13313" max="13313" width="11.42578125" customWidth="1"/>
    <col min="13315" max="13315" width="40.7109375" customWidth="1"/>
    <col min="13316" max="13316" width="24.7109375" customWidth="1"/>
    <col min="13317" max="13317" width="27.42578125" customWidth="1"/>
    <col min="13569" max="13569" width="11.42578125" customWidth="1"/>
    <col min="13571" max="13571" width="40.7109375" customWidth="1"/>
    <col min="13572" max="13572" width="24.7109375" customWidth="1"/>
    <col min="13573" max="13573" width="27.42578125" customWidth="1"/>
    <col min="13825" max="13825" width="11.42578125" customWidth="1"/>
    <col min="13827" max="13827" width="40.7109375" customWidth="1"/>
    <col min="13828" max="13828" width="24.7109375" customWidth="1"/>
    <col min="13829" max="13829" width="27.42578125" customWidth="1"/>
    <col min="14081" max="14081" width="11.42578125" customWidth="1"/>
    <col min="14083" max="14083" width="40.7109375" customWidth="1"/>
    <col min="14084" max="14084" width="24.7109375" customWidth="1"/>
    <col min="14085" max="14085" width="27.42578125" customWidth="1"/>
    <col min="14337" max="14337" width="11.42578125" customWidth="1"/>
    <col min="14339" max="14339" width="40.7109375" customWidth="1"/>
    <col min="14340" max="14340" width="24.7109375" customWidth="1"/>
    <col min="14341" max="14341" width="27.42578125" customWidth="1"/>
    <col min="14593" max="14593" width="11.42578125" customWidth="1"/>
    <col min="14595" max="14595" width="40.7109375" customWidth="1"/>
    <col min="14596" max="14596" width="24.7109375" customWidth="1"/>
    <col min="14597" max="14597" width="27.42578125" customWidth="1"/>
    <col min="14849" max="14849" width="11.42578125" customWidth="1"/>
    <col min="14851" max="14851" width="40.7109375" customWidth="1"/>
    <col min="14852" max="14852" width="24.7109375" customWidth="1"/>
    <col min="14853" max="14853" width="27.42578125" customWidth="1"/>
    <col min="15105" max="15105" width="11.42578125" customWidth="1"/>
    <col min="15107" max="15107" width="40.7109375" customWidth="1"/>
    <col min="15108" max="15108" width="24.7109375" customWidth="1"/>
    <col min="15109" max="15109" width="27.42578125" customWidth="1"/>
    <col min="15361" max="15361" width="11.42578125" customWidth="1"/>
    <col min="15363" max="15363" width="40.7109375" customWidth="1"/>
    <col min="15364" max="15364" width="24.7109375" customWidth="1"/>
    <col min="15365" max="15365" width="27.42578125" customWidth="1"/>
    <col min="15617" max="15617" width="11.42578125" customWidth="1"/>
    <col min="15619" max="15619" width="40.7109375" customWidth="1"/>
    <col min="15620" max="15620" width="24.7109375" customWidth="1"/>
    <col min="15621" max="15621" width="27.42578125" customWidth="1"/>
    <col min="15873" max="15873" width="11.42578125" customWidth="1"/>
    <col min="15875" max="15875" width="40.7109375" customWidth="1"/>
    <col min="15876" max="15876" width="24.7109375" customWidth="1"/>
    <col min="15877" max="15877" width="27.42578125" customWidth="1"/>
    <col min="16129" max="16129" width="11.42578125" customWidth="1"/>
    <col min="16131" max="16131" width="40.7109375" customWidth="1"/>
    <col min="16132" max="16132" width="24.7109375" customWidth="1"/>
    <col min="16133" max="16133" width="27.42578125" customWidth="1"/>
  </cols>
  <sheetData>
    <row r="1" spans="1:10" ht="18.75" x14ac:dyDescent="0.25">
      <c r="A1" s="162" t="s">
        <v>0</v>
      </c>
      <c r="B1" s="162"/>
      <c r="C1" s="162"/>
      <c r="D1" s="162"/>
      <c r="E1" s="162"/>
      <c r="F1" s="162"/>
    </row>
    <row r="2" spans="1:10" ht="18.75" x14ac:dyDescent="0.25">
      <c r="A2" s="162" t="s">
        <v>1</v>
      </c>
      <c r="B2" s="162"/>
      <c r="C2" s="162"/>
      <c r="D2" s="162"/>
      <c r="E2" s="162"/>
      <c r="F2" s="162"/>
    </row>
    <row r="3" spans="1:10" ht="18.75" x14ac:dyDescent="0.25">
      <c r="A3" s="165" t="s">
        <v>2</v>
      </c>
      <c r="B3" s="165"/>
      <c r="C3" s="165"/>
      <c r="D3" s="165"/>
      <c r="E3" s="165"/>
      <c r="F3" s="165"/>
    </row>
    <row r="4" spans="1:10" ht="18.75" x14ac:dyDescent="0.25">
      <c r="A4" s="162">
        <f>'Detailed Financial Performance'!A9</f>
        <v>0</v>
      </c>
      <c r="B4" s="162"/>
      <c r="C4" s="162"/>
      <c r="D4" s="162"/>
      <c r="E4" s="162"/>
      <c r="F4" s="162"/>
    </row>
    <row r="5" spans="1:10" x14ac:dyDescent="0.25">
      <c r="A5" s="163" t="s">
        <v>3</v>
      </c>
      <c r="B5" s="163"/>
      <c r="C5" s="163"/>
      <c r="D5" s="163"/>
      <c r="E5" s="163"/>
      <c r="F5" s="163"/>
    </row>
    <row r="6" spans="1:10" ht="18.75" x14ac:dyDescent="0.25">
      <c r="A6" s="164" t="s">
        <v>4</v>
      </c>
      <c r="B6" s="164"/>
      <c r="C6" s="164"/>
      <c r="D6" s="164"/>
      <c r="E6" s="164"/>
      <c r="F6" s="164"/>
    </row>
    <row r="7" spans="1:10" ht="18.75" x14ac:dyDescent="0.25">
      <c r="A7" s="165">
        <f>'Detailed Financial Performance'!A12</f>
        <v>0</v>
      </c>
      <c r="B7" s="165"/>
      <c r="C7" s="165"/>
      <c r="D7" s="165"/>
      <c r="E7" s="165"/>
      <c r="F7" s="165"/>
    </row>
    <row r="8" spans="1:10" ht="18.75" x14ac:dyDescent="0.25">
      <c r="A8" s="4"/>
      <c r="B8" s="4"/>
      <c r="C8" s="4"/>
      <c r="D8" s="4"/>
      <c r="E8" s="3"/>
    </row>
    <row r="9" spans="1:10" ht="18.75" x14ac:dyDescent="0.25">
      <c r="A9" s="165" t="s">
        <v>5</v>
      </c>
      <c r="B9" s="162"/>
      <c r="C9" s="162"/>
      <c r="D9" s="2">
        <f>'Detailed Financial Performance'!F13</f>
        <v>0</v>
      </c>
      <c r="E9" s="2">
        <f>'Detailed Financial Performance'!G13</f>
        <v>0</v>
      </c>
      <c r="F9" s="2">
        <f>'Detailed Financial Performance'!H13</f>
        <v>0</v>
      </c>
      <c r="G9" s="2">
        <f>'Detailed Financial Performance'!I13</f>
        <v>0</v>
      </c>
      <c r="H9" s="2">
        <f>'Detailed Financial Performance'!J13</f>
        <v>0</v>
      </c>
      <c r="I9" s="2">
        <f>'Detailed Financial Performance'!K13</f>
        <v>0</v>
      </c>
      <c r="J9" s="2">
        <f>'Detailed Financial Performance'!L13</f>
        <v>0</v>
      </c>
    </row>
    <row r="10" spans="1:10" ht="15.75" x14ac:dyDescent="0.25">
      <c r="A10" s="166" t="s">
        <v>6</v>
      </c>
      <c r="B10" s="166"/>
      <c r="C10" s="166"/>
      <c r="D10" s="5"/>
      <c r="E10" s="1"/>
    </row>
    <row r="11" spans="1:10" ht="15.75" x14ac:dyDescent="0.25">
      <c r="A11" s="6"/>
      <c r="B11" s="7" t="s">
        <v>7</v>
      </c>
      <c r="C11" s="8"/>
      <c r="D11" s="44">
        <f>'Detailed Financial Performance'!F41</f>
        <v>0</v>
      </c>
      <c r="E11" s="44">
        <f>'Detailed Financial Performance'!G41</f>
        <v>0</v>
      </c>
      <c r="F11" s="44">
        <f>'Detailed Financial Performance'!H41</f>
        <v>0</v>
      </c>
      <c r="G11" s="44">
        <f>'Detailed Financial Performance'!I41</f>
        <v>0</v>
      </c>
      <c r="H11" s="44">
        <f>'Detailed Financial Performance'!J41</f>
        <v>0</v>
      </c>
      <c r="I11" s="44">
        <f>'Detailed Financial Performance'!K41</f>
        <v>0</v>
      </c>
      <c r="J11" s="44">
        <f>'Detailed Financial Performance'!L41</f>
        <v>0</v>
      </c>
    </row>
    <row r="12" spans="1:10" ht="15.75" x14ac:dyDescent="0.25">
      <c r="A12" s="9"/>
      <c r="B12" s="9" t="s">
        <v>8</v>
      </c>
      <c r="C12" s="9"/>
      <c r="D12" s="44">
        <f>'Detailed Financial Performance'!F43</f>
        <v>0</v>
      </c>
      <c r="E12" s="44">
        <f>'Detailed Financial Performance'!G43</f>
        <v>0</v>
      </c>
      <c r="F12" s="44">
        <f>'Detailed Financial Performance'!H43</f>
        <v>0</v>
      </c>
      <c r="G12" s="44">
        <f>'Detailed Financial Performance'!I43</f>
        <v>0</v>
      </c>
      <c r="H12" s="44">
        <f>'Detailed Financial Performance'!J43</f>
        <v>0</v>
      </c>
      <c r="I12" s="44">
        <f>'Detailed Financial Performance'!K43</f>
        <v>0</v>
      </c>
      <c r="J12" s="44">
        <f>'Detailed Financial Performance'!L43</f>
        <v>0</v>
      </c>
    </row>
    <row r="13" spans="1:10" ht="15.75" x14ac:dyDescent="0.25">
      <c r="A13" s="9"/>
      <c r="B13" s="9" t="s">
        <v>9</v>
      </c>
      <c r="C13" s="9"/>
      <c r="D13" s="44">
        <f>'Detailed Financial Performance'!F49</f>
        <v>0</v>
      </c>
      <c r="E13" s="44">
        <f>'Detailed Financial Performance'!G49</f>
        <v>0</v>
      </c>
      <c r="F13" s="44">
        <f>'Detailed Financial Performance'!H49</f>
        <v>0</v>
      </c>
      <c r="G13" s="44">
        <f>'Detailed Financial Performance'!I49</f>
        <v>0</v>
      </c>
      <c r="H13" s="44">
        <f>'Detailed Financial Performance'!J49</f>
        <v>0</v>
      </c>
      <c r="I13" s="44">
        <f>'Detailed Financial Performance'!K49</f>
        <v>0</v>
      </c>
      <c r="J13" s="44">
        <f>'Detailed Financial Performance'!L49</f>
        <v>0</v>
      </c>
    </row>
    <row r="14" spans="1:10" ht="15.75" x14ac:dyDescent="0.25">
      <c r="A14" s="9"/>
      <c r="B14" s="9" t="s">
        <v>10</v>
      </c>
      <c r="C14" s="9"/>
      <c r="D14" s="44">
        <f>'Detailed Financial Performance'!F101</f>
        <v>0</v>
      </c>
      <c r="E14" s="44">
        <f>'Detailed Financial Performance'!G101</f>
        <v>0</v>
      </c>
      <c r="F14" s="44">
        <f>'Detailed Financial Performance'!H101</f>
        <v>0</v>
      </c>
      <c r="G14" s="44">
        <f>'Detailed Financial Performance'!I101</f>
        <v>0</v>
      </c>
      <c r="H14" s="44">
        <f>'Detailed Financial Performance'!J101</f>
        <v>0</v>
      </c>
      <c r="I14" s="44">
        <f>'Detailed Financial Performance'!K101</f>
        <v>0</v>
      </c>
      <c r="J14" s="44">
        <f>'Detailed Financial Performance'!L101</f>
        <v>0</v>
      </c>
    </row>
    <row r="15" spans="1:10" ht="15.75" x14ac:dyDescent="0.25">
      <c r="A15" s="9"/>
      <c r="B15" s="9" t="s">
        <v>11</v>
      </c>
      <c r="C15" s="9"/>
      <c r="D15" s="44">
        <f>'Detailed Financial Performance'!F110</f>
        <v>0</v>
      </c>
      <c r="E15" s="44">
        <f>'Detailed Financial Performance'!G110</f>
        <v>0</v>
      </c>
      <c r="F15" s="44">
        <f>'Detailed Financial Performance'!H110</f>
        <v>0</v>
      </c>
      <c r="G15" s="44">
        <f>'Detailed Financial Performance'!I110</f>
        <v>0</v>
      </c>
      <c r="H15" s="44">
        <f>'Detailed Financial Performance'!J110</f>
        <v>0</v>
      </c>
      <c r="I15" s="44">
        <f>'Detailed Financial Performance'!K110</f>
        <v>0</v>
      </c>
      <c r="J15" s="44">
        <f>'Detailed Financial Performance'!L110</f>
        <v>0</v>
      </c>
    </row>
    <row r="16" spans="1:10" ht="15.75" x14ac:dyDescent="0.25">
      <c r="A16" s="5"/>
      <c r="B16" s="160" t="s">
        <v>12</v>
      </c>
      <c r="C16" s="160"/>
      <c r="D16" s="44">
        <f>'Detailed Financial Performance'!F118</f>
        <v>0</v>
      </c>
      <c r="E16" s="44">
        <f>'Detailed Financial Performance'!G118</f>
        <v>0</v>
      </c>
      <c r="F16" s="44">
        <f>'Detailed Financial Performance'!H118</f>
        <v>0</v>
      </c>
      <c r="G16" s="44">
        <f>'Detailed Financial Performance'!I118</f>
        <v>0</v>
      </c>
      <c r="H16" s="44">
        <f>'Detailed Financial Performance'!J118</f>
        <v>0</v>
      </c>
      <c r="I16" s="44">
        <f>'Detailed Financial Performance'!K118</f>
        <v>0</v>
      </c>
      <c r="J16" s="44">
        <f>'Detailed Financial Performance'!L118</f>
        <v>0</v>
      </c>
    </row>
    <row r="17" spans="1:10" ht="15.75" x14ac:dyDescent="0.25">
      <c r="A17" s="5"/>
      <c r="B17" s="5" t="s">
        <v>13</v>
      </c>
      <c r="C17" s="5"/>
      <c r="D17" s="44">
        <f>'Detailed Financial Performance'!F320</f>
        <v>0</v>
      </c>
      <c r="E17" s="44">
        <f>'Detailed Financial Performance'!G320</f>
        <v>0</v>
      </c>
      <c r="F17" s="44">
        <f>'Detailed Financial Performance'!H320</f>
        <v>0</v>
      </c>
      <c r="G17" s="44">
        <f>'Detailed Financial Performance'!I320</f>
        <v>0</v>
      </c>
      <c r="H17" s="44">
        <f>'Detailed Financial Performance'!J320</f>
        <v>0</v>
      </c>
      <c r="I17" s="44">
        <f>'Detailed Financial Performance'!K320</f>
        <v>0</v>
      </c>
      <c r="J17" s="44">
        <f>'Detailed Financial Performance'!L320</f>
        <v>0</v>
      </c>
    </row>
    <row r="18" spans="1:10" ht="16.5" thickBot="1" x14ac:dyDescent="0.3">
      <c r="A18" s="161" t="s">
        <v>14</v>
      </c>
      <c r="B18" s="161"/>
      <c r="C18" s="161"/>
      <c r="D18" s="45">
        <f>SUM(D11:D17)</f>
        <v>0</v>
      </c>
      <c r="E18" s="45">
        <f t="shared" ref="E18:J18" si="0">SUM(E11:E17)</f>
        <v>0</v>
      </c>
      <c r="F18" s="45">
        <f t="shared" si="0"/>
        <v>0</v>
      </c>
      <c r="G18" s="45">
        <f t="shared" si="0"/>
        <v>0</v>
      </c>
      <c r="H18" s="45">
        <f t="shared" si="0"/>
        <v>0</v>
      </c>
      <c r="I18" s="45">
        <f t="shared" si="0"/>
        <v>0</v>
      </c>
      <c r="J18" s="45">
        <f t="shared" si="0"/>
        <v>0</v>
      </c>
    </row>
    <row r="19" spans="1:10" ht="16.5" thickTop="1" x14ac:dyDescent="0.25">
      <c r="A19" s="11" t="s">
        <v>15</v>
      </c>
      <c r="B19" s="11"/>
      <c r="C19" s="5"/>
      <c r="D19" s="44"/>
      <c r="E19" s="1"/>
    </row>
    <row r="20" spans="1:10" ht="15.75" x14ac:dyDescent="0.25">
      <c r="A20" s="9"/>
      <c r="B20" s="9" t="s">
        <v>16</v>
      </c>
      <c r="C20" s="9"/>
      <c r="D20" s="44">
        <f>'Detailed Financial Performance'!F153</f>
        <v>0</v>
      </c>
      <c r="E20" s="44">
        <f>'Detailed Financial Performance'!G153</f>
        <v>0</v>
      </c>
      <c r="F20" s="44">
        <f>'Detailed Financial Performance'!H153</f>
        <v>0</v>
      </c>
      <c r="G20" s="44">
        <f>'Detailed Financial Performance'!I153</f>
        <v>0</v>
      </c>
      <c r="H20" s="44">
        <f>'Detailed Financial Performance'!J153</f>
        <v>0</v>
      </c>
      <c r="I20" s="44">
        <f>'Detailed Financial Performance'!K153</f>
        <v>0</v>
      </c>
      <c r="J20" s="44">
        <f>'Detailed Financial Performance'!L153</f>
        <v>0</v>
      </c>
    </row>
    <row r="21" spans="1:10" ht="15.75" x14ac:dyDescent="0.25">
      <c r="A21" s="9"/>
      <c r="B21" s="9" t="s">
        <v>17</v>
      </c>
      <c r="C21" s="9"/>
      <c r="D21" s="44">
        <f>'Detailed Financial Performance'!F234+'Detailed Financial Performance'!F300+'Detailed Financial Performance'!F304</f>
        <v>0</v>
      </c>
      <c r="E21" s="44">
        <f>'Detailed Financial Performance'!G234</f>
        <v>0</v>
      </c>
      <c r="F21" s="44">
        <f>'Detailed Financial Performance'!H234</f>
        <v>0</v>
      </c>
      <c r="G21" s="44">
        <f>'Detailed Financial Performance'!I234</f>
        <v>0</v>
      </c>
      <c r="H21" s="44">
        <f>'Detailed Financial Performance'!J234</f>
        <v>0</v>
      </c>
      <c r="I21" s="44">
        <f>'Detailed Financial Performance'!K234</f>
        <v>0</v>
      </c>
      <c r="J21" s="44">
        <f>'Detailed Financial Performance'!L234</f>
        <v>0</v>
      </c>
    </row>
    <row r="22" spans="1:10" ht="15.75" x14ac:dyDescent="0.25">
      <c r="A22" s="9"/>
      <c r="B22" s="9" t="s">
        <v>18</v>
      </c>
      <c r="C22" s="9"/>
      <c r="D22" s="44">
        <f>'Detailed Financial Performance'!F243</f>
        <v>0</v>
      </c>
      <c r="E22" s="44">
        <f>'Detailed Financial Performance'!G243</f>
        <v>0</v>
      </c>
      <c r="F22" s="44">
        <f>'Detailed Financial Performance'!H243</f>
        <v>0</v>
      </c>
      <c r="G22" s="44">
        <f>'Detailed Financial Performance'!I243</f>
        <v>0</v>
      </c>
      <c r="H22" s="44">
        <f>'Detailed Financial Performance'!J243</f>
        <v>0</v>
      </c>
      <c r="I22" s="44">
        <f>'Detailed Financial Performance'!K243</f>
        <v>0</v>
      </c>
      <c r="J22" s="44">
        <f>'Detailed Financial Performance'!L243</f>
        <v>0</v>
      </c>
    </row>
    <row r="23" spans="1:10" ht="15.75" x14ac:dyDescent="0.25">
      <c r="A23" s="9"/>
      <c r="B23" s="9" t="s">
        <v>19</v>
      </c>
      <c r="C23" s="9"/>
      <c r="D23" s="44">
        <f>'Detailed Financial Performance'!F275</f>
        <v>0</v>
      </c>
      <c r="E23" s="44">
        <f>'Detailed Financial Performance'!G275</f>
        <v>0</v>
      </c>
      <c r="F23" s="44">
        <f>'Detailed Financial Performance'!H275</f>
        <v>0</v>
      </c>
      <c r="G23" s="44">
        <f>'Detailed Financial Performance'!I275</f>
        <v>0</v>
      </c>
      <c r="H23" s="44">
        <f>'Detailed Financial Performance'!J275</f>
        <v>0</v>
      </c>
      <c r="I23" s="44">
        <f>'Detailed Financial Performance'!K275</f>
        <v>0</v>
      </c>
      <c r="J23" s="44">
        <f>'Detailed Financial Performance'!L275</f>
        <v>0</v>
      </c>
    </row>
    <row r="24" spans="1:10" ht="18" x14ac:dyDescent="0.25">
      <c r="A24" s="161" t="s">
        <v>20</v>
      </c>
      <c r="B24" s="161"/>
      <c r="C24" s="161"/>
      <c r="D24" s="46">
        <f>SUM(D20:D23)</f>
        <v>0</v>
      </c>
      <c r="E24" s="46">
        <f t="shared" ref="E24:J24" si="1">SUM(E20:E23)</f>
        <v>0</v>
      </c>
      <c r="F24" s="46">
        <f t="shared" si="1"/>
        <v>0</v>
      </c>
      <c r="G24" s="46">
        <f t="shared" si="1"/>
        <v>0</v>
      </c>
      <c r="H24" s="46">
        <f t="shared" si="1"/>
        <v>0</v>
      </c>
      <c r="I24" s="46">
        <f t="shared" si="1"/>
        <v>0</v>
      </c>
      <c r="J24" s="46">
        <f t="shared" si="1"/>
        <v>0</v>
      </c>
    </row>
    <row r="25" spans="1:10" ht="21" x14ac:dyDescent="0.25">
      <c r="A25" s="158" t="s">
        <v>21</v>
      </c>
      <c r="B25" s="158"/>
      <c r="C25" s="158"/>
      <c r="D25" s="47">
        <f>D18-D24</f>
        <v>0</v>
      </c>
      <c r="E25" s="47">
        <f t="shared" ref="E25:J25" si="2">E18-E24</f>
        <v>0</v>
      </c>
      <c r="F25" s="47">
        <f t="shared" si="2"/>
        <v>0</v>
      </c>
      <c r="G25" s="47">
        <f t="shared" si="2"/>
        <v>0</v>
      </c>
      <c r="H25" s="47">
        <f t="shared" si="2"/>
        <v>0</v>
      </c>
      <c r="I25" s="47">
        <f t="shared" si="2"/>
        <v>0</v>
      </c>
      <c r="J25" s="47">
        <f t="shared" si="2"/>
        <v>0</v>
      </c>
    </row>
    <row r="26" spans="1:10" ht="15.75" x14ac:dyDescent="0.25">
      <c r="A26" s="5"/>
      <c r="B26" s="158" t="s">
        <v>22</v>
      </c>
      <c r="C26" s="158"/>
      <c r="D26" s="44"/>
      <c r="E26" s="1"/>
    </row>
    <row r="27" spans="1:10" ht="15.75" x14ac:dyDescent="0.25">
      <c r="A27" s="11"/>
      <c r="B27" s="11"/>
      <c r="C27" s="5" t="s">
        <v>23</v>
      </c>
      <c r="D27" s="44">
        <f>'Detailed Financial Performance'!F292</f>
        <v>0</v>
      </c>
      <c r="E27" s="44">
        <f>'Detailed Financial Performance'!G292</f>
        <v>0</v>
      </c>
      <c r="F27" s="44">
        <f>'Detailed Financial Performance'!H292</f>
        <v>0</v>
      </c>
      <c r="G27" s="44">
        <f>'Detailed Financial Performance'!I292</f>
        <v>0</v>
      </c>
      <c r="H27" s="44">
        <f>'Detailed Financial Performance'!J292</f>
        <v>0</v>
      </c>
      <c r="I27" s="44">
        <f>'Detailed Financial Performance'!K292</f>
        <v>0</v>
      </c>
      <c r="J27" s="44">
        <f>'Detailed Financial Performance'!L292</f>
        <v>0</v>
      </c>
    </row>
    <row r="28" spans="1:10" ht="18" x14ac:dyDescent="0.25">
      <c r="A28" s="5"/>
      <c r="B28" s="5"/>
      <c r="C28" s="5" t="s">
        <v>24</v>
      </c>
      <c r="D28" s="48">
        <f>'Detailed Financial Performance'!F304</f>
        <v>0</v>
      </c>
      <c r="E28" s="48">
        <f>'Detailed Financial Performance'!G304</f>
        <v>0</v>
      </c>
      <c r="F28" s="48">
        <f>'Detailed Financial Performance'!H304</f>
        <v>0</v>
      </c>
      <c r="G28" s="48">
        <f>'Detailed Financial Performance'!I304</f>
        <v>0</v>
      </c>
      <c r="H28" s="48">
        <f>'Detailed Financial Performance'!J304</f>
        <v>0</v>
      </c>
      <c r="I28" s="48">
        <f>'Detailed Financial Performance'!K304</f>
        <v>0</v>
      </c>
      <c r="J28" s="48">
        <f>'Detailed Financial Performance'!L304</f>
        <v>0</v>
      </c>
    </row>
    <row r="29" spans="1:10" ht="21" x14ac:dyDescent="0.25">
      <c r="A29" s="159" t="s">
        <v>25</v>
      </c>
      <c r="B29" s="159"/>
      <c r="C29" s="159"/>
      <c r="D29" s="47">
        <f>D25+D28</f>
        <v>0</v>
      </c>
      <c r="E29" s="47">
        <f t="shared" ref="E29:J29" si="3">E25+E28</f>
        <v>0</v>
      </c>
      <c r="F29" s="47">
        <f t="shared" si="3"/>
        <v>0</v>
      </c>
      <c r="G29" s="47">
        <f t="shared" si="3"/>
        <v>0</v>
      </c>
      <c r="H29" s="47">
        <f t="shared" si="3"/>
        <v>0</v>
      </c>
      <c r="I29" s="47">
        <f t="shared" si="3"/>
        <v>0</v>
      </c>
      <c r="J29" s="47">
        <f t="shared" si="3"/>
        <v>0</v>
      </c>
    </row>
    <row r="30" spans="1:10" ht="15.75" x14ac:dyDescent="0.25">
      <c r="A30" s="11"/>
      <c r="B30" s="11"/>
      <c r="C30" s="5"/>
      <c r="D30" s="10"/>
      <c r="E30" s="1"/>
    </row>
    <row r="31" spans="1:10" ht="15.75" x14ac:dyDescent="0.25">
      <c r="A31" s="160" t="s">
        <v>26</v>
      </c>
      <c r="B31" s="160"/>
      <c r="C31" s="12" t="s">
        <v>27</v>
      </c>
      <c r="D31" s="9"/>
      <c r="E31" s="1"/>
    </row>
    <row r="32" spans="1:10" ht="15.75" x14ac:dyDescent="0.25">
      <c r="A32" s="5"/>
      <c r="B32" s="5"/>
      <c r="C32" s="5"/>
      <c r="D32" s="9"/>
      <c r="E32" s="1"/>
    </row>
    <row r="33" spans="1:5" ht="15.75" x14ac:dyDescent="0.25">
      <c r="A33" s="5"/>
      <c r="B33" s="158"/>
      <c r="C33" s="158"/>
      <c r="D33" s="13" t="s">
        <v>28</v>
      </c>
      <c r="E33" s="1"/>
    </row>
    <row r="34" spans="1:5" ht="15.75" x14ac:dyDescent="0.25">
      <c r="A34" s="5"/>
      <c r="B34" s="160"/>
      <c r="C34" s="160"/>
      <c r="D34" s="7" t="s">
        <v>29</v>
      </c>
      <c r="E34" s="1"/>
    </row>
  </sheetData>
  <mergeCells count="18">
    <mergeCell ref="A1:F1"/>
    <mergeCell ref="A2:F2"/>
    <mergeCell ref="A3:F3"/>
    <mergeCell ref="A7:F7"/>
    <mergeCell ref="B16:C16"/>
    <mergeCell ref="A18:C18"/>
    <mergeCell ref="A24:C24"/>
    <mergeCell ref="A25:C25"/>
    <mergeCell ref="A4:F4"/>
    <mergeCell ref="A5:F5"/>
    <mergeCell ref="A6:F6"/>
    <mergeCell ref="A9:C9"/>
    <mergeCell ref="A10:C10"/>
    <mergeCell ref="B26:C26"/>
    <mergeCell ref="A29:C29"/>
    <mergeCell ref="A31:B31"/>
    <mergeCell ref="B33:C33"/>
    <mergeCell ref="B34:C34"/>
  </mergeCells>
  <pageMargins left="0.7" right="0.7" top="0.75" bottom="0.75" header="0.3" footer="0.3"/>
  <pageSetup scale="76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256FB-C27F-4FD8-9F04-C54871727901}">
  <dimension ref="A1:O559"/>
  <sheetViews>
    <sheetView view="pageLayout" topLeftCell="F540" zoomScale="115" zoomScaleNormal="100" zoomScaleSheetLayoutView="100" zoomScalePageLayoutView="115" workbookViewId="0">
      <selection activeCell="F558" sqref="F558:J558"/>
    </sheetView>
  </sheetViews>
  <sheetFormatPr defaultColWidth="16.42578125" defaultRowHeight="12.75" x14ac:dyDescent="0.2"/>
  <cols>
    <col min="1" max="1" width="2.140625" style="14" customWidth="1"/>
    <col min="2" max="2" width="2" style="14" customWidth="1"/>
    <col min="3" max="3" width="1.85546875" style="14" customWidth="1"/>
    <col min="4" max="4" width="3" style="14" customWidth="1"/>
    <col min="5" max="5" width="74.28515625" style="14" customWidth="1"/>
    <col min="6" max="6" width="16.5703125" style="50" customWidth="1"/>
    <col min="7" max="7" width="12.28515625" style="50" customWidth="1"/>
    <col min="8" max="8" width="13.7109375" style="50" customWidth="1"/>
    <col min="9" max="9" width="16.85546875" style="14" customWidth="1"/>
    <col min="10" max="16384" width="16.42578125" style="14"/>
  </cols>
  <sheetData>
    <row r="1" spans="1:9" hidden="1" x14ac:dyDescent="0.2"/>
    <row r="2" spans="1:9" hidden="1" x14ac:dyDescent="0.2"/>
    <row r="3" spans="1:9" hidden="1" x14ac:dyDescent="0.2"/>
    <row r="4" spans="1:9" hidden="1" x14ac:dyDescent="0.2"/>
    <row r="5" spans="1:9" ht="18.75" x14ac:dyDescent="0.2">
      <c r="A5" s="156" t="s">
        <v>0</v>
      </c>
      <c r="B5" s="156"/>
      <c r="C5" s="156"/>
      <c r="D5" s="156"/>
      <c r="E5" s="156"/>
      <c r="F5" s="156"/>
      <c r="G5" s="156"/>
      <c r="H5" s="156"/>
      <c r="I5" s="156"/>
    </row>
    <row r="6" spans="1:9" ht="18.75" x14ac:dyDescent="0.2">
      <c r="A6" s="156" t="s">
        <v>1</v>
      </c>
      <c r="B6" s="156"/>
      <c r="C6" s="156"/>
      <c r="D6" s="156"/>
      <c r="E6" s="156"/>
      <c r="F6" s="156"/>
      <c r="G6" s="156"/>
      <c r="H6" s="156"/>
      <c r="I6" s="156"/>
    </row>
    <row r="7" spans="1:9" ht="18.75" x14ac:dyDescent="0.2">
      <c r="A7" s="157" t="s">
        <v>341</v>
      </c>
      <c r="B7" s="157"/>
      <c r="C7" s="157"/>
      <c r="D7" s="157"/>
      <c r="E7" s="157"/>
      <c r="F7" s="157"/>
      <c r="G7" s="157"/>
      <c r="H7" s="157"/>
      <c r="I7" s="157"/>
    </row>
    <row r="8" spans="1:9" x14ac:dyDescent="0.2">
      <c r="A8" s="153"/>
      <c r="B8" s="153"/>
      <c r="C8" s="153"/>
      <c r="D8" s="153"/>
      <c r="E8" s="153"/>
      <c r="F8" s="153"/>
      <c r="G8" s="153"/>
      <c r="H8" s="153"/>
      <c r="I8" s="153"/>
    </row>
    <row r="9" spans="1:9" ht="18.75" x14ac:dyDescent="0.2">
      <c r="A9" s="156" t="s">
        <v>342</v>
      </c>
      <c r="B9" s="156"/>
      <c r="C9" s="156"/>
      <c r="D9" s="156"/>
      <c r="E9" s="156"/>
      <c r="F9" s="156"/>
      <c r="G9" s="156"/>
      <c r="H9" s="156"/>
      <c r="I9" s="156"/>
    </row>
    <row r="10" spans="1:9" ht="18.75" x14ac:dyDescent="0.2">
      <c r="A10" s="155" t="s">
        <v>4</v>
      </c>
      <c r="B10" s="155"/>
      <c r="C10" s="155"/>
      <c r="D10" s="155"/>
      <c r="E10" s="155"/>
      <c r="F10" s="155"/>
      <c r="G10" s="155"/>
      <c r="H10" s="155"/>
      <c r="I10" s="155"/>
    </row>
    <row r="11" spans="1:9" ht="18.75" x14ac:dyDescent="0.2">
      <c r="A11" s="155"/>
      <c r="B11" s="155"/>
      <c r="C11" s="155"/>
      <c r="D11" s="155"/>
      <c r="E11" s="155"/>
      <c r="F11" s="155"/>
      <c r="G11" s="155"/>
      <c r="H11" s="155"/>
      <c r="I11" s="155"/>
    </row>
    <row r="12" spans="1:9" x14ac:dyDescent="0.2">
      <c r="F12" s="51"/>
      <c r="G12" s="51"/>
      <c r="H12" s="51"/>
      <c r="I12" s="43"/>
    </row>
    <row r="13" spans="1:9" x14ac:dyDescent="0.2">
      <c r="A13" s="18" t="s">
        <v>343</v>
      </c>
      <c r="B13" s="18"/>
      <c r="C13" s="52"/>
      <c r="D13" s="52"/>
      <c r="E13" s="52"/>
      <c r="F13" s="53"/>
      <c r="G13" s="53"/>
      <c r="H13" s="53"/>
    </row>
    <row r="14" spans="1:9" x14ac:dyDescent="0.2">
      <c r="A14" s="18"/>
      <c r="B14" s="18" t="s">
        <v>344</v>
      </c>
      <c r="C14" s="52"/>
      <c r="D14" s="52"/>
      <c r="E14" s="52"/>
      <c r="F14" s="53"/>
      <c r="G14" s="53"/>
      <c r="H14" s="53"/>
    </row>
    <row r="15" spans="1:9" ht="16.5" customHeight="1" x14ac:dyDescent="0.2">
      <c r="A15" s="18"/>
      <c r="B15" s="18"/>
      <c r="C15" s="52" t="s">
        <v>345</v>
      </c>
      <c r="D15" s="52"/>
      <c r="E15" s="52"/>
      <c r="F15" s="53"/>
      <c r="G15" s="53"/>
      <c r="H15" s="53"/>
    </row>
    <row r="16" spans="1:9" ht="20.25" customHeight="1" x14ac:dyDescent="0.2">
      <c r="A16" s="18"/>
      <c r="B16" s="18"/>
      <c r="C16" s="52"/>
      <c r="D16" s="52" t="s">
        <v>346</v>
      </c>
      <c r="E16" s="52"/>
      <c r="F16" s="53"/>
      <c r="G16" s="53"/>
      <c r="H16" s="53"/>
    </row>
    <row r="17" spans="1:15" x14ac:dyDescent="0.2">
      <c r="A17" s="26"/>
      <c r="B17" s="26"/>
      <c r="C17" s="54"/>
      <c r="D17" s="54"/>
      <c r="E17" s="54" t="s">
        <v>347</v>
      </c>
      <c r="F17" s="53"/>
      <c r="G17" s="53"/>
      <c r="H17" s="53"/>
      <c r="O17" s="14">
        <v>10101010</v>
      </c>
    </row>
    <row r="18" spans="1:15" x14ac:dyDescent="0.2">
      <c r="A18" s="26"/>
      <c r="B18" s="26"/>
      <c r="C18" s="54"/>
      <c r="D18" s="54"/>
      <c r="E18" s="54" t="s">
        <v>348</v>
      </c>
      <c r="F18" s="53"/>
      <c r="G18" s="53"/>
      <c r="H18" s="53"/>
      <c r="O18" s="14">
        <v>10101020</v>
      </c>
    </row>
    <row r="19" spans="1:15" x14ac:dyDescent="0.2">
      <c r="A19" s="18"/>
      <c r="B19" s="18"/>
      <c r="C19" s="52"/>
      <c r="D19" s="52" t="s">
        <v>349</v>
      </c>
      <c r="E19" s="52"/>
      <c r="F19" s="53"/>
      <c r="G19" s="53"/>
      <c r="H19" s="53"/>
    </row>
    <row r="20" spans="1:15" x14ac:dyDescent="0.2">
      <c r="A20" s="26"/>
      <c r="B20" s="26"/>
      <c r="C20" s="54"/>
      <c r="D20" s="54"/>
      <c r="E20" s="54" t="s">
        <v>350</v>
      </c>
      <c r="F20" s="53"/>
      <c r="G20" s="53"/>
      <c r="H20" s="53"/>
      <c r="O20" s="14">
        <v>10102010</v>
      </c>
    </row>
    <row r="21" spans="1:15" x14ac:dyDescent="0.2">
      <c r="A21" s="26"/>
      <c r="B21" s="26"/>
      <c r="C21" s="54"/>
      <c r="D21" s="54"/>
      <c r="E21" s="54" t="s">
        <v>351</v>
      </c>
      <c r="F21" s="53"/>
      <c r="G21" s="53"/>
      <c r="H21" s="53"/>
      <c r="O21" s="14">
        <v>10102020</v>
      </c>
    </row>
    <row r="22" spans="1:15" x14ac:dyDescent="0.2">
      <c r="A22" s="26"/>
      <c r="B22" s="26"/>
      <c r="C22" s="54"/>
      <c r="D22" s="52" t="s">
        <v>352</v>
      </c>
      <c r="E22" s="52"/>
      <c r="F22" s="53"/>
      <c r="G22" s="53"/>
      <c r="H22" s="53"/>
    </row>
    <row r="23" spans="1:15" x14ac:dyDescent="0.2">
      <c r="A23" s="18"/>
      <c r="B23" s="18"/>
      <c r="C23" s="52"/>
      <c r="D23" s="54"/>
      <c r="E23" s="54" t="s">
        <v>353</v>
      </c>
      <c r="F23" s="53"/>
      <c r="G23" s="53"/>
      <c r="H23" s="53"/>
      <c r="O23" s="14">
        <v>10103010</v>
      </c>
    </row>
    <row r="24" spans="1:15" x14ac:dyDescent="0.2">
      <c r="A24" s="26"/>
      <c r="B24" s="26"/>
      <c r="C24" s="54"/>
      <c r="D24" s="54"/>
      <c r="E24" s="54" t="s">
        <v>354</v>
      </c>
      <c r="F24" s="53"/>
      <c r="G24" s="53"/>
      <c r="H24" s="53"/>
      <c r="O24" s="14">
        <v>10103020</v>
      </c>
    </row>
    <row r="25" spans="1:15" ht="15.75" x14ac:dyDescent="0.25">
      <c r="A25" s="26"/>
      <c r="B25" s="26"/>
      <c r="C25" s="55"/>
      <c r="D25" s="56" t="s">
        <v>355</v>
      </c>
      <c r="E25" s="54"/>
      <c r="F25" s="53"/>
      <c r="G25" s="53"/>
      <c r="H25" s="53"/>
    </row>
    <row r="26" spans="1:15" x14ac:dyDescent="0.2">
      <c r="A26" s="26"/>
      <c r="B26" s="26"/>
      <c r="C26" s="54"/>
      <c r="D26" s="54"/>
      <c r="E26" s="54" t="s">
        <v>356</v>
      </c>
      <c r="F26" s="53"/>
      <c r="G26" s="53"/>
      <c r="H26" s="53"/>
      <c r="O26" s="14">
        <v>10201010</v>
      </c>
    </row>
    <row r="27" spans="1:15" x14ac:dyDescent="0.2">
      <c r="A27" s="26"/>
      <c r="B27" s="26"/>
      <c r="C27" s="54"/>
      <c r="D27" s="54"/>
      <c r="E27" s="54" t="s">
        <v>357</v>
      </c>
      <c r="F27" s="53"/>
      <c r="G27" s="53"/>
      <c r="H27" s="53"/>
      <c r="O27" s="14">
        <v>10201020</v>
      </c>
    </row>
    <row r="28" spans="1:15" x14ac:dyDescent="0.2">
      <c r="A28" s="26"/>
      <c r="B28" s="26"/>
      <c r="C28" s="54"/>
      <c r="D28" s="54"/>
      <c r="E28" s="54" t="s">
        <v>358</v>
      </c>
      <c r="F28" s="53"/>
      <c r="G28" s="53"/>
      <c r="H28" s="53"/>
      <c r="O28" s="14">
        <v>10201030</v>
      </c>
    </row>
    <row r="29" spans="1:15" ht="13.9" customHeight="1" x14ac:dyDescent="0.2">
      <c r="A29" s="57"/>
      <c r="B29" s="57"/>
      <c r="C29" s="35"/>
      <c r="D29" s="35" t="s">
        <v>359</v>
      </c>
      <c r="E29" s="52"/>
      <c r="F29" s="58">
        <f>SUM(F16:F28)</f>
        <v>0</v>
      </c>
      <c r="G29" s="58">
        <f>SUM(G16:G28)</f>
        <v>0</v>
      </c>
      <c r="H29" s="58">
        <f t="shared" ref="H29:J29" si="0">SUM(H16:H28)</f>
        <v>0</v>
      </c>
      <c r="I29" s="58">
        <f t="shared" si="0"/>
        <v>0</v>
      </c>
      <c r="J29" s="58">
        <f t="shared" si="0"/>
        <v>0</v>
      </c>
      <c r="K29" s="58"/>
      <c r="L29" s="58"/>
    </row>
    <row r="30" spans="1:15" ht="15.75" x14ac:dyDescent="0.25">
      <c r="A30" s="26"/>
      <c r="B30" s="26"/>
      <c r="C30" s="56" t="s">
        <v>360</v>
      </c>
      <c r="D30" s="54"/>
      <c r="E30" s="54"/>
      <c r="F30" s="53"/>
      <c r="G30" s="53"/>
      <c r="H30" s="53"/>
    </row>
    <row r="31" spans="1:15" ht="15.75" x14ac:dyDescent="0.25">
      <c r="A31" s="26"/>
      <c r="B31" s="26"/>
      <c r="C31" s="55"/>
      <c r="D31" s="56" t="s">
        <v>361</v>
      </c>
      <c r="E31" s="54"/>
      <c r="F31" s="53"/>
      <c r="G31" s="53"/>
      <c r="H31" s="53"/>
    </row>
    <row r="32" spans="1:15" x14ac:dyDescent="0.2">
      <c r="A32" s="26"/>
      <c r="B32" s="26"/>
      <c r="C32" s="54"/>
      <c r="D32" s="54"/>
      <c r="E32" s="54" t="s">
        <v>356</v>
      </c>
      <c r="F32" s="53"/>
      <c r="G32" s="53"/>
      <c r="H32" s="53"/>
    </row>
    <row r="33" spans="1:15" x14ac:dyDescent="0.2">
      <c r="A33" s="26"/>
      <c r="B33" s="26"/>
      <c r="C33" s="54"/>
      <c r="D33" s="54"/>
      <c r="E33" s="54" t="s">
        <v>357</v>
      </c>
      <c r="F33" s="53"/>
      <c r="G33" s="53"/>
      <c r="H33" s="53"/>
    </row>
    <row r="34" spans="1:15" x14ac:dyDescent="0.2">
      <c r="A34" s="26"/>
      <c r="B34" s="26"/>
      <c r="C34" s="54"/>
      <c r="D34" s="54"/>
      <c r="E34" s="54" t="s">
        <v>358</v>
      </c>
      <c r="F34" s="53"/>
      <c r="G34" s="53"/>
      <c r="H34" s="53"/>
    </row>
    <row r="35" spans="1:15" x14ac:dyDescent="0.2">
      <c r="A35" s="18"/>
      <c r="B35" s="18"/>
      <c r="C35" s="52"/>
      <c r="D35" s="52" t="s">
        <v>362</v>
      </c>
      <c r="E35" s="52"/>
      <c r="F35" s="53"/>
      <c r="G35" s="53"/>
      <c r="H35" s="53"/>
    </row>
    <row r="36" spans="1:15" x14ac:dyDescent="0.2">
      <c r="A36" s="26"/>
      <c r="B36" s="26"/>
      <c r="C36" s="54"/>
      <c r="D36" s="54"/>
      <c r="E36" s="54" t="s">
        <v>363</v>
      </c>
      <c r="F36" s="53">
        <v>0</v>
      </c>
      <c r="G36" s="53">
        <v>0</v>
      </c>
      <c r="H36" s="53"/>
      <c r="O36" s="14">
        <v>10202010</v>
      </c>
    </row>
    <row r="37" spans="1:15" x14ac:dyDescent="0.2">
      <c r="A37" s="26"/>
      <c r="B37" s="26"/>
      <c r="C37" s="54"/>
      <c r="D37" s="54"/>
      <c r="E37" s="54" t="s">
        <v>364</v>
      </c>
      <c r="F37" s="53">
        <v>0</v>
      </c>
      <c r="G37" s="53">
        <v>0</v>
      </c>
      <c r="H37" s="53"/>
      <c r="O37" s="14">
        <v>10202020</v>
      </c>
    </row>
    <row r="38" spans="1:15" x14ac:dyDescent="0.2">
      <c r="A38" s="26"/>
      <c r="B38" s="26"/>
      <c r="C38" s="54"/>
      <c r="D38" s="52" t="s">
        <v>365</v>
      </c>
      <c r="E38" s="54"/>
      <c r="F38" s="53"/>
      <c r="G38" s="53"/>
      <c r="H38" s="53"/>
    </row>
    <row r="39" spans="1:15" x14ac:dyDescent="0.2">
      <c r="A39" s="26"/>
      <c r="B39" s="26"/>
      <c r="C39" s="54"/>
      <c r="D39" s="54"/>
      <c r="E39" s="54" t="s">
        <v>366</v>
      </c>
      <c r="F39" s="53">
        <v>0</v>
      </c>
      <c r="G39" s="53">
        <v>0</v>
      </c>
      <c r="H39" s="53"/>
      <c r="O39" s="14">
        <v>10203010</v>
      </c>
    </row>
    <row r="40" spans="1:15" x14ac:dyDescent="0.2">
      <c r="A40" s="26"/>
      <c r="B40" s="26"/>
      <c r="C40" s="54"/>
      <c r="D40" s="54"/>
      <c r="E40" s="54" t="s">
        <v>367</v>
      </c>
      <c r="F40" s="53">
        <v>0</v>
      </c>
      <c r="G40" s="53">
        <v>0</v>
      </c>
      <c r="H40" s="53"/>
      <c r="O40" s="14">
        <v>10203011</v>
      </c>
    </row>
    <row r="41" spans="1:15" x14ac:dyDescent="0.2">
      <c r="A41" s="26"/>
      <c r="B41" s="26"/>
      <c r="C41" s="54"/>
      <c r="D41" s="54"/>
      <c r="E41" s="54" t="s">
        <v>368</v>
      </c>
      <c r="F41" s="53">
        <v>0</v>
      </c>
      <c r="G41" s="53">
        <v>0</v>
      </c>
      <c r="H41" s="53"/>
      <c r="O41" s="14">
        <v>10203020</v>
      </c>
    </row>
    <row r="42" spans="1:15" x14ac:dyDescent="0.2">
      <c r="A42" s="26"/>
      <c r="B42" s="26"/>
      <c r="C42" s="54"/>
      <c r="D42" s="54"/>
      <c r="E42" s="54" t="s">
        <v>369</v>
      </c>
      <c r="F42" s="53">
        <v>0</v>
      </c>
      <c r="G42" s="53">
        <v>0</v>
      </c>
      <c r="H42" s="53"/>
      <c r="O42" s="14">
        <v>10203021</v>
      </c>
    </row>
    <row r="43" spans="1:15" x14ac:dyDescent="0.2">
      <c r="A43" s="26"/>
      <c r="B43" s="26"/>
      <c r="C43" s="54"/>
      <c r="D43" s="52" t="s">
        <v>370</v>
      </c>
      <c r="E43" s="54"/>
      <c r="F43" s="53"/>
      <c r="G43" s="53"/>
      <c r="H43" s="53"/>
    </row>
    <row r="44" spans="1:15" x14ac:dyDescent="0.2">
      <c r="A44" s="26"/>
      <c r="B44" s="26"/>
      <c r="C44" s="54"/>
      <c r="D44" s="54"/>
      <c r="E44" s="54" t="s">
        <v>371</v>
      </c>
      <c r="F44" s="53">
        <v>0</v>
      </c>
      <c r="G44" s="53">
        <v>0</v>
      </c>
      <c r="H44" s="53"/>
      <c r="O44" s="14">
        <v>10204010</v>
      </c>
    </row>
    <row r="45" spans="1:15" x14ac:dyDescent="0.2">
      <c r="A45" s="26"/>
      <c r="B45" s="26"/>
      <c r="C45" s="54"/>
      <c r="D45" s="54"/>
      <c r="E45" s="54" t="s">
        <v>372</v>
      </c>
      <c r="F45" s="53">
        <v>0</v>
      </c>
      <c r="G45" s="53">
        <v>0</v>
      </c>
      <c r="H45" s="53"/>
      <c r="O45" s="14">
        <v>10204020</v>
      </c>
    </row>
    <row r="46" spans="1:15" x14ac:dyDescent="0.2">
      <c r="A46" s="18"/>
      <c r="B46" s="18"/>
      <c r="C46" s="52"/>
      <c r="D46" s="52" t="s">
        <v>373</v>
      </c>
      <c r="E46" s="52"/>
      <c r="F46" s="53"/>
      <c r="G46" s="53"/>
      <c r="H46" s="53"/>
    </row>
    <row r="47" spans="1:15" x14ac:dyDescent="0.2">
      <c r="A47" s="26"/>
      <c r="B47" s="26"/>
      <c r="C47" s="54"/>
      <c r="D47" s="54"/>
      <c r="E47" s="54" t="s">
        <v>374</v>
      </c>
      <c r="F47" s="53">
        <v>0</v>
      </c>
      <c r="G47" s="53">
        <v>0</v>
      </c>
      <c r="H47" s="53"/>
      <c r="O47" s="14">
        <v>10205010</v>
      </c>
    </row>
    <row r="48" spans="1:15" x14ac:dyDescent="0.2">
      <c r="A48" s="26"/>
      <c r="B48" s="26"/>
      <c r="C48" s="54"/>
      <c r="D48" s="54"/>
      <c r="E48" s="54" t="s">
        <v>375</v>
      </c>
      <c r="F48" s="53">
        <v>0</v>
      </c>
      <c r="G48" s="53">
        <v>0</v>
      </c>
      <c r="H48" s="53"/>
      <c r="O48" s="14">
        <v>10205011</v>
      </c>
    </row>
    <row r="49" spans="1:15" x14ac:dyDescent="0.2">
      <c r="A49" s="26"/>
      <c r="B49" s="26"/>
      <c r="C49" s="54"/>
      <c r="D49" s="54"/>
      <c r="E49" s="54" t="s">
        <v>376</v>
      </c>
      <c r="F49" s="53">
        <v>0</v>
      </c>
      <c r="G49" s="53">
        <v>0</v>
      </c>
      <c r="H49" s="53"/>
      <c r="O49" s="14">
        <v>10205020</v>
      </c>
    </row>
    <row r="50" spans="1:15" x14ac:dyDescent="0.2">
      <c r="A50" s="26"/>
      <c r="B50" s="26"/>
      <c r="C50" s="54"/>
      <c r="D50" s="54"/>
      <c r="E50" s="54" t="s">
        <v>377</v>
      </c>
      <c r="F50" s="53">
        <v>0</v>
      </c>
      <c r="G50" s="53">
        <v>0</v>
      </c>
      <c r="H50" s="53"/>
      <c r="O50" s="14">
        <v>10205021</v>
      </c>
    </row>
    <row r="51" spans="1:15" x14ac:dyDescent="0.2">
      <c r="A51" s="26"/>
      <c r="B51" s="26"/>
      <c r="C51" s="54"/>
      <c r="D51" s="54"/>
      <c r="E51" s="54" t="s">
        <v>378</v>
      </c>
      <c r="F51" s="53">
        <v>0</v>
      </c>
      <c r="G51" s="53">
        <v>0</v>
      </c>
      <c r="H51" s="53"/>
      <c r="O51" s="14">
        <v>10205990</v>
      </c>
    </row>
    <row r="52" spans="1:15" x14ac:dyDescent="0.2">
      <c r="A52" s="26"/>
      <c r="B52" s="26"/>
      <c r="C52" s="54"/>
      <c r="D52" s="54"/>
      <c r="E52" s="54" t="s">
        <v>379</v>
      </c>
      <c r="F52" s="53">
        <v>0</v>
      </c>
      <c r="G52" s="53">
        <v>0</v>
      </c>
      <c r="H52" s="53"/>
      <c r="O52" s="14">
        <v>10205991</v>
      </c>
    </row>
    <row r="53" spans="1:15" x14ac:dyDescent="0.2">
      <c r="A53" s="18"/>
      <c r="B53" s="18"/>
      <c r="C53" s="52"/>
      <c r="D53" s="52" t="s">
        <v>380</v>
      </c>
      <c r="E53" s="52"/>
      <c r="F53" s="53"/>
      <c r="G53" s="53"/>
      <c r="H53" s="53"/>
    </row>
    <row r="54" spans="1:15" x14ac:dyDescent="0.2">
      <c r="A54" s="26"/>
      <c r="B54" s="26"/>
      <c r="C54" s="54"/>
      <c r="D54" s="54"/>
      <c r="E54" s="54" t="s">
        <v>380</v>
      </c>
      <c r="F54" s="53">
        <v>0</v>
      </c>
      <c r="G54" s="53">
        <v>0</v>
      </c>
      <c r="H54" s="53"/>
      <c r="O54" s="14">
        <v>10206010</v>
      </c>
    </row>
    <row r="55" spans="1:15" x14ac:dyDescent="0.2">
      <c r="A55" s="26"/>
      <c r="B55" s="26"/>
      <c r="C55" s="54"/>
      <c r="D55" s="54"/>
      <c r="E55" s="54" t="s">
        <v>381</v>
      </c>
      <c r="F55" s="53">
        <v>0</v>
      </c>
      <c r="G55" s="53">
        <v>0</v>
      </c>
      <c r="H55" s="53"/>
      <c r="O55" s="14">
        <v>10206011</v>
      </c>
    </row>
    <row r="56" spans="1:15" x14ac:dyDescent="0.2">
      <c r="A56" s="18"/>
      <c r="B56" s="18"/>
      <c r="C56" s="52"/>
      <c r="D56" s="52" t="s">
        <v>382</v>
      </c>
      <c r="E56" s="52"/>
      <c r="F56" s="53"/>
      <c r="G56" s="53"/>
      <c r="H56" s="53"/>
    </row>
    <row r="57" spans="1:15" ht="21" customHeight="1" x14ac:dyDescent="0.2">
      <c r="A57" s="26"/>
      <c r="B57" s="26"/>
      <c r="C57" s="54"/>
      <c r="D57" s="54"/>
      <c r="E57" s="54" t="s">
        <v>382</v>
      </c>
      <c r="F57" s="53">
        <v>0</v>
      </c>
      <c r="G57" s="53">
        <v>0</v>
      </c>
      <c r="H57" s="53"/>
      <c r="O57" s="14">
        <v>10207010</v>
      </c>
    </row>
    <row r="58" spans="1:15" x14ac:dyDescent="0.2">
      <c r="A58" s="18"/>
      <c r="B58" s="18"/>
      <c r="C58" s="52"/>
      <c r="D58" s="52" t="s">
        <v>383</v>
      </c>
      <c r="E58" s="52"/>
      <c r="F58" s="58">
        <f>SUM(F36:F57)</f>
        <v>0</v>
      </c>
      <c r="G58" s="58">
        <f>SUM(G36:G57)</f>
        <v>0</v>
      </c>
      <c r="H58" s="58">
        <f t="shared" ref="H58:J58" si="1">SUM(H36:H57)</f>
        <v>0</v>
      </c>
      <c r="I58" s="58">
        <f t="shared" si="1"/>
        <v>0</v>
      </c>
      <c r="J58" s="58">
        <f t="shared" si="1"/>
        <v>0</v>
      </c>
    </row>
    <row r="59" spans="1:15" ht="15.75" x14ac:dyDescent="0.25">
      <c r="A59" s="18"/>
      <c r="B59" s="18"/>
      <c r="C59" s="56" t="s">
        <v>384</v>
      </c>
      <c r="D59" s="52"/>
      <c r="E59" s="52"/>
      <c r="F59" s="60"/>
      <c r="G59" s="60"/>
      <c r="H59" s="60"/>
    </row>
    <row r="60" spans="1:15" x14ac:dyDescent="0.2">
      <c r="A60" s="18"/>
      <c r="B60" s="18"/>
      <c r="C60" s="52"/>
      <c r="D60" s="52" t="s">
        <v>385</v>
      </c>
      <c r="E60" s="52"/>
      <c r="F60" s="53"/>
      <c r="G60" s="53"/>
      <c r="H60" s="53"/>
    </row>
    <row r="61" spans="1:15" x14ac:dyDescent="0.2">
      <c r="A61" s="26"/>
      <c r="B61" s="26"/>
      <c r="C61" s="54"/>
      <c r="D61" s="54"/>
      <c r="E61" s="54" t="s">
        <v>386</v>
      </c>
      <c r="F61" s="53">
        <v>0</v>
      </c>
      <c r="G61" s="53">
        <v>0</v>
      </c>
      <c r="H61" s="53"/>
      <c r="O61" s="14">
        <v>10301010</v>
      </c>
    </row>
    <row r="62" spans="1:15" x14ac:dyDescent="0.2">
      <c r="A62" s="26"/>
      <c r="B62" s="26"/>
      <c r="C62" s="54"/>
      <c r="D62" s="54"/>
      <c r="E62" s="54" t="s">
        <v>387</v>
      </c>
      <c r="F62" s="53"/>
      <c r="G62" s="53"/>
      <c r="H62" s="53"/>
      <c r="O62" s="14">
        <v>10301011</v>
      </c>
    </row>
    <row r="63" spans="1:15" x14ac:dyDescent="0.2">
      <c r="A63" s="26"/>
      <c r="B63" s="26"/>
      <c r="C63" s="54"/>
      <c r="D63" s="54"/>
      <c r="E63" s="54" t="s">
        <v>388</v>
      </c>
      <c r="F63" s="53"/>
      <c r="G63" s="53"/>
      <c r="H63" s="53"/>
      <c r="O63" s="14">
        <v>10301020</v>
      </c>
    </row>
    <row r="64" spans="1:15" x14ac:dyDescent="0.2">
      <c r="A64" s="26"/>
      <c r="B64" s="26"/>
      <c r="C64" s="54"/>
      <c r="D64" s="54"/>
      <c r="E64" s="54" t="s">
        <v>389</v>
      </c>
      <c r="F64" s="53"/>
      <c r="G64" s="53"/>
      <c r="H64" s="53"/>
      <c r="O64" s="14">
        <v>10301021</v>
      </c>
    </row>
    <row r="65" spans="1:15" x14ac:dyDescent="0.2">
      <c r="A65" s="26"/>
      <c r="B65" s="26"/>
      <c r="C65" s="54"/>
      <c r="D65" s="54"/>
      <c r="E65" s="54" t="s">
        <v>390</v>
      </c>
      <c r="F65" s="53"/>
      <c r="G65" s="53"/>
      <c r="H65" s="53"/>
      <c r="O65" s="14">
        <v>10301030</v>
      </c>
    </row>
    <row r="66" spans="1:15" x14ac:dyDescent="0.2">
      <c r="A66" s="26"/>
      <c r="B66" s="26"/>
      <c r="C66" s="54"/>
      <c r="D66" s="54"/>
      <c r="E66" s="54" t="s">
        <v>391</v>
      </c>
      <c r="F66" s="53"/>
      <c r="G66" s="53"/>
      <c r="H66" s="53"/>
      <c r="O66" s="14">
        <v>10301031</v>
      </c>
    </row>
    <row r="67" spans="1:15" x14ac:dyDescent="0.2">
      <c r="A67" s="26"/>
      <c r="B67" s="26"/>
      <c r="C67" s="54"/>
      <c r="D67" s="54"/>
      <c r="E67" s="54" t="s">
        <v>392</v>
      </c>
      <c r="F67" s="53"/>
      <c r="G67" s="53"/>
      <c r="H67" s="53"/>
      <c r="O67" s="14">
        <v>10301040</v>
      </c>
    </row>
    <row r="68" spans="1:15" x14ac:dyDescent="0.2">
      <c r="A68" s="26"/>
      <c r="B68" s="26"/>
      <c r="C68" s="54"/>
      <c r="D68" s="54"/>
      <c r="E68" s="54" t="s">
        <v>393</v>
      </c>
      <c r="F68" s="53"/>
      <c r="G68" s="53"/>
      <c r="H68" s="53"/>
      <c r="O68" s="14">
        <v>10301041</v>
      </c>
    </row>
    <row r="69" spans="1:15" x14ac:dyDescent="0.2">
      <c r="A69" s="26"/>
      <c r="B69" s="26"/>
      <c r="C69" s="54"/>
      <c r="D69" s="54"/>
      <c r="E69" s="54" t="s">
        <v>394</v>
      </c>
      <c r="F69" s="53"/>
      <c r="G69" s="53"/>
      <c r="H69" s="53"/>
      <c r="O69" s="14">
        <v>10301050</v>
      </c>
    </row>
    <row r="70" spans="1:15" x14ac:dyDescent="0.2">
      <c r="A70" s="26"/>
      <c r="B70" s="26"/>
      <c r="C70" s="54"/>
      <c r="D70" s="54"/>
      <c r="E70" s="54" t="s">
        <v>395</v>
      </c>
      <c r="F70" s="53"/>
      <c r="G70" s="53"/>
      <c r="H70" s="53"/>
      <c r="O70" s="14">
        <v>10301051</v>
      </c>
    </row>
    <row r="71" spans="1:15" x14ac:dyDescent="0.2">
      <c r="A71" s="26"/>
      <c r="B71" s="26"/>
      <c r="C71" s="54"/>
      <c r="D71" s="54"/>
      <c r="E71" s="54" t="s">
        <v>396</v>
      </c>
      <c r="F71" s="53"/>
      <c r="G71" s="53"/>
      <c r="H71" s="53"/>
      <c r="O71" s="14">
        <v>10301060</v>
      </c>
    </row>
    <row r="72" spans="1:15" x14ac:dyDescent="0.2">
      <c r="A72" s="26"/>
      <c r="B72" s="26"/>
      <c r="C72" s="54"/>
      <c r="D72" s="54"/>
      <c r="E72" s="54" t="s">
        <v>397</v>
      </c>
      <c r="F72" s="53"/>
      <c r="G72" s="53"/>
      <c r="H72" s="53"/>
      <c r="O72" s="14">
        <v>10301061</v>
      </c>
    </row>
    <row r="73" spans="1:15" x14ac:dyDescent="0.2">
      <c r="A73" s="26"/>
      <c r="B73" s="26"/>
      <c r="C73" s="54"/>
      <c r="D73" s="54"/>
      <c r="E73" s="54" t="s">
        <v>398</v>
      </c>
      <c r="F73" s="53"/>
      <c r="G73" s="53"/>
      <c r="H73" s="53"/>
      <c r="O73" s="14">
        <v>10301070</v>
      </c>
    </row>
    <row r="74" spans="1:15" x14ac:dyDescent="0.2">
      <c r="A74" s="26"/>
      <c r="B74" s="26"/>
      <c r="C74" s="54"/>
      <c r="D74" s="54"/>
      <c r="E74" s="54" t="s">
        <v>399</v>
      </c>
      <c r="F74" s="53"/>
      <c r="G74" s="53"/>
      <c r="H74" s="53"/>
      <c r="O74" s="14">
        <v>10301071</v>
      </c>
    </row>
    <row r="75" spans="1:15" x14ac:dyDescent="0.2">
      <c r="A75" s="26"/>
      <c r="B75" s="26"/>
      <c r="C75" s="54"/>
      <c r="D75" s="54"/>
      <c r="E75" s="54" t="s">
        <v>400</v>
      </c>
      <c r="F75" s="53"/>
      <c r="G75" s="53"/>
      <c r="H75" s="53"/>
      <c r="O75" s="14">
        <v>10301080</v>
      </c>
    </row>
    <row r="76" spans="1:15" x14ac:dyDescent="0.2">
      <c r="A76" s="26"/>
      <c r="B76" s="26"/>
      <c r="C76" s="54"/>
      <c r="D76" s="54"/>
      <c r="E76" s="54" t="s">
        <v>401</v>
      </c>
      <c r="F76" s="53"/>
      <c r="G76" s="53"/>
      <c r="H76" s="53"/>
      <c r="O76" s="14">
        <v>10301081</v>
      </c>
    </row>
    <row r="77" spans="1:15" x14ac:dyDescent="0.2">
      <c r="A77" s="26"/>
      <c r="B77" s="26"/>
      <c r="C77" s="54"/>
      <c r="D77" s="54"/>
      <c r="E77" s="54" t="s">
        <v>402</v>
      </c>
      <c r="F77" s="53"/>
      <c r="G77" s="53"/>
      <c r="H77" s="53"/>
      <c r="O77" s="14">
        <v>10301990</v>
      </c>
    </row>
    <row r="78" spans="1:15" x14ac:dyDescent="0.2">
      <c r="A78" s="26"/>
      <c r="B78" s="26"/>
      <c r="C78" s="54"/>
      <c r="D78" s="54"/>
      <c r="E78" s="54" t="s">
        <v>403</v>
      </c>
      <c r="F78" s="53"/>
      <c r="G78" s="53"/>
      <c r="H78" s="53"/>
      <c r="O78" s="14">
        <v>10301991</v>
      </c>
    </row>
    <row r="79" spans="1:15" x14ac:dyDescent="0.2">
      <c r="A79" s="18"/>
      <c r="B79" s="18"/>
      <c r="C79" s="52"/>
      <c r="D79" s="52" t="s">
        <v>404</v>
      </c>
      <c r="E79" s="52"/>
      <c r="F79" s="53"/>
      <c r="G79" s="53"/>
      <c r="H79" s="53"/>
    </row>
    <row r="80" spans="1:15" x14ac:dyDescent="0.2">
      <c r="A80" s="26"/>
      <c r="B80" s="26"/>
      <c r="C80" s="54"/>
      <c r="D80" s="54"/>
      <c r="E80" s="54" t="s">
        <v>405</v>
      </c>
      <c r="F80" s="53"/>
      <c r="G80" s="53"/>
      <c r="H80" s="53"/>
      <c r="O80" s="14">
        <v>10302010</v>
      </c>
    </row>
    <row r="81" spans="1:15" x14ac:dyDescent="0.2">
      <c r="A81" s="26"/>
      <c r="B81" s="26"/>
      <c r="C81" s="54"/>
      <c r="D81" s="54"/>
      <c r="E81" s="54" t="s">
        <v>406</v>
      </c>
      <c r="F81" s="53"/>
      <c r="G81" s="53"/>
      <c r="H81" s="53"/>
      <c r="O81" s="14">
        <v>10302011</v>
      </c>
    </row>
    <row r="82" spans="1:15" x14ac:dyDescent="0.2">
      <c r="A82" s="26"/>
      <c r="B82" s="26"/>
      <c r="C82" s="54"/>
      <c r="D82" s="54"/>
      <c r="E82" s="54" t="s">
        <v>407</v>
      </c>
      <c r="F82" s="53"/>
      <c r="G82" s="53"/>
      <c r="H82" s="53"/>
      <c r="O82" s="14">
        <v>10302020</v>
      </c>
    </row>
    <row r="83" spans="1:15" x14ac:dyDescent="0.2">
      <c r="A83" s="26"/>
      <c r="B83" s="26"/>
      <c r="C83" s="54"/>
      <c r="D83" s="54"/>
      <c r="E83" s="54" t="s">
        <v>408</v>
      </c>
      <c r="F83" s="53"/>
      <c r="G83" s="53"/>
      <c r="H83" s="53"/>
      <c r="O83" s="14">
        <v>10302021</v>
      </c>
    </row>
    <row r="84" spans="1:15" x14ac:dyDescent="0.2">
      <c r="A84" s="18"/>
      <c r="B84" s="18"/>
      <c r="C84" s="52"/>
      <c r="D84" s="52" t="s">
        <v>409</v>
      </c>
      <c r="E84" s="52"/>
      <c r="F84" s="53"/>
      <c r="G84" s="53"/>
      <c r="H84" s="53"/>
    </row>
    <row r="85" spans="1:15" x14ac:dyDescent="0.2">
      <c r="A85" s="26"/>
      <c r="B85" s="26"/>
      <c r="C85" s="54"/>
      <c r="D85" s="54"/>
      <c r="E85" s="54" t="s">
        <v>410</v>
      </c>
      <c r="F85" s="53"/>
      <c r="G85" s="53"/>
      <c r="H85" s="53"/>
      <c r="O85" s="14">
        <v>10303010</v>
      </c>
    </row>
    <row r="86" spans="1:15" x14ac:dyDescent="0.2">
      <c r="A86" s="26"/>
      <c r="B86" s="26"/>
      <c r="C86" s="54"/>
      <c r="D86" s="54"/>
      <c r="E86" s="54" t="s">
        <v>411</v>
      </c>
      <c r="F86" s="53"/>
      <c r="G86" s="53"/>
      <c r="H86" s="53"/>
      <c r="O86" s="14">
        <v>10303011</v>
      </c>
    </row>
    <row r="87" spans="1:15" x14ac:dyDescent="0.2">
      <c r="A87" s="26"/>
      <c r="B87" s="26"/>
      <c r="C87" s="54"/>
      <c r="D87" s="54"/>
      <c r="E87" s="54" t="s">
        <v>412</v>
      </c>
      <c r="F87" s="53"/>
      <c r="G87" s="53"/>
      <c r="H87" s="53"/>
      <c r="O87" s="14">
        <v>10303020</v>
      </c>
    </row>
    <row r="88" spans="1:15" x14ac:dyDescent="0.2">
      <c r="A88" s="26"/>
      <c r="B88" s="26"/>
      <c r="C88" s="54"/>
      <c r="D88" s="54"/>
      <c r="E88" s="54" t="s">
        <v>413</v>
      </c>
      <c r="F88" s="53"/>
      <c r="G88" s="53"/>
      <c r="H88" s="53"/>
      <c r="O88" s="14">
        <v>10303021</v>
      </c>
    </row>
    <row r="89" spans="1:15" x14ac:dyDescent="0.2">
      <c r="A89" s="26"/>
      <c r="B89" s="26"/>
      <c r="C89" s="54"/>
      <c r="D89" s="54"/>
      <c r="E89" s="54" t="s">
        <v>414</v>
      </c>
      <c r="F89" s="53"/>
      <c r="G89" s="53"/>
      <c r="H89" s="53"/>
      <c r="O89" s="14">
        <v>10303030</v>
      </c>
    </row>
    <row r="90" spans="1:15" x14ac:dyDescent="0.2">
      <c r="A90" s="26"/>
      <c r="B90" s="26"/>
      <c r="C90" s="54"/>
      <c r="D90" s="54"/>
      <c r="E90" s="54" t="s">
        <v>415</v>
      </c>
      <c r="F90" s="53"/>
      <c r="G90" s="53"/>
      <c r="H90" s="53"/>
      <c r="O90" s="14">
        <v>10303031</v>
      </c>
    </row>
    <row r="91" spans="1:15" x14ac:dyDescent="0.2">
      <c r="A91" s="26"/>
      <c r="B91" s="26"/>
      <c r="C91" s="54"/>
      <c r="D91" s="54"/>
      <c r="E91" s="54" t="s">
        <v>416</v>
      </c>
      <c r="F91" s="53"/>
      <c r="G91" s="53"/>
      <c r="H91" s="53"/>
      <c r="O91" s="14">
        <v>10303040</v>
      </c>
    </row>
    <row r="92" spans="1:15" x14ac:dyDescent="0.2">
      <c r="A92" s="26"/>
      <c r="B92" s="26"/>
      <c r="C92" s="54"/>
      <c r="D92" s="54"/>
      <c r="E92" s="54" t="s">
        <v>417</v>
      </c>
      <c r="F92" s="53"/>
      <c r="G92" s="53"/>
      <c r="H92" s="53"/>
      <c r="O92" s="14">
        <v>10303041</v>
      </c>
    </row>
    <row r="93" spans="1:15" x14ac:dyDescent="0.2">
      <c r="A93" s="18"/>
      <c r="B93" s="18"/>
      <c r="C93" s="52"/>
      <c r="D93" s="52" t="s">
        <v>418</v>
      </c>
      <c r="E93" s="52"/>
      <c r="F93" s="53"/>
      <c r="G93" s="53"/>
      <c r="H93" s="53"/>
    </row>
    <row r="94" spans="1:15" x14ac:dyDescent="0.2">
      <c r="A94" s="26"/>
      <c r="B94" s="26"/>
      <c r="C94" s="54"/>
      <c r="D94" s="54"/>
      <c r="E94" s="54" t="s">
        <v>419</v>
      </c>
      <c r="F94" s="53"/>
      <c r="G94" s="53"/>
      <c r="H94" s="53"/>
      <c r="O94" s="14">
        <v>10304050</v>
      </c>
    </row>
    <row r="95" spans="1:15" x14ac:dyDescent="0.2">
      <c r="A95" s="26"/>
      <c r="B95" s="26"/>
      <c r="C95" s="54"/>
      <c r="D95" s="54"/>
      <c r="E95" s="54" t="s">
        <v>420</v>
      </c>
      <c r="F95" s="53"/>
      <c r="G95" s="53"/>
      <c r="H95" s="53"/>
      <c r="O95" s="14">
        <v>10304060</v>
      </c>
    </row>
    <row r="96" spans="1:15" x14ac:dyDescent="0.2">
      <c r="A96" s="26"/>
      <c r="B96" s="26"/>
      <c r="C96" s="54"/>
      <c r="D96" s="54"/>
      <c r="E96" s="54" t="s">
        <v>421</v>
      </c>
      <c r="F96" s="53"/>
      <c r="G96" s="53"/>
      <c r="H96" s="53"/>
      <c r="O96" s="14">
        <v>10304070</v>
      </c>
    </row>
    <row r="97" spans="1:15" x14ac:dyDescent="0.2">
      <c r="A97" s="26"/>
      <c r="B97" s="26"/>
      <c r="C97" s="54"/>
      <c r="D97" s="52" t="s">
        <v>422</v>
      </c>
      <c r="E97" s="54"/>
      <c r="F97" s="53"/>
      <c r="G97" s="53"/>
      <c r="H97" s="53"/>
    </row>
    <row r="98" spans="1:15" x14ac:dyDescent="0.2">
      <c r="A98" s="26"/>
      <c r="B98" s="26"/>
      <c r="C98" s="54"/>
      <c r="D98" s="54"/>
      <c r="E98" s="54" t="s">
        <v>423</v>
      </c>
      <c r="F98" s="53"/>
      <c r="G98" s="53"/>
      <c r="H98" s="53"/>
      <c r="O98" s="14">
        <v>10305010</v>
      </c>
    </row>
    <row r="99" spans="1:15" x14ac:dyDescent="0.2">
      <c r="A99" s="26"/>
      <c r="B99" s="26"/>
      <c r="C99" s="54"/>
      <c r="D99" s="54"/>
      <c r="E99" s="54" t="s">
        <v>424</v>
      </c>
      <c r="F99" s="53"/>
      <c r="G99" s="53"/>
      <c r="H99" s="53"/>
      <c r="O99" s="14">
        <v>10305020</v>
      </c>
    </row>
    <row r="100" spans="1:15" x14ac:dyDescent="0.2">
      <c r="A100" s="26"/>
      <c r="B100" s="26"/>
      <c r="C100" s="54"/>
      <c r="D100" s="54"/>
      <c r="E100" s="54" t="s">
        <v>425</v>
      </c>
      <c r="F100" s="53"/>
      <c r="G100" s="53"/>
      <c r="H100" s="53"/>
      <c r="O100" s="14">
        <v>10305030</v>
      </c>
    </row>
    <row r="101" spans="1:15" x14ac:dyDescent="0.2">
      <c r="A101" s="26"/>
      <c r="B101" s="26"/>
      <c r="C101" s="54"/>
      <c r="D101" s="54"/>
      <c r="E101" s="54" t="s">
        <v>426</v>
      </c>
      <c r="F101" s="53"/>
      <c r="G101" s="53"/>
      <c r="H101" s="53"/>
      <c r="O101" s="14">
        <v>10305040</v>
      </c>
    </row>
    <row r="102" spans="1:15" x14ac:dyDescent="0.2">
      <c r="A102" s="26"/>
      <c r="B102" s="26"/>
      <c r="C102" s="54"/>
      <c r="D102" s="52" t="s">
        <v>427</v>
      </c>
      <c r="E102" s="54"/>
      <c r="F102" s="53"/>
      <c r="G102" s="53"/>
      <c r="H102" s="53"/>
    </row>
    <row r="103" spans="1:15" x14ac:dyDescent="0.2">
      <c r="A103" s="26"/>
      <c r="B103" s="26"/>
      <c r="C103" s="54"/>
      <c r="D103" s="54"/>
      <c r="E103" s="54" t="s">
        <v>428</v>
      </c>
      <c r="F103" s="53"/>
      <c r="G103" s="53"/>
      <c r="H103" s="53"/>
      <c r="O103" s="14">
        <v>10306010</v>
      </c>
    </row>
    <row r="104" spans="1:15" x14ac:dyDescent="0.2">
      <c r="A104" s="26"/>
      <c r="B104" s="26"/>
      <c r="C104" s="54"/>
      <c r="D104" s="54"/>
      <c r="E104" s="54" t="s">
        <v>429</v>
      </c>
      <c r="F104" s="53"/>
      <c r="G104" s="53"/>
      <c r="H104" s="53"/>
      <c r="O104" s="14">
        <v>10306011</v>
      </c>
    </row>
    <row r="105" spans="1:15" x14ac:dyDescent="0.2">
      <c r="A105" s="26"/>
      <c r="B105" s="26"/>
      <c r="C105" s="54"/>
      <c r="D105" s="54"/>
      <c r="E105" s="54" t="s">
        <v>430</v>
      </c>
      <c r="F105" s="53">
        <v>0</v>
      </c>
      <c r="G105" s="53">
        <v>0</v>
      </c>
      <c r="H105" s="53"/>
      <c r="O105" s="14">
        <v>10306020</v>
      </c>
    </row>
    <row r="106" spans="1:15" x14ac:dyDescent="0.2">
      <c r="A106" s="26"/>
      <c r="B106" s="26"/>
      <c r="C106" s="54"/>
      <c r="D106" s="54"/>
      <c r="E106" s="54" t="s">
        <v>431</v>
      </c>
      <c r="F106" s="53">
        <v>0</v>
      </c>
      <c r="G106" s="53">
        <v>0</v>
      </c>
      <c r="H106" s="53"/>
      <c r="O106" s="14">
        <v>10306021</v>
      </c>
    </row>
    <row r="107" spans="1:15" x14ac:dyDescent="0.2">
      <c r="A107" s="26"/>
      <c r="B107" s="26"/>
      <c r="C107" s="54"/>
      <c r="D107" s="54"/>
      <c r="E107" s="54" t="s">
        <v>432</v>
      </c>
      <c r="F107" s="53">
        <v>0</v>
      </c>
      <c r="G107" s="53">
        <v>0</v>
      </c>
      <c r="H107" s="53"/>
      <c r="O107" s="14">
        <v>10306030</v>
      </c>
    </row>
    <row r="108" spans="1:15" x14ac:dyDescent="0.2">
      <c r="A108" s="26"/>
      <c r="B108" s="26"/>
      <c r="C108" s="54"/>
      <c r="D108" s="54"/>
      <c r="E108" s="54" t="s">
        <v>433</v>
      </c>
      <c r="F108" s="53">
        <v>0</v>
      </c>
      <c r="G108" s="53">
        <v>0</v>
      </c>
      <c r="H108" s="53"/>
      <c r="O108" s="14">
        <v>10306031</v>
      </c>
    </row>
    <row r="109" spans="1:15" x14ac:dyDescent="0.2">
      <c r="A109" s="26"/>
      <c r="B109" s="26"/>
      <c r="C109" s="54"/>
      <c r="D109" s="54"/>
      <c r="E109" s="54" t="s">
        <v>434</v>
      </c>
      <c r="F109" s="53"/>
      <c r="G109" s="53"/>
      <c r="H109" s="53"/>
      <c r="O109" s="14">
        <v>10306990</v>
      </c>
    </row>
    <row r="110" spans="1:15" x14ac:dyDescent="0.2">
      <c r="A110" s="26"/>
      <c r="B110" s="26"/>
      <c r="C110" s="54"/>
      <c r="D110" s="54"/>
      <c r="E110" s="54" t="s">
        <v>435</v>
      </c>
      <c r="F110" s="53"/>
      <c r="G110" s="53"/>
      <c r="H110" s="53"/>
      <c r="O110" s="14">
        <v>10306991</v>
      </c>
    </row>
    <row r="111" spans="1:15" x14ac:dyDescent="0.2">
      <c r="A111" s="18"/>
      <c r="B111" s="18"/>
      <c r="C111" s="52"/>
      <c r="D111" s="52" t="s">
        <v>436</v>
      </c>
      <c r="E111" s="52"/>
      <c r="F111" s="58">
        <f>SUM(F61:F110)</f>
        <v>0</v>
      </c>
      <c r="G111" s="58">
        <f>SUM(G61:G110)</f>
        <v>0</v>
      </c>
      <c r="H111" s="58">
        <f t="shared" ref="H111:J111" si="2">SUM(H61:H110)</f>
        <v>0</v>
      </c>
      <c r="I111" s="58">
        <f t="shared" si="2"/>
        <v>0</v>
      </c>
      <c r="J111" s="58">
        <f t="shared" si="2"/>
        <v>0</v>
      </c>
    </row>
    <row r="112" spans="1:15" x14ac:dyDescent="0.2">
      <c r="A112" s="18"/>
      <c r="B112" s="18"/>
      <c r="C112" s="35" t="s">
        <v>437</v>
      </c>
      <c r="D112" s="52"/>
      <c r="E112" s="52"/>
      <c r="F112" s="59"/>
      <c r="G112" s="59"/>
      <c r="H112" s="59"/>
    </row>
    <row r="113" spans="1:15" ht="15" x14ac:dyDescent="0.25">
      <c r="A113" s="18"/>
      <c r="B113" s="18"/>
      <c r="C113" s="52"/>
      <c r="D113" s="61" t="s">
        <v>438</v>
      </c>
      <c r="E113" s="52"/>
      <c r="F113" s="53"/>
      <c r="G113" s="53"/>
      <c r="H113" s="53"/>
    </row>
    <row r="114" spans="1:15" x14ac:dyDescent="0.2">
      <c r="A114" s="26"/>
      <c r="B114" s="26"/>
      <c r="C114" s="54"/>
      <c r="D114" s="54"/>
      <c r="E114" s="54" t="s">
        <v>439</v>
      </c>
      <c r="F114" s="53"/>
      <c r="G114" s="53"/>
      <c r="H114" s="53"/>
      <c r="O114" s="14">
        <v>10401010</v>
      </c>
    </row>
    <row r="115" spans="1:15" ht="15" x14ac:dyDescent="0.25">
      <c r="A115" s="18"/>
      <c r="B115" s="18"/>
      <c r="C115" s="52"/>
      <c r="D115" s="61" t="s">
        <v>440</v>
      </c>
      <c r="E115" s="52"/>
      <c r="F115" s="59"/>
      <c r="G115" s="59"/>
      <c r="H115" s="59"/>
    </row>
    <row r="116" spans="1:15" x14ac:dyDescent="0.2">
      <c r="A116" s="26"/>
      <c r="B116" s="26"/>
      <c r="C116" s="54"/>
      <c r="D116" s="54"/>
      <c r="E116" s="54" t="s">
        <v>441</v>
      </c>
      <c r="F116" s="53"/>
      <c r="G116" s="53"/>
      <c r="H116" s="53"/>
      <c r="O116" s="14">
        <v>10402010</v>
      </c>
    </row>
    <row r="117" spans="1:15" x14ac:dyDescent="0.2">
      <c r="A117" s="26"/>
      <c r="B117" s="26"/>
      <c r="C117" s="54"/>
      <c r="D117" s="54"/>
      <c r="E117" s="54" t="s">
        <v>442</v>
      </c>
      <c r="F117" s="53"/>
      <c r="G117" s="53"/>
      <c r="H117" s="53"/>
      <c r="O117" s="14">
        <v>10402020</v>
      </c>
    </row>
    <row r="118" spans="1:15" x14ac:dyDescent="0.2">
      <c r="A118" s="26"/>
      <c r="B118" s="26"/>
      <c r="C118" s="54"/>
      <c r="D118" s="54"/>
      <c r="E118" s="54" t="s">
        <v>443</v>
      </c>
      <c r="F118" s="53"/>
      <c r="G118" s="53"/>
      <c r="H118" s="53"/>
      <c r="O118" s="14">
        <v>10402030</v>
      </c>
    </row>
    <row r="119" spans="1:15" x14ac:dyDescent="0.2">
      <c r="A119" s="26"/>
      <c r="B119" s="26"/>
      <c r="C119" s="54"/>
      <c r="D119" s="54"/>
      <c r="E119" s="54" t="s">
        <v>444</v>
      </c>
      <c r="F119" s="53"/>
      <c r="G119" s="53"/>
      <c r="H119" s="53"/>
      <c r="O119" s="14">
        <v>10402040</v>
      </c>
    </row>
    <row r="120" spans="1:15" x14ac:dyDescent="0.2">
      <c r="A120" s="26"/>
      <c r="B120" s="26"/>
      <c r="C120" s="54"/>
      <c r="D120" s="54"/>
      <c r="E120" s="54" t="s">
        <v>445</v>
      </c>
      <c r="F120" s="53"/>
      <c r="G120" s="53"/>
      <c r="H120" s="53"/>
      <c r="O120" s="14">
        <v>10402050</v>
      </c>
    </row>
    <row r="121" spans="1:15" x14ac:dyDescent="0.2">
      <c r="A121" s="26"/>
      <c r="B121" s="26"/>
      <c r="C121" s="54"/>
      <c r="D121" s="54"/>
      <c r="E121" s="54" t="s">
        <v>446</v>
      </c>
      <c r="F121" s="53"/>
      <c r="G121" s="53"/>
      <c r="H121" s="53"/>
      <c r="O121" s="14">
        <v>10402060</v>
      </c>
    </row>
    <row r="122" spans="1:15" x14ac:dyDescent="0.2">
      <c r="A122" s="26"/>
      <c r="B122" s="26"/>
      <c r="C122" s="54"/>
      <c r="D122" s="54"/>
      <c r="E122" s="54" t="s">
        <v>447</v>
      </c>
      <c r="F122" s="53"/>
      <c r="G122" s="53"/>
      <c r="H122" s="53"/>
      <c r="O122" s="14">
        <v>10402070</v>
      </c>
    </row>
    <row r="123" spans="1:15" x14ac:dyDescent="0.2">
      <c r="A123" s="26"/>
      <c r="B123" s="26"/>
      <c r="C123" s="54"/>
      <c r="D123" s="54"/>
      <c r="E123" s="54" t="s">
        <v>448</v>
      </c>
      <c r="F123" s="53"/>
      <c r="G123" s="53"/>
      <c r="H123" s="53"/>
      <c r="O123" s="14">
        <v>10402080</v>
      </c>
    </row>
    <row r="124" spans="1:15" x14ac:dyDescent="0.2">
      <c r="A124" s="26"/>
      <c r="B124" s="26"/>
      <c r="C124" s="54"/>
      <c r="D124" s="54"/>
      <c r="E124" s="54" t="s">
        <v>449</v>
      </c>
      <c r="F124" s="53"/>
      <c r="G124" s="53"/>
      <c r="H124" s="53"/>
      <c r="O124" s="14">
        <v>10402090</v>
      </c>
    </row>
    <row r="125" spans="1:15" x14ac:dyDescent="0.2">
      <c r="A125" s="26"/>
      <c r="B125" s="26"/>
      <c r="C125" s="54"/>
      <c r="D125" s="54"/>
      <c r="E125" s="54" t="s">
        <v>450</v>
      </c>
      <c r="F125" s="53">
        <v>0</v>
      </c>
      <c r="G125" s="53">
        <v>0</v>
      </c>
      <c r="H125" s="53"/>
      <c r="O125" s="14">
        <v>10402990</v>
      </c>
    </row>
    <row r="126" spans="1:15" ht="15" x14ac:dyDescent="0.25">
      <c r="A126" s="18"/>
      <c r="B126" s="18"/>
      <c r="C126" s="52"/>
      <c r="D126" s="61" t="s">
        <v>451</v>
      </c>
      <c r="E126" s="52"/>
      <c r="F126" s="59"/>
      <c r="G126" s="59"/>
      <c r="H126" s="59"/>
    </row>
    <row r="127" spans="1:15" x14ac:dyDescent="0.2">
      <c r="A127" s="26"/>
      <c r="B127" s="26"/>
      <c r="C127" s="54"/>
      <c r="D127" s="54"/>
      <c r="E127" s="54" t="s">
        <v>452</v>
      </c>
      <c r="F127" s="53">
        <v>0</v>
      </c>
      <c r="G127" s="53">
        <v>0</v>
      </c>
      <c r="H127" s="53"/>
      <c r="O127" s="14">
        <v>10403010</v>
      </c>
    </row>
    <row r="128" spans="1:15" x14ac:dyDescent="0.2">
      <c r="A128" s="26"/>
      <c r="B128" s="26"/>
      <c r="C128" s="54"/>
      <c r="D128" s="54"/>
      <c r="E128" s="54" t="s">
        <v>453</v>
      </c>
      <c r="F128" s="53">
        <v>0</v>
      </c>
      <c r="G128" s="53">
        <v>0</v>
      </c>
      <c r="H128" s="53"/>
      <c r="O128" s="14">
        <v>10403020</v>
      </c>
    </row>
    <row r="129" spans="1:15" x14ac:dyDescent="0.2">
      <c r="A129" s="26"/>
      <c r="B129" s="26"/>
      <c r="C129" s="54"/>
      <c r="D129" s="54"/>
      <c r="E129" s="54" t="s">
        <v>454</v>
      </c>
      <c r="F129" s="53">
        <v>0</v>
      </c>
      <c r="G129" s="53">
        <v>0</v>
      </c>
      <c r="H129" s="53"/>
      <c r="O129" s="14">
        <v>10403030</v>
      </c>
    </row>
    <row r="130" spans="1:15" x14ac:dyDescent="0.2">
      <c r="A130" s="18"/>
      <c r="B130" s="18"/>
      <c r="C130" s="52"/>
      <c r="D130" s="52" t="s">
        <v>455</v>
      </c>
      <c r="E130" s="52"/>
      <c r="F130" s="59"/>
      <c r="G130" s="59"/>
      <c r="H130" s="59"/>
    </row>
    <row r="131" spans="1:15" x14ac:dyDescent="0.2">
      <c r="A131" s="26"/>
      <c r="B131" s="26"/>
      <c r="C131" s="54"/>
      <c r="D131" s="54"/>
      <c r="E131" s="54" t="s">
        <v>456</v>
      </c>
      <c r="F131" s="53">
        <v>0</v>
      </c>
      <c r="G131" s="53">
        <v>0</v>
      </c>
      <c r="H131" s="53"/>
      <c r="O131" s="14">
        <v>10404010</v>
      </c>
    </row>
    <row r="132" spans="1:15" x14ac:dyDescent="0.2">
      <c r="A132" s="26"/>
      <c r="B132" s="26"/>
      <c r="C132" s="54"/>
      <c r="D132" s="54"/>
      <c r="E132" s="54" t="s">
        <v>457</v>
      </c>
      <c r="F132" s="53">
        <v>0</v>
      </c>
      <c r="G132" s="53">
        <v>0</v>
      </c>
      <c r="H132" s="53"/>
      <c r="O132" s="14">
        <v>10404020</v>
      </c>
    </row>
    <row r="133" spans="1:15" x14ac:dyDescent="0.2">
      <c r="A133" s="26"/>
      <c r="B133" s="26"/>
      <c r="C133" s="54"/>
      <c r="D133" s="54"/>
      <c r="E133" s="54" t="s">
        <v>458</v>
      </c>
      <c r="F133" s="53">
        <v>0</v>
      </c>
      <c r="G133" s="53">
        <v>0</v>
      </c>
      <c r="H133" s="53"/>
      <c r="O133" s="14">
        <v>10404030</v>
      </c>
    </row>
    <row r="134" spans="1:15" x14ac:dyDescent="0.2">
      <c r="A134" s="26"/>
      <c r="B134" s="26"/>
      <c r="C134" s="54"/>
      <c r="D134" s="54"/>
      <c r="E134" s="54" t="s">
        <v>459</v>
      </c>
      <c r="F134" s="53">
        <v>0</v>
      </c>
      <c r="G134" s="53">
        <v>0</v>
      </c>
      <c r="H134" s="53"/>
      <c r="O134" s="14">
        <v>10404040</v>
      </c>
    </row>
    <row r="135" spans="1:15" x14ac:dyDescent="0.2">
      <c r="A135" s="26"/>
      <c r="B135" s="26"/>
      <c r="C135" s="54"/>
      <c r="D135" s="54"/>
      <c r="E135" s="54" t="s">
        <v>460</v>
      </c>
      <c r="F135" s="53">
        <v>0</v>
      </c>
      <c r="G135" s="53">
        <v>0</v>
      </c>
      <c r="H135" s="53"/>
      <c r="O135" s="14">
        <v>10404050</v>
      </c>
    </row>
    <row r="136" spans="1:15" x14ac:dyDescent="0.2">
      <c r="A136" s="26"/>
      <c r="B136" s="26"/>
      <c r="C136" s="54"/>
      <c r="D136" s="54"/>
      <c r="E136" s="54" t="s">
        <v>461</v>
      </c>
      <c r="F136" s="53">
        <v>0</v>
      </c>
      <c r="G136" s="53">
        <v>0</v>
      </c>
      <c r="H136" s="53"/>
      <c r="O136" s="14">
        <v>10404060</v>
      </c>
    </row>
    <row r="137" spans="1:15" x14ac:dyDescent="0.2">
      <c r="A137" s="26"/>
      <c r="B137" s="26"/>
      <c r="C137" s="54"/>
      <c r="D137" s="54"/>
      <c r="E137" s="54" t="s">
        <v>462</v>
      </c>
      <c r="F137" s="53">
        <v>0</v>
      </c>
      <c r="G137" s="53">
        <v>0</v>
      </c>
      <c r="H137" s="53"/>
      <c r="O137" s="14">
        <v>10404070</v>
      </c>
    </row>
    <row r="138" spans="1:15" x14ac:dyDescent="0.2">
      <c r="A138" s="26"/>
      <c r="B138" s="26"/>
      <c r="C138" s="54"/>
      <c r="D138" s="54"/>
      <c r="E138" s="54" t="s">
        <v>463</v>
      </c>
      <c r="F138" s="53"/>
      <c r="G138" s="53"/>
      <c r="H138" s="53"/>
      <c r="O138" s="14">
        <v>10404080</v>
      </c>
    </row>
    <row r="139" spans="1:15" x14ac:dyDescent="0.2">
      <c r="A139" s="26"/>
      <c r="B139" s="26"/>
      <c r="C139" s="54"/>
      <c r="D139" s="54"/>
      <c r="E139" s="54" t="s">
        <v>464</v>
      </c>
      <c r="F139" s="53"/>
      <c r="G139" s="53"/>
      <c r="H139" s="53"/>
      <c r="O139" s="14">
        <v>10404090</v>
      </c>
    </row>
    <row r="140" spans="1:15" x14ac:dyDescent="0.2">
      <c r="A140" s="26"/>
      <c r="B140" s="26"/>
      <c r="C140" s="54"/>
      <c r="D140" s="54"/>
      <c r="E140" s="54" t="s">
        <v>465</v>
      </c>
      <c r="F140" s="53"/>
      <c r="G140" s="53"/>
      <c r="H140" s="53"/>
      <c r="O140" s="14">
        <v>10404100</v>
      </c>
    </row>
    <row r="141" spans="1:15" x14ac:dyDescent="0.2">
      <c r="A141" s="26"/>
      <c r="B141" s="26"/>
      <c r="C141" s="54"/>
      <c r="D141" s="54"/>
      <c r="E141" s="54" t="s">
        <v>466</v>
      </c>
      <c r="F141" s="53"/>
      <c r="G141" s="53"/>
      <c r="H141" s="53"/>
      <c r="O141" s="14">
        <v>10404110</v>
      </c>
    </row>
    <row r="142" spans="1:15" x14ac:dyDescent="0.2">
      <c r="A142" s="26"/>
      <c r="B142" s="26"/>
      <c r="C142" s="54"/>
      <c r="D142" s="54"/>
      <c r="E142" s="54" t="s">
        <v>467</v>
      </c>
      <c r="F142" s="53"/>
      <c r="G142" s="53"/>
      <c r="H142" s="53"/>
      <c r="O142" s="14">
        <v>10404120</v>
      </c>
    </row>
    <row r="143" spans="1:15" x14ac:dyDescent="0.2">
      <c r="A143" s="26"/>
      <c r="B143" s="26"/>
      <c r="C143" s="54"/>
      <c r="D143" s="54"/>
      <c r="E143" s="54" t="s">
        <v>468</v>
      </c>
      <c r="F143" s="53"/>
      <c r="G143" s="53"/>
      <c r="H143" s="53"/>
      <c r="O143" s="14">
        <v>10404130</v>
      </c>
    </row>
    <row r="144" spans="1:15" x14ac:dyDescent="0.2">
      <c r="A144" s="26"/>
      <c r="B144" s="26"/>
      <c r="C144" s="54"/>
      <c r="D144" s="54"/>
      <c r="E144" s="54" t="s">
        <v>469</v>
      </c>
      <c r="F144" s="53"/>
      <c r="G144" s="53"/>
      <c r="H144" s="53"/>
      <c r="O144" s="14">
        <v>10404990</v>
      </c>
    </row>
    <row r="145" spans="1:15" x14ac:dyDescent="0.2">
      <c r="A145" s="18"/>
      <c r="B145" s="18"/>
      <c r="C145" s="52"/>
      <c r="D145" s="52" t="s">
        <v>470</v>
      </c>
      <c r="E145" s="54"/>
      <c r="F145" s="58">
        <f>SUM(F114:F144)</f>
        <v>0</v>
      </c>
      <c r="G145" s="58">
        <f>SUM(G114:G144)</f>
        <v>0</v>
      </c>
      <c r="H145" s="58">
        <f t="shared" ref="H145:J145" si="3">SUM(H114:H144)</f>
        <v>0</v>
      </c>
      <c r="I145" s="58">
        <f t="shared" si="3"/>
        <v>0</v>
      </c>
      <c r="J145" s="58">
        <f t="shared" si="3"/>
        <v>0</v>
      </c>
    </row>
    <row r="146" spans="1:15" x14ac:dyDescent="0.2">
      <c r="A146" s="18"/>
      <c r="B146" s="18"/>
      <c r="C146" s="52" t="s">
        <v>471</v>
      </c>
      <c r="D146" s="52"/>
      <c r="E146" s="52"/>
      <c r="F146" s="60"/>
      <c r="G146" s="60"/>
      <c r="H146" s="60"/>
    </row>
    <row r="147" spans="1:15" x14ac:dyDescent="0.2">
      <c r="A147" s="18"/>
      <c r="B147" s="18"/>
      <c r="C147" s="52"/>
      <c r="D147" s="52" t="s">
        <v>472</v>
      </c>
      <c r="E147" s="52"/>
      <c r="F147" s="60"/>
      <c r="G147" s="60"/>
      <c r="H147" s="60"/>
    </row>
    <row r="148" spans="1:15" x14ac:dyDescent="0.2">
      <c r="A148" s="26"/>
      <c r="B148" s="26"/>
      <c r="C148" s="54"/>
      <c r="D148" s="54"/>
      <c r="E148" s="54" t="s">
        <v>473</v>
      </c>
      <c r="F148" s="53"/>
      <c r="G148" s="53"/>
      <c r="H148" s="53"/>
      <c r="O148" s="14">
        <v>10501010</v>
      </c>
    </row>
    <row r="149" spans="1:15" x14ac:dyDescent="0.2">
      <c r="A149" s="26"/>
      <c r="B149" s="26"/>
      <c r="C149" s="54"/>
      <c r="D149" s="54"/>
      <c r="E149" s="54" t="s">
        <v>474</v>
      </c>
      <c r="F149" s="53"/>
      <c r="G149" s="53"/>
      <c r="H149" s="53"/>
      <c r="O149" s="14">
        <v>10501020</v>
      </c>
    </row>
    <row r="150" spans="1:15" x14ac:dyDescent="0.2">
      <c r="A150" s="26"/>
      <c r="B150" s="26"/>
      <c r="C150" s="54"/>
      <c r="D150" s="54"/>
      <c r="E150" s="54" t="s">
        <v>475</v>
      </c>
      <c r="F150" s="53"/>
      <c r="G150" s="53"/>
      <c r="H150" s="53"/>
      <c r="O150" s="14">
        <v>10501030</v>
      </c>
    </row>
    <row r="151" spans="1:15" x14ac:dyDescent="0.2">
      <c r="A151" s="26"/>
      <c r="B151" s="26"/>
      <c r="C151" s="54"/>
      <c r="D151" s="54"/>
      <c r="E151" s="54" t="s">
        <v>476</v>
      </c>
      <c r="F151" s="53"/>
      <c r="G151" s="53"/>
      <c r="H151" s="53"/>
      <c r="O151" s="14">
        <v>10501040</v>
      </c>
    </row>
    <row r="152" spans="1:15" x14ac:dyDescent="0.2">
      <c r="A152" s="26"/>
      <c r="B152" s="26"/>
      <c r="C152" s="54"/>
      <c r="D152" s="54"/>
      <c r="E152" s="54" t="s">
        <v>477</v>
      </c>
      <c r="F152" s="53">
        <v>0</v>
      </c>
      <c r="G152" s="53">
        <v>0</v>
      </c>
      <c r="H152" s="53"/>
      <c r="O152" s="14">
        <v>10501050</v>
      </c>
    </row>
    <row r="153" spans="1:15" x14ac:dyDescent="0.2">
      <c r="A153" s="26"/>
      <c r="B153" s="26"/>
      <c r="C153" s="54"/>
      <c r="D153" s="54"/>
      <c r="E153" s="54" t="s">
        <v>478</v>
      </c>
      <c r="F153" s="53">
        <v>0</v>
      </c>
      <c r="G153" s="53">
        <v>0</v>
      </c>
      <c r="H153" s="53"/>
      <c r="O153" s="14">
        <v>10501990</v>
      </c>
    </row>
    <row r="154" spans="1:15" x14ac:dyDescent="0.2">
      <c r="A154" s="26"/>
      <c r="B154" s="26"/>
      <c r="C154" s="54"/>
      <c r="D154" s="52" t="s">
        <v>479</v>
      </c>
      <c r="E154" s="54"/>
      <c r="F154" s="53"/>
      <c r="G154" s="53"/>
      <c r="H154" s="53"/>
    </row>
    <row r="155" spans="1:15" x14ac:dyDescent="0.2">
      <c r="A155" s="26"/>
      <c r="B155" s="26"/>
      <c r="C155" s="54"/>
      <c r="D155" s="52"/>
      <c r="E155" s="54" t="s">
        <v>480</v>
      </c>
      <c r="F155" s="53">
        <v>0</v>
      </c>
      <c r="G155" s="53">
        <v>0</v>
      </c>
      <c r="H155" s="53"/>
      <c r="O155" s="14">
        <v>10502010</v>
      </c>
    </row>
    <row r="156" spans="1:15" ht="13.5" thickBot="1" x14ac:dyDescent="0.25">
      <c r="A156" s="18"/>
      <c r="B156" s="18"/>
      <c r="C156" s="52"/>
      <c r="D156" s="52" t="s">
        <v>481</v>
      </c>
      <c r="E156" s="52"/>
      <c r="F156" s="62">
        <f>SUM(F148:F155)</f>
        <v>0</v>
      </c>
      <c r="G156" s="62">
        <f>SUM(G148:G155)</f>
        <v>0</v>
      </c>
      <c r="H156" s="62">
        <f t="shared" ref="H156:J156" si="4">SUM(H148:H155)</f>
        <v>0</v>
      </c>
      <c r="I156" s="62">
        <f t="shared" si="4"/>
        <v>0</v>
      </c>
      <c r="J156" s="62">
        <f t="shared" si="4"/>
        <v>0</v>
      </c>
    </row>
    <row r="157" spans="1:15" ht="13.5" thickBot="1" x14ac:dyDescent="0.25">
      <c r="A157" s="18"/>
      <c r="B157" s="18"/>
      <c r="C157" s="52" t="s">
        <v>482</v>
      </c>
      <c r="D157" s="52"/>
      <c r="E157" s="52"/>
      <c r="F157" s="63">
        <f>F29+F58+F111+F145+F156</f>
        <v>0</v>
      </c>
      <c r="G157" s="63">
        <f>G29+G58+G111+G145+G156</f>
        <v>0</v>
      </c>
      <c r="H157" s="63">
        <f t="shared" ref="H157:J157" si="5">H29+H58+H111+H145+H156</f>
        <v>0</v>
      </c>
      <c r="I157" s="63">
        <f t="shared" si="5"/>
        <v>0</v>
      </c>
      <c r="J157" s="63">
        <f t="shared" si="5"/>
        <v>0</v>
      </c>
    </row>
    <row r="158" spans="1:15" x14ac:dyDescent="0.2">
      <c r="A158" s="18"/>
      <c r="B158" s="18" t="s">
        <v>483</v>
      </c>
      <c r="C158" s="52"/>
      <c r="D158" s="52"/>
      <c r="E158" s="52"/>
      <c r="F158" s="59"/>
      <c r="G158" s="59"/>
      <c r="H158" s="59"/>
    </row>
    <row r="159" spans="1:15" ht="15.75" x14ac:dyDescent="0.25">
      <c r="A159" s="26"/>
      <c r="B159" s="26"/>
      <c r="C159" s="56" t="s">
        <v>360</v>
      </c>
      <c r="D159" s="54"/>
      <c r="E159" s="54"/>
      <c r="F159" s="53"/>
      <c r="G159" s="53"/>
      <c r="H159" s="53"/>
    </row>
    <row r="160" spans="1:15" ht="15.75" x14ac:dyDescent="0.25">
      <c r="A160" s="26"/>
      <c r="B160" s="26"/>
      <c r="C160" s="55"/>
      <c r="D160" s="56" t="s">
        <v>484</v>
      </c>
      <c r="E160" s="54"/>
      <c r="F160" s="53"/>
      <c r="G160" s="53"/>
      <c r="H160" s="53"/>
    </row>
    <row r="161" spans="1:15" x14ac:dyDescent="0.2">
      <c r="A161" s="26"/>
      <c r="B161" s="26"/>
      <c r="C161" s="54"/>
      <c r="D161" s="54"/>
      <c r="E161" s="54" t="s">
        <v>356</v>
      </c>
      <c r="F161" s="53"/>
      <c r="G161" s="53"/>
      <c r="H161" s="53"/>
      <c r="O161" s="14">
        <v>10201010</v>
      </c>
    </row>
    <row r="162" spans="1:15" x14ac:dyDescent="0.2">
      <c r="A162" s="26"/>
      <c r="B162" s="26"/>
      <c r="C162" s="54"/>
      <c r="D162" s="54"/>
      <c r="E162" s="54" t="s">
        <v>357</v>
      </c>
      <c r="F162" s="53"/>
      <c r="G162" s="53"/>
      <c r="H162" s="53"/>
      <c r="O162" s="14">
        <v>10201020</v>
      </c>
    </row>
    <row r="163" spans="1:15" x14ac:dyDescent="0.2">
      <c r="A163" s="26"/>
      <c r="B163" s="26"/>
      <c r="C163" s="54"/>
      <c r="D163" s="54"/>
      <c r="E163" s="54" t="s">
        <v>358</v>
      </c>
      <c r="F163" s="53"/>
      <c r="G163" s="53"/>
      <c r="H163" s="53"/>
      <c r="O163" s="14">
        <v>10201030</v>
      </c>
    </row>
    <row r="164" spans="1:15" x14ac:dyDescent="0.2">
      <c r="A164" s="18"/>
      <c r="B164" s="18"/>
      <c r="C164" s="52"/>
      <c r="D164" s="52" t="s">
        <v>362</v>
      </c>
      <c r="E164" s="52"/>
      <c r="F164" s="53"/>
      <c r="G164" s="53"/>
      <c r="H164" s="53"/>
    </row>
    <row r="165" spans="1:15" x14ac:dyDescent="0.2">
      <c r="A165" s="26"/>
      <c r="B165" s="26"/>
      <c r="C165" s="54"/>
      <c r="D165" s="54"/>
      <c r="E165" s="54" t="s">
        <v>363</v>
      </c>
      <c r="F165" s="53"/>
      <c r="G165" s="53"/>
      <c r="H165" s="53"/>
      <c r="O165" s="14">
        <v>10202010</v>
      </c>
    </row>
    <row r="166" spans="1:15" x14ac:dyDescent="0.2">
      <c r="A166" s="26"/>
      <c r="B166" s="26"/>
      <c r="C166" s="54"/>
      <c r="D166" s="54"/>
      <c r="E166" s="54" t="s">
        <v>364</v>
      </c>
      <c r="F166" s="53">
        <v>0</v>
      </c>
      <c r="G166" s="53">
        <v>0</v>
      </c>
      <c r="H166" s="53"/>
      <c r="O166" s="14">
        <v>10202020</v>
      </c>
    </row>
    <row r="167" spans="1:15" x14ac:dyDescent="0.2">
      <c r="A167" s="26"/>
      <c r="B167" s="26"/>
      <c r="C167" s="54"/>
      <c r="D167" s="52" t="s">
        <v>365</v>
      </c>
      <c r="E167" s="54"/>
      <c r="F167" s="53"/>
      <c r="G167" s="53"/>
      <c r="H167" s="53"/>
    </row>
    <row r="168" spans="1:15" x14ac:dyDescent="0.2">
      <c r="A168" s="26"/>
      <c r="B168" s="26"/>
      <c r="C168" s="54"/>
      <c r="D168" s="54"/>
      <c r="E168" s="54" t="s">
        <v>366</v>
      </c>
      <c r="F168" s="53">
        <v>0</v>
      </c>
      <c r="G168" s="53">
        <v>0</v>
      </c>
      <c r="H168" s="53"/>
      <c r="O168" s="14">
        <v>10203010</v>
      </c>
    </row>
    <row r="169" spans="1:15" x14ac:dyDescent="0.2">
      <c r="A169" s="26"/>
      <c r="B169" s="26"/>
      <c r="C169" s="54"/>
      <c r="D169" s="54"/>
      <c r="E169" s="54" t="s">
        <v>367</v>
      </c>
      <c r="F169" s="53">
        <v>0</v>
      </c>
      <c r="G169" s="53">
        <v>0</v>
      </c>
      <c r="H169" s="53"/>
      <c r="O169" s="14">
        <v>10203011</v>
      </c>
    </row>
    <row r="170" spans="1:15" x14ac:dyDescent="0.2">
      <c r="A170" s="26"/>
      <c r="B170" s="26"/>
      <c r="C170" s="54"/>
      <c r="D170" s="54"/>
      <c r="E170" s="54" t="s">
        <v>368</v>
      </c>
      <c r="F170" s="53">
        <v>0</v>
      </c>
      <c r="G170" s="53">
        <v>0</v>
      </c>
      <c r="H170" s="53"/>
      <c r="O170" s="14">
        <v>10203020</v>
      </c>
    </row>
    <row r="171" spans="1:15" x14ac:dyDescent="0.2">
      <c r="A171" s="26"/>
      <c r="B171" s="26"/>
      <c r="C171" s="54"/>
      <c r="D171" s="54"/>
      <c r="E171" s="54" t="s">
        <v>369</v>
      </c>
      <c r="F171" s="53">
        <v>0</v>
      </c>
      <c r="G171" s="53">
        <v>0</v>
      </c>
      <c r="H171" s="53"/>
      <c r="O171" s="14">
        <v>10203021</v>
      </c>
    </row>
    <row r="172" spans="1:15" x14ac:dyDescent="0.2">
      <c r="A172" s="26"/>
      <c r="B172" s="26"/>
      <c r="C172" s="54"/>
      <c r="D172" s="52" t="s">
        <v>370</v>
      </c>
      <c r="E172" s="54"/>
      <c r="F172" s="53"/>
      <c r="G172" s="53"/>
      <c r="H172" s="53"/>
    </row>
    <row r="173" spans="1:15" x14ac:dyDescent="0.2">
      <c r="A173" s="26"/>
      <c r="B173" s="26"/>
      <c r="C173" s="54"/>
      <c r="D173" s="54"/>
      <c r="E173" s="54" t="s">
        <v>371</v>
      </c>
      <c r="F173" s="53">
        <v>0</v>
      </c>
      <c r="G173" s="53">
        <v>0</v>
      </c>
      <c r="H173" s="53"/>
      <c r="O173" s="14">
        <v>10204010</v>
      </c>
    </row>
    <row r="174" spans="1:15" x14ac:dyDescent="0.2">
      <c r="A174" s="26"/>
      <c r="B174" s="26"/>
      <c r="C174" s="54"/>
      <c r="D174" s="54"/>
      <c r="E174" s="54" t="s">
        <v>372</v>
      </c>
      <c r="F174" s="53">
        <v>0</v>
      </c>
      <c r="G174" s="53">
        <v>0</v>
      </c>
      <c r="H174" s="53"/>
      <c r="O174" s="14">
        <v>10204020</v>
      </c>
    </row>
    <row r="175" spans="1:15" x14ac:dyDescent="0.2">
      <c r="A175" s="18"/>
      <c r="B175" s="18"/>
      <c r="C175" s="52"/>
      <c r="D175" s="52" t="s">
        <v>373</v>
      </c>
      <c r="E175" s="52"/>
      <c r="F175" s="53"/>
      <c r="G175" s="53"/>
      <c r="H175" s="53"/>
    </row>
    <row r="176" spans="1:15" x14ac:dyDescent="0.2">
      <c r="A176" s="26"/>
      <c r="B176" s="26"/>
      <c r="C176" s="54"/>
      <c r="D176" s="54"/>
      <c r="E176" s="54" t="s">
        <v>374</v>
      </c>
      <c r="F176" s="53">
        <v>0</v>
      </c>
      <c r="G176" s="53">
        <v>0</v>
      </c>
      <c r="H176" s="53"/>
      <c r="O176" s="14">
        <v>10205010</v>
      </c>
    </row>
    <row r="177" spans="1:15" x14ac:dyDescent="0.2">
      <c r="A177" s="26"/>
      <c r="B177" s="26"/>
      <c r="C177" s="54"/>
      <c r="D177" s="54"/>
      <c r="E177" s="54" t="s">
        <v>375</v>
      </c>
      <c r="F177" s="53">
        <v>0</v>
      </c>
      <c r="G177" s="53">
        <v>0</v>
      </c>
      <c r="H177" s="53"/>
      <c r="O177" s="14">
        <v>10205011</v>
      </c>
    </row>
    <row r="178" spans="1:15" x14ac:dyDescent="0.2">
      <c r="A178" s="26"/>
      <c r="B178" s="26"/>
      <c r="C178" s="54"/>
      <c r="D178" s="54"/>
      <c r="E178" s="54" t="s">
        <v>376</v>
      </c>
      <c r="F178" s="53">
        <v>0</v>
      </c>
      <c r="G178" s="53">
        <v>0</v>
      </c>
      <c r="H178" s="53"/>
      <c r="O178" s="14">
        <v>10205020</v>
      </c>
    </row>
    <row r="179" spans="1:15" x14ac:dyDescent="0.2">
      <c r="A179" s="26"/>
      <c r="B179" s="26"/>
      <c r="C179" s="54"/>
      <c r="D179" s="54"/>
      <c r="E179" s="54" t="s">
        <v>377</v>
      </c>
      <c r="F179" s="53">
        <v>0</v>
      </c>
      <c r="G179" s="53">
        <v>0</v>
      </c>
      <c r="H179" s="53"/>
      <c r="O179" s="14">
        <v>10205021</v>
      </c>
    </row>
    <row r="180" spans="1:15" x14ac:dyDescent="0.2">
      <c r="A180" s="26"/>
      <c r="B180" s="26"/>
      <c r="C180" s="54"/>
      <c r="D180" s="54"/>
      <c r="E180" s="54" t="s">
        <v>378</v>
      </c>
      <c r="F180" s="53">
        <v>0</v>
      </c>
      <c r="G180" s="53">
        <v>0</v>
      </c>
      <c r="H180" s="53"/>
      <c r="O180" s="14">
        <v>10205990</v>
      </c>
    </row>
    <row r="181" spans="1:15" x14ac:dyDescent="0.2">
      <c r="A181" s="26"/>
      <c r="B181" s="26"/>
      <c r="C181" s="54"/>
      <c r="D181" s="54"/>
      <c r="E181" s="54" t="s">
        <v>379</v>
      </c>
      <c r="F181" s="53">
        <v>0</v>
      </c>
      <c r="G181" s="53">
        <v>0</v>
      </c>
      <c r="H181" s="53"/>
      <c r="O181" s="14">
        <v>10205991</v>
      </c>
    </row>
    <row r="182" spans="1:15" x14ac:dyDescent="0.2">
      <c r="A182" s="18"/>
      <c r="B182" s="18"/>
      <c r="C182" s="52"/>
      <c r="D182" s="52" t="s">
        <v>380</v>
      </c>
      <c r="E182" s="52"/>
      <c r="F182" s="53"/>
      <c r="G182" s="53"/>
      <c r="H182" s="53"/>
    </row>
    <row r="183" spans="1:15" x14ac:dyDescent="0.2">
      <c r="A183" s="26"/>
      <c r="B183" s="26"/>
      <c r="C183" s="54"/>
      <c r="D183" s="54"/>
      <c r="E183" s="54" t="s">
        <v>380</v>
      </c>
      <c r="F183" s="53">
        <v>0</v>
      </c>
      <c r="G183" s="53">
        <v>0</v>
      </c>
      <c r="H183" s="53"/>
      <c r="O183" s="14">
        <v>10206010</v>
      </c>
    </row>
    <row r="184" spans="1:15" x14ac:dyDescent="0.2">
      <c r="A184" s="26"/>
      <c r="B184" s="26"/>
      <c r="C184" s="54"/>
      <c r="D184" s="54"/>
      <c r="E184" s="54" t="s">
        <v>381</v>
      </c>
      <c r="F184" s="53">
        <v>0</v>
      </c>
      <c r="G184" s="53">
        <v>0</v>
      </c>
      <c r="H184" s="53"/>
      <c r="O184" s="14">
        <v>10206011</v>
      </c>
    </row>
    <row r="185" spans="1:15" x14ac:dyDescent="0.2">
      <c r="A185" s="18"/>
      <c r="B185" s="18"/>
      <c r="C185" s="52"/>
      <c r="D185" s="52" t="s">
        <v>382</v>
      </c>
      <c r="E185" s="52"/>
      <c r="F185" s="53"/>
      <c r="G185" s="53"/>
      <c r="H185" s="53"/>
    </row>
    <row r="186" spans="1:15" x14ac:dyDescent="0.2">
      <c r="A186" s="26"/>
      <c r="B186" s="26"/>
      <c r="C186" s="54"/>
      <c r="D186" s="54"/>
      <c r="E186" s="54" t="s">
        <v>382</v>
      </c>
      <c r="F186" s="53">
        <v>0</v>
      </c>
      <c r="G186" s="53">
        <v>0</v>
      </c>
      <c r="H186" s="53"/>
      <c r="O186" s="14">
        <v>10207010</v>
      </c>
    </row>
    <row r="187" spans="1:15" x14ac:dyDescent="0.2">
      <c r="A187" s="18"/>
      <c r="B187" s="18"/>
      <c r="C187" s="52"/>
      <c r="D187" s="52" t="s">
        <v>383</v>
      </c>
      <c r="E187" s="52"/>
      <c r="F187" s="58">
        <f>SUM(F161:F186)</f>
        <v>0</v>
      </c>
      <c r="G187" s="58">
        <f>SUM(G161:G186)</f>
        <v>0</v>
      </c>
      <c r="H187" s="58">
        <f t="shared" ref="H187:J187" si="6">SUM(H161:H186)</f>
        <v>0</v>
      </c>
      <c r="I187" s="58">
        <f t="shared" si="6"/>
        <v>0</v>
      </c>
      <c r="J187" s="58">
        <f t="shared" si="6"/>
        <v>0</v>
      </c>
    </row>
    <row r="188" spans="1:15" ht="15.75" x14ac:dyDescent="0.25">
      <c r="A188" s="18"/>
      <c r="B188" s="18"/>
      <c r="C188" s="56" t="s">
        <v>384</v>
      </c>
      <c r="D188" s="52"/>
      <c r="E188" s="52"/>
      <c r="F188" s="60"/>
      <c r="G188" s="60"/>
      <c r="H188" s="60"/>
    </row>
    <row r="189" spans="1:15" x14ac:dyDescent="0.2">
      <c r="A189" s="18"/>
      <c r="B189" s="18"/>
      <c r="C189" s="52"/>
      <c r="D189" s="52" t="s">
        <v>385</v>
      </c>
      <c r="E189" s="52"/>
      <c r="F189" s="53"/>
      <c r="G189" s="53"/>
      <c r="H189" s="53"/>
    </row>
    <row r="190" spans="1:15" x14ac:dyDescent="0.2">
      <c r="A190" s="26"/>
      <c r="B190" s="26"/>
      <c r="C190" s="54"/>
      <c r="D190" s="54"/>
      <c r="E190" s="54" t="s">
        <v>386</v>
      </c>
      <c r="F190" s="53">
        <v>0</v>
      </c>
      <c r="G190" s="53">
        <v>0</v>
      </c>
      <c r="H190" s="53"/>
      <c r="O190" s="14">
        <v>10301010</v>
      </c>
    </row>
    <row r="191" spans="1:15" x14ac:dyDescent="0.2">
      <c r="A191" s="26"/>
      <c r="B191" s="26"/>
      <c r="C191" s="54"/>
      <c r="D191" s="54"/>
      <c r="E191" s="54" t="s">
        <v>387</v>
      </c>
      <c r="F191" s="53">
        <v>0</v>
      </c>
      <c r="G191" s="53">
        <v>0</v>
      </c>
      <c r="H191" s="53"/>
      <c r="O191" s="14">
        <v>10301011</v>
      </c>
    </row>
    <row r="192" spans="1:15" x14ac:dyDescent="0.2">
      <c r="A192" s="26"/>
      <c r="B192" s="26"/>
      <c r="C192" s="54"/>
      <c r="D192" s="54"/>
      <c r="E192" s="54" t="s">
        <v>388</v>
      </c>
      <c r="F192" s="53">
        <v>0</v>
      </c>
      <c r="G192" s="53">
        <v>0</v>
      </c>
      <c r="H192" s="53"/>
      <c r="O192" s="14">
        <v>10301020</v>
      </c>
    </row>
    <row r="193" spans="1:15" x14ac:dyDescent="0.2">
      <c r="A193" s="26"/>
      <c r="B193" s="26"/>
      <c r="C193" s="54"/>
      <c r="D193" s="54"/>
      <c r="E193" s="54" t="s">
        <v>389</v>
      </c>
      <c r="F193" s="53">
        <v>0</v>
      </c>
      <c r="G193" s="53">
        <v>0</v>
      </c>
      <c r="H193" s="53"/>
      <c r="O193" s="14">
        <v>10301021</v>
      </c>
    </row>
    <row r="194" spans="1:15" x14ac:dyDescent="0.2">
      <c r="A194" s="26"/>
      <c r="B194" s="26"/>
      <c r="C194" s="54"/>
      <c r="D194" s="54"/>
      <c r="E194" s="54" t="s">
        <v>390</v>
      </c>
      <c r="F194" s="53">
        <v>0</v>
      </c>
      <c r="G194" s="53">
        <v>0</v>
      </c>
      <c r="H194" s="53"/>
      <c r="O194" s="14">
        <v>10301030</v>
      </c>
    </row>
    <row r="195" spans="1:15" x14ac:dyDescent="0.2">
      <c r="A195" s="26"/>
      <c r="B195" s="26"/>
      <c r="C195" s="54"/>
      <c r="D195" s="54"/>
      <c r="E195" s="54" t="s">
        <v>391</v>
      </c>
      <c r="F195" s="53">
        <v>0</v>
      </c>
      <c r="G195" s="53">
        <v>0</v>
      </c>
      <c r="H195" s="53"/>
      <c r="O195" s="14">
        <v>10301031</v>
      </c>
    </row>
    <row r="196" spans="1:15" x14ac:dyDescent="0.2">
      <c r="A196" s="26"/>
      <c r="B196" s="26"/>
      <c r="C196" s="54"/>
      <c r="D196" s="54"/>
      <c r="E196" s="54" t="s">
        <v>392</v>
      </c>
      <c r="F196" s="53">
        <v>0</v>
      </c>
      <c r="G196" s="53">
        <v>0</v>
      </c>
      <c r="H196" s="53"/>
      <c r="O196" s="14">
        <v>10301040</v>
      </c>
    </row>
    <row r="197" spans="1:15" x14ac:dyDescent="0.2">
      <c r="A197" s="26"/>
      <c r="B197" s="26"/>
      <c r="C197" s="54"/>
      <c r="D197" s="54"/>
      <c r="E197" s="54" t="s">
        <v>393</v>
      </c>
      <c r="F197" s="53">
        <v>0</v>
      </c>
      <c r="G197" s="53">
        <v>0</v>
      </c>
      <c r="H197" s="53"/>
      <c r="O197" s="14">
        <v>10301041</v>
      </c>
    </row>
    <row r="198" spans="1:15" x14ac:dyDescent="0.2">
      <c r="A198" s="26"/>
      <c r="B198" s="26"/>
      <c r="C198" s="54"/>
      <c r="D198" s="54"/>
      <c r="E198" s="54" t="s">
        <v>394</v>
      </c>
      <c r="F198" s="53">
        <v>0</v>
      </c>
      <c r="G198" s="53">
        <v>0</v>
      </c>
      <c r="H198" s="53"/>
      <c r="O198" s="14">
        <v>10301050</v>
      </c>
    </row>
    <row r="199" spans="1:15" x14ac:dyDescent="0.2">
      <c r="A199" s="26"/>
      <c r="B199" s="26"/>
      <c r="C199" s="54"/>
      <c r="D199" s="54"/>
      <c r="E199" s="54" t="s">
        <v>395</v>
      </c>
      <c r="F199" s="53">
        <v>0</v>
      </c>
      <c r="G199" s="53">
        <v>0</v>
      </c>
      <c r="H199" s="53"/>
      <c r="O199" s="14">
        <v>10301051</v>
      </c>
    </row>
    <row r="200" spans="1:15" x14ac:dyDescent="0.2">
      <c r="A200" s="26"/>
      <c r="B200" s="26"/>
      <c r="C200" s="54"/>
      <c r="D200" s="54"/>
      <c r="E200" s="54" t="s">
        <v>396</v>
      </c>
      <c r="F200" s="53">
        <v>0</v>
      </c>
      <c r="G200" s="53">
        <v>0</v>
      </c>
      <c r="H200" s="53"/>
      <c r="O200" s="14">
        <v>10301060</v>
      </c>
    </row>
    <row r="201" spans="1:15" x14ac:dyDescent="0.2">
      <c r="A201" s="26"/>
      <c r="B201" s="26"/>
      <c r="C201" s="54"/>
      <c r="D201" s="54"/>
      <c r="E201" s="54" t="s">
        <v>397</v>
      </c>
      <c r="F201" s="53">
        <v>0</v>
      </c>
      <c r="G201" s="53">
        <v>0</v>
      </c>
      <c r="H201" s="53"/>
      <c r="O201" s="14">
        <v>10301061</v>
      </c>
    </row>
    <row r="202" spans="1:15" x14ac:dyDescent="0.2">
      <c r="A202" s="26"/>
      <c r="B202" s="26"/>
      <c r="C202" s="54"/>
      <c r="D202" s="54"/>
      <c r="E202" s="54" t="s">
        <v>398</v>
      </c>
      <c r="F202" s="53">
        <v>0</v>
      </c>
      <c r="G202" s="53">
        <v>0</v>
      </c>
      <c r="H202" s="53"/>
      <c r="O202" s="14">
        <v>10301070</v>
      </c>
    </row>
    <row r="203" spans="1:15" x14ac:dyDescent="0.2">
      <c r="A203" s="26"/>
      <c r="B203" s="26"/>
      <c r="C203" s="54"/>
      <c r="D203" s="54"/>
      <c r="E203" s="54" t="s">
        <v>399</v>
      </c>
      <c r="F203" s="53">
        <v>0</v>
      </c>
      <c r="G203" s="53">
        <v>0</v>
      </c>
      <c r="H203" s="53"/>
      <c r="O203" s="14">
        <v>10301071</v>
      </c>
    </row>
    <row r="204" spans="1:15" x14ac:dyDescent="0.2">
      <c r="A204" s="26"/>
      <c r="B204" s="26"/>
      <c r="C204" s="54"/>
      <c r="D204" s="54"/>
      <c r="E204" s="54" t="s">
        <v>400</v>
      </c>
      <c r="F204" s="53">
        <v>0</v>
      </c>
      <c r="G204" s="53">
        <v>0</v>
      </c>
      <c r="H204" s="53"/>
      <c r="O204" s="14">
        <v>10301080</v>
      </c>
    </row>
    <row r="205" spans="1:15" x14ac:dyDescent="0.2">
      <c r="A205" s="26"/>
      <c r="B205" s="26"/>
      <c r="C205" s="54"/>
      <c r="D205" s="54"/>
      <c r="E205" s="54" t="s">
        <v>401</v>
      </c>
      <c r="F205" s="53">
        <v>0</v>
      </c>
      <c r="G205" s="53">
        <v>0</v>
      </c>
      <c r="H205" s="53"/>
      <c r="O205" s="14">
        <v>10301081</v>
      </c>
    </row>
    <row r="206" spans="1:15" x14ac:dyDescent="0.2">
      <c r="A206" s="26"/>
      <c r="B206" s="26"/>
      <c r="C206" s="54"/>
      <c r="D206" s="54"/>
      <c r="E206" s="54" t="s">
        <v>402</v>
      </c>
      <c r="F206" s="53">
        <v>0</v>
      </c>
      <c r="G206" s="53">
        <v>0</v>
      </c>
      <c r="H206" s="53"/>
      <c r="O206" s="14">
        <v>10301990</v>
      </c>
    </row>
    <row r="207" spans="1:15" x14ac:dyDescent="0.2">
      <c r="A207" s="26"/>
      <c r="B207" s="26"/>
      <c r="C207" s="54"/>
      <c r="D207" s="54"/>
      <c r="E207" s="54" t="s">
        <v>403</v>
      </c>
      <c r="F207" s="53">
        <v>0</v>
      </c>
      <c r="G207" s="53">
        <v>0</v>
      </c>
      <c r="H207" s="53"/>
      <c r="O207" s="14">
        <v>10301991</v>
      </c>
    </row>
    <row r="208" spans="1:15" x14ac:dyDescent="0.2">
      <c r="A208" s="18"/>
      <c r="B208" s="18"/>
      <c r="C208" s="52"/>
      <c r="D208" s="52" t="s">
        <v>404</v>
      </c>
      <c r="E208" s="52"/>
      <c r="F208" s="53"/>
      <c r="G208" s="53"/>
      <c r="H208" s="53"/>
    </row>
    <row r="209" spans="1:15" x14ac:dyDescent="0.2">
      <c r="A209" s="26"/>
      <c r="B209" s="26"/>
      <c r="C209" s="54"/>
      <c r="D209" s="54"/>
      <c r="E209" s="54" t="s">
        <v>405</v>
      </c>
      <c r="F209" s="53">
        <v>0</v>
      </c>
      <c r="G209" s="53">
        <v>0</v>
      </c>
      <c r="H209" s="53"/>
      <c r="O209" s="14">
        <v>10302010</v>
      </c>
    </row>
    <row r="210" spans="1:15" x14ac:dyDescent="0.2">
      <c r="A210" s="26"/>
      <c r="B210" s="26"/>
      <c r="C210" s="54"/>
      <c r="D210" s="54"/>
      <c r="E210" s="54" t="s">
        <v>406</v>
      </c>
      <c r="F210" s="53">
        <v>0</v>
      </c>
      <c r="G210" s="53">
        <v>0</v>
      </c>
      <c r="H210" s="53"/>
      <c r="O210" s="14">
        <v>10302011</v>
      </c>
    </row>
    <row r="211" spans="1:15" x14ac:dyDescent="0.2">
      <c r="A211" s="26"/>
      <c r="B211" s="26"/>
      <c r="C211" s="54"/>
      <c r="D211" s="54"/>
      <c r="E211" s="54" t="s">
        <v>407</v>
      </c>
      <c r="F211" s="53">
        <v>0</v>
      </c>
      <c r="G211" s="53">
        <v>0</v>
      </c>
      <c r="H211" s="53"/>
      <c r="O211" s="14">
        <v>10302020</v>
      </c>
    </row>
    <row r="212" spans="1:15" x14ac:dyDescent="0.2">
      <c r="A212" s="26"/>
      <c r="B212" s="26"/>
      <c r="C212" s="54"/>
      <c r="D212" s="54"/>
      <c r="E212" s="54" t="s">
        <v>408</v>
      </c>
      <c r="F212" s="53">
        <v>0</v>
      </c>
      <c r="G212" s="53">
        <v>0</v>
      </c>
      <c r="H212" s="53"/>
      <c r="O212" s="14">
        <v>10302021</v>
      </c>
    </row>
    <row r="213" spans="1:15" x14ac:dyDescent="0.2">
      <c r="A213" s="18"/>
      <c r="B213" s="18"/>
      <c r="C213" s="52"/>
      <c r="D213" s="52" t="s">
        <v>409</v>
      </c>
      <c r="E213" s="52"/>
      <c r="F213" s="53"/>
      <c r="G213" s="53"/>
      <c r="H213" s="53"/>
    </row>
    <row r="214" spans="1:15" x14ac:dyDescent="0.2">
      <c r="A214" s="26"/>
      <c r="B214" s="26"/>
      <c r="C214" s="54"/>
      <c r="D214" s="54"/>
      <c r="E214" s="54" t="s">
        <v>410</v>
      </c>
      <c r="F214" s="53">
        <v>0</v>
      </c>
      <c r="G214" s="53">
        <v>0</v>
      </c>
      <c r="H214" s="53"/>
      <c r="O214" s="14">
        <v>10303010</v>
      </c>
    </row>
    <row r="215" spans="1:15" x14ac:dyDescent="0.2">
      <c r="A215" s="26"/>
      <c r="B215" s="26"/>
      <c r="C215" s="54"/>
      <c r="D215" s="54"/>
      <c r="E215" s="54" t="s">
        <v>411</v>
      </c>
      <c r="F215" s="53">
        <v>0</v>
      </c>
      <c r="G215" s="53">
        <v>0</v>
      </c>
      <c r="H215" s="53"/>
      <c r="O215" s="14">
        <v>10303011</v>
      </c>
    </row>
    <row r="216" spans="1:15" x14ac:dyDescent="0.2">
      <c r="A216" s="26"/>
      <c r="B216" s="26"/>
      <c r="C216" s="54"/>
      <c r="D216" s="54"/>
      <c r="E216" s="54" t="s">
        <v>412</v>
      </c>
      <c r="F216" s="53">
        <v>0</v>
      </c>
      <c r="G216" s="53">
        <v>0</v>
      </c>
      <c r="H216" s="53"/>
      <c r="O216" s="14">
        <v>10303020</v>
      </c>
    </row>
    <row r="217" spans="1:15" x14ac:dyDescent="0.2">
      <c r="A217" s="26"/>
      <c r="B217" s="26"/>
      <c r="C217" s="54"/>
      <c r="D217" s="54"/>
      <c r="E217" s="54" t="s">
        <v>413</v>
      </c>
      <c r="F217" s="53">
        <v>0</v>
      </c>
      <c r="G217" s="53">
        <v>0</v>
      </c>
      <c r="H217" s="53"/>
      <c r="O217" s="14">
        <v>10303021</v>
      </c>
    </row>
    <row r="218" spans="1:15" x14ac:dyDescent="0.2">
      <c r="A218" s="26"/>
      <c r="B218" s="26"/>
      <c r="C218" s="54"/>
      <c r="D218" s="54"/>
      <c r="E218" s="54" t="s">
        <v>414</v>
      </c>
      <c r="F218" s="53">
        <v>0</v>
      </c>
      <c r="G218" s="53">
        <v>0</v>
      </c>
      <c r="H218" s="53"/>
      <c r="O218" s="14">
        <v>10303030</v>
      </c>
    </row>
    <row r="219" spans="1:15" x14ac:dyDescent="0.2">
      <c r="A219" s="26"/>
      <c r="B219" s="26"/>
      <c r="C219" s="54"/>
      <c r="D219" s="54"/>
      <c r="E219" s="54" t="s">
        <v>415</v>
      </c>
      <c r="F219" s="53">
        <v>0</v>
      </c>
      <c r="G219" s="53">
        <v>0</v>
      </c>
      <c r="H219" s="53"/>
      <c r="O219" s="14">
        <v>10303031</v>
      </c>
    </row>
    <row r="220" spans="1:15" x14ac:dyDescent="0.2">
      <c r="A220" s="26"/>
      <c r="B220" s="26"/>
      <c r="C220" s="54"/>
      <c r="D220" s="54"/>
      <c r="E220" s="54" t="s">
        <v>416</v>
      </c>
      <c r="F220" s="53">
        <v>0</v>
      </c>
      <c r="G220" s="53">
        <v>0</v>
      </c>
      <c r="H220" s="53"/>
      <c r="O220" s="14">
        <v>10303040</v>
      </c>
    </row>
    <row r="221" spans="1:15" x14ac:dyDescent="0.2">
      <c r="A221" s="26"/>
      <c r="B221" s="26"/>
      <c r="C221" s="54"/>
      <c r="D221" s="54"/>
      <c r="E221" s="54" t="s">
        <v>417</v>
      </c>
      <c r="F221" s="53">
        <v>0</v>
      </c>
      <c r="G221" s="53">
        <v>0</v>
      </c>
      <c r="H221" s="53"/>
      <c r="O221" s="14">
        <v>10303041</v>
      </c>
    </row>
    <row r="222" spans="1:15" x14ac:dyDescent="0.2">
      <c r="A222" s="18"/>
      <c r="B222" s="18"/>
      <c r="C222" s="52"/>
      <c r="D222" s="52" t="s">
        <v>418</v>
      </c>
      <c r="E222" s="52"/>
      <c r="F222" s="53"/>
      <c r="G222" s="53"/>
      <c r="H222" s="53"/>
    </row>
    <row r="223" spans="1:15" x14ac:dyDescent="0.2">
      <c r="A223" s="26"/>
      <c r="B223" s="26"/>
      <c r="C223" s="54"/>
      <c r="D223" s="54"/>
      <c r="E223" s="54" t="s">
        <v>419</v>
      </c>
      <c r="F223" s="53">
        <v>0</v>
      </c>
      <c r="G223" s="53">
        <v>0</v>
      </c>
      <c r="H223" s="53"/>
      <c r="O223" s="14">
        <v>10304050</v>
      </c>
    </row>
    <row r="224" spans="1:15" x14ac:dyDescent="0.2">
      <c r="A224" s="26"/>
      <c r="B224" s="26"/>
      <c r="C224" s="54"/>
      <c r="D224" s="54"/>
      <c r="E224" s="54" t="s">
        <v>420</v>
      </c>
      <c r="F224" s="53">
        <v>0</v>
      </c>
      <c r="G224" s="53">
        <v>0</v>
      </c>
      <c r="H224" s="53"/>
      <c r="O224" s="14">
        <v>10304060</v>
      </c>
    </row>
    <row r="225" spans="1:15" x14ac:dyDescent="0.2">
      <c r="A225" s="26"/>
      <c r="B225" s="26"/>
      <c r="C225" s="54"/>
      <c r="D225" s="54"/>
      <c r="E225" s="54" t="s">
        <v>421</v>
      </c>
      <c r="F225" s="53">
        <v>0</v>
      </c>
      <c r="G225" s="53">
        <v>0</v>
      </c>
      <c r="H225" s="53"/>
      <c r="O225" s="14">
        <v>10304070</v>
      </c>
    </row>
    <row r="226" spans="1:15" x14ac:dyDescent="0.2">
      <c r="A226" s="26"/>
      <c r="B226" s="26"/>
      <c r="C226" s="54"/>
      <c r="D226" s="52" t="s">
        <v>422</v>
      </c>
      <c r="E226" s="54"/>
      <c r="F226" s="53"/>
      <c r="G226" s="53"/>
      <c r="H226" s="53"/>
    </row>
    <row r="227" spans="1:15" x14ac:dyDescent="0.2">
      <c r="A227" s="26"/>
      <c r="B227" s="26"/>
      <c r="C227" s="54"/>
      <c r="D227" s="54"/>
      <c r="E227" s="54" t="s">
        <v>423</v>
      </c>
      <c r="F227" s="53">
        <v>0</v>
      </c>
      <c r="G227" s="53">
        <v>0</v>
      </c>
      <c r="H227" s="53"/>
      <c r="O227" s="14">
        <v>10305010</v>
      </c>
    </row>
    <row r="228" spans="1:15" x14ac:dyDescent="0.2">
      <c r="A228" s="26"/>
      <c r="B228" s="26"/>
      <c r="C228" s="54"/>
      <c r="D228" s="54"/>
      <c r="E228" s="54" t="s">
        <v>424</v>
      </c>
      <c r="F228" s="53">
        <v>0</v>
      </c>
      <c r="G228" s="53">
        <v>0</v>
      </c>
      <c r="H228" s="53"/>
      <c r="O228" s="14">
        <v>10305020</v>
      </c>
    </row>
    <row r="229" spans="1:15" x14ac:dyDescent="0.2">
      <c r="A229" s="26"/>
      <c r="B229" s="26"/>
      <c r="C229" s="54"/>
      <c r="D229" s="54"/>
      <c r="E229" s="54" t="s">
        <v>425</v>
      </c>
      <c r="F229" s="53">
        <v>0</v>
      </c>
      <c r="G229" s="53">
        <v>0</v>
      </c>
      <c r="H229" s="53"/>
      <c r="O229" s="14">
        <v>10305030</v>
      </c>
    </row>
    <row r="230" spans="1:15" x14ac:dyDescent="0.2">
      <c r="A230" s="26"/>
      <c r="B230" s="26"/>
      <c r="C230" s="54"/>
      <c r="D230" s="54"/>
      <c r="E230" s="54" t="s">
        <v>426</v>
      </c>
      <c r="F230" s="53">
        <v>0</v>
      </c>
      <c r="G230" s="53">
        <v>0</v>
      </c>
      <c r="H230" s="53"/>
      <c r="O230" s="14">
        <v>10305040</v>
      </c>
    </row>
    <row r="231" spans="1:15" x14ac:dyDescent="0.2">
      <c r="A231" s="26"/>
      <c r="B231" s="26"/>
      <c r="C231" s="54"/>
      <c r="D231" s="52" t="s">
        <v>427</v>
      </c>
      <c r="E231" s="54"/>
      <c r="F231" s="53"/>
      <c r="G231" s="53"/>
      <c r="H231" s="53"/>
    </row>
    <row r="232" spans="1:15" x14ac:dyDescent="0.2">
      <c r="A232" s="26"/>
      <c r="B232" s="26"/>
      <c r="C232" s="54"/>
      <c r="D232" s="54"/>
      <c r="E232" s="54" t="s">
        <v>428</v>
      </c>
      <c r="F232" s="53">
        <v>0</v>
      </c>
      <c r="G232" s="53">
        <v>0</v>
      </c>
      <c r="H232" s="53"/>
      <c r="O232" s="14">
        <v>10306010</v>
      </c>
    </row>
    <row r="233" spans="1:15" x14ac:dyDescent="0.2">
      <c r="A233" s="26"/>
      <c r="B233" s="26"/>
      <c r="C233" s="54"/>
      <c r="D233" s="54"/>
      <c r="E233" s="54" t="s">
        <v>429</v>
      </c>
      <c r="F233" s="53">
        <v>0</v>
      </c>
      <c r="G233" s="53">
        <v>0</v>
      </c>
      <c r="H233" s="53"/>
      <c r="O233" s="14">
        <v>10306011</v>
      </c>
    </row>
    <row r="234" spans="1:15" x14ac:dyDescent="0.2">
      <c r="A234" s="26"/>
      <c r="B234" s="26"/>
      <c r="C234" s="54"/>
      <c r="D234" s="54"/>
      <c r="E234" s="54" t="s">
        <v>430</v>
      </c>
      <c r="F234" s="53">
        <v>0</v>
      </c>
      <c r="G234" s="53">
        <v>0</v>
      </c>
      <c r="H234" s="53"/>
      <c r="O234" s="14">
        <v>10306020</v>
      </c>
    </row>
    <row r="235" spans="1:15" x14ac:dyDescent="0.2">
      <c r="A235" s="26"/>
      <c r="B235" s="26"/>
      <c r="C235" s="54"/>
      <c r="D235" s="54"/>
      <c r="E235" s="54" t="s">
        <v>431</v>
      </c>
      <c r="F235" s="53">
        <v>0</v>
      </c>
      <c r="G235" s="53">
        <v>0</v>
      </c>
      <c r="H235" s="53"/>
      <c r="O235" s="14">
        <v>10306021</v>
      </c>
    </row>
    <row r="236" spans="1:15" x14ac:dyDescent="0.2">
      <c r="A236" s="26"/>
      <c r="B236" s="26"/>
      <c r="C236" s="54"/>
      <c r="D236" s="54"/>
      <c r="E236" s="54" t="s">
        <v>432</v>
      </c>
      <c r="F236" s="53">
        <v>0</v>
      </c>
      <c r="G236" s="53">
        <v>0</v>
      </c>
      <c r="H236" s="53"/>
      <c r="O236" s="14">
        <v>10306030</v>
      </c>
    </row>
    <row r="237" spans="1:15" x14ac:dyDescent="0.2">
      <c r="A237" s="26"/>
      <c r="B237" s="26"/>
      <c r="C237" s="54"/>
      <c r="D237" s="54"/>
      <c r="E237" s="54" t="s">
        <v>433</v>
      </c>
      <c r="F237" s="53">
        <v>0</v>
      </c>
      <c r="G237" s="53">
        <v>0</v>
      </c>
      <c r="H237" s="53"/>
      <c r="O237" s="14">
        <v>10306031</v>
      </c>
    </row>
    <row r="238" spans="1:15" x14ac:dyDescent="0.2">
      <c r="A238" s="26"/>
      <c r="B238" s="26"/>
      <c r="C238" s="54"/>
      <c r="D238" s="54"/>
      <c r="E238" s="54" t="s">
        <v>434</v>
      </c>
      <c r="F238" s="53">
        <v>0</v>
      </c>
      <c r="G238" s="53">
        <v>0</v>
      </c>
      <c r="H238" s="53"/>
      <c r="O238" s="14">
        <v>10306990</v>
      </c>
    </row>
    <row r="239" spans="1:15" x14ac:dyDescent="0.2">
      <c r="A239" s="26"/>
      <c r="B239" s="26"/>
      <c r="C239" s="54"/>
      <c r="D239" s="54"/>
      <c r="E239" s="54" t="s">
        <v>435</v>
      </c>
      <c r="F239" s="53">
        <v>0</v>
      </c>
      <c r="G239" s="53">
        <v>0</v>
      </c>
      <c r="H239" s="53"/>
      <c r="O239" s="14">
        <v>10306991</v>
      </c>
    </row>
    <row r="240" spans="1:15" x14ac:dyDescent="0.2">
      <c r="A240" s="18"/>
      <c r="B240" s="18"/>
      <c r="C240" s="52"/>
      <c r="D240" s="52" t="s">
        <v>436</v>
      </c>
      <c r="E240" s="52"/>
      <c r="F240" s="58">
        <f>SUM(F190:F239)</f>
        <v>0</v>
      </c>
      <c r="G240" s="58">
        <f>SUM(G190:G239)</f>
        <v>0</v>
      </c>
      <c r="H240" s="58">
        <f t="shared" ref="H240:J240" si="7">SUM(H190:H239)</f>
        <v>0</v>
      </c>
      <c r="I240" s="58">
        <f t="shared" si="7"/>
        <v>0</v>
      </c>
      <c r="J240" s="58">
        <f t="shared" si="7"/>
        <v>0</v>
      </c>
    </row>
    <row r="241" spans="1:15" x14ac:dyDescent="0.2">
      <c r="A241" s="18"/>
      <c r="B241" s="18"/>
      <c r="C241" s="52" t="s">
        <v>485</v>
      </c>
      <c r="D241" s="52"/>
      <c r="E241" s="52"/>
      <c r="F241" s="60"/>
      <c r="G241" s="60"/>
      <c r="H241" s="60"/>
    </row>
    <row r="242" spans="1:15" ht="15" x14ac:dyDescent="0.25">
      <c r="A242" s="18"/>
      <c r="B242" s="18"/>
      <c r="C242" s="52"/>
      <c r="D242" s="61" t="s">
        <v>486</v>
      </c>
      <c r="E242" s="52"/>
      <c r="F242" s="60"/>
      <c r="G242" s="60"/>
      <c r="H242" s="60"/>
    </row>
    <row r="243" spans="1:15" x14ac:dyDescent="0.2">
      <c r="A243" s="18"/>
      <c r="B243" s="18"/>
      <c r="C243" s="52"/>
      <c r="D243" s="52"/>
      <c r="E243" s="54" t="s">
        <v>487</v>
      </c>
      <c r="F243" s="53">
        <v>0</v>
      </c>
      <c r="G243" s="53">
        <v>0</v>
      </c>
      <c r="H243" s="53"/>
      <c r="O243" s="14">
        <v>10601010</v>
      </c>
    </row>
    <row r="244" spans="1:15" x14ac:dyDescent="0.2">
      <c r="A244" s="26"/>
      <c r="B244" s="26"/>
      <c r="C244" s="54"/>
      <c r="D244" s="54"/>
      <c r="E244" s="54" t="s">
        <v>488</v>
      </c>
      <c r="F244" s="53">
        <v>0</v>
      </c>
      <c r="G244" s="53">
        <v>0</v>
      </c>
      <c r="H244" s="53"/>
      <c r="O244" s="14">
        <v>10601011</v>
      </c>
    </row>
    <row r="245" spans="1:15" x14ac:dyDescent="0.2">
      <c r="A245" s="26"/>
      <c r="B245" s="26"/>
      <c r="C245" s="54"/>
      <c r="D245" s="54"/>
      <c r="E245" s="54" t="s">
        <v>489</v>
      </c>
      <c r="F245" s="53">
        <v>0</v>
      </c>
      <c r="G245" s="53">
        <v>0</v>
      </c>
      <c r="H245" s="53"/>
      <c r="O245" s="14">
        <v>10601020</v>
      </c>
    </row>
    <row r="246" spans="1:15" x14ac:dyDescent="0.2">
      <c r="A246" s="26"/>
      <c r="B246" s="26"/>
      <c r="C246" s="54"/>
      <c r="D246" s="54"/>
      <c r="E246" s="54" t="s">
        <v>490</v>
      </c>
      <c r="F246" s="53"/>
      <c r="G246" s="53"/>
      <c r="H246" s="53"/>
      <c r="O246" s="14">
        <v>10601021</v>
      </c>
    </row>
    <row r="247" spans="1:15" x14ac:dyDescent="0.2">
      <c r="A247" s="26"/>
      <c r="B247" s="26"/>
      <c r="C247" s="54"/>
      <c r="D247" s="54"/>
      <c r="E247" s="54" t="s">
        <v>491</v>
      </c>
      <c r="F247" s="53">
        <v>0</v>
      </c>
      <c r="G247" s="53">
        <v>0</v>
      </c>
      <c r="H247" s="53"/>
      <c r="O247" s="14">
        <v>10601022</v>
      </c>
    </row>
    <row r="248" spans="1:15" x14ac:dyDescent="0.2">
      <c r="A248" s="26"/>
      <c r="B248" s="26"/>
      <c r="C248" s="54"/>
      <c r="D248" s="54"/>
      <c r="E248" s="54" t="s">
        <v>492</v>
      </c>
      <c r="F248" s="53">
        <v>0</v>
      </c>
      <c r="G248" s="53">
        <v>0</v>
      </c>
      <c r="H248" s="53"/>
      <c r="O248" s="14">
        <v>10601030</v>
      </c>
    </row>
    <row r="249" spans="1:15" x14ac:dyDescent="0.2">
      <c r="A249" s="18"/>
      <c r="B249" s="18"/>
      <c r="C249" s="52"/>
      <c r="D249" s="52" t="s">
        <v>493</v>
      </c>
      <c r="E249" s="52"/>
      <c r="F249" s="58">
        <f>SUM(F243:F248)</f>
        <v>0</v>
      </c>
      <c r="G249" s="58">
        <f>SUM(G243:G248)</f>
        <v>0</v>
      </c>
      <c r="H249" s="58">
        <f t="shared" ref="H249:J249" si="8">SUM(H243:H248)</f>
        <v>0</v>
      </c>
      <c r="I249" s="58">
        <f t="shared" si="8"/>
        <v>0</v>
      </c>
      <c r="J249" s="58">
        <f t="shared" si="8"/>
        <v>0</v>
      </c>
    </row>
    <row r="250" spans="1:15" x14ac:dyDescent="0.2">
      <c r="A250" s="64"/>
      <c r="B250" s="18"/>
      <c r="C250" s="18" t="s">
        <v>494</v>
      </c>
      <c r="D250" s="52"/>
      <c r="E250" s="52"/>
      <c r="F250" s="60"/>
      <c r="G250" s="60"/>
      <c r="H250" s="60"/>
    </row>
    <row r="251" spans="1:15" x14ac:dyDescent="0.2">
      <c r="A251" s="18"/>
      <c r="B251" s="18"/>
      <c r="C251" s="52"/>
      <c r="D251" s="52" t="s">
        <v>495</v>
      </c>
      <c r="E251" s="52"/>
      <c r="F251" s="60"/>
      <c r="G251" s="60"/>
      <c r="H251" s="60"/>
    </row>
    <row r="252" spans="1:15" x14ac:dyDescent="0.2">
      <c r="A252" s="26"/>
      <c r="B252" s="26"/>
      <c r="C252" s="54"/>
      <c r="D252" s="55"/>
      <c r="E252" s="54" t="s">
        <v>495</v>
      </c>
      <c r="F252" s="53"/>
      <c r="G252" s="53"/>
      <c r="H252" s="53"/>
      <c r="O252" s="14">
        <v>10701010</v>
      </c>
    </row>
    <row r="253" spans="1:15" x14ac:dyDescent="0.2">
      <c r="A253" s="26"/>
      <c r="B253" s="26"/>
      <c r="C253" s="54"/>
      <c r="D253" s="54"/>
      <c r="E253" s="54" t="s">
        <v>496</v>
      </c>
      <c r="F253" s="53"/>
      <c r="G253" s="53"/>
      <c r="H253" s="53"/>
      <c r="O253" s="14">
        <v>10701011</v>
      </c>
    </row>
    <row r="254" spans="1:15" x14ac:dyDescent="0.2">
      <c r="A254" s="26"/>
      <c r="B254" s="26"/>
      <c r="C254" s="54"/>
      <c r="D254" s="52" t="s">
        <v>497</v>
      </c>
      <c r="E254" s="54"/>
      <c r="F254" s="53"/>
      <c r="G254" s="53"/>
      <c r="H254" s="53"/>
    </row>
    <row r="255" spans="1:15" x14ac:dyDescent="0.2">
      <c r="A255" s="26"/>
      <c r="B255" s="26"/>
      <c r="C255" s="54"/>
      <c r="D255" s="52"/>
      <c r="E255" s="54" t="s">
        <v>498</v>
      </c>
      <c r="F255" s="53"/>
      <c r="G255" s="53"/>
      <c r="H255" s="53"/>
      <c r="O255" s="14">
        <v>10702010</v>
      </c>
    </row>
    <row r="256" spans="1:15" x14ac:dyDescent="0.2">
      <c r="A256" s="26"/>
      <c r="B256" s="26"/>
      <c r="C256" s="54"/>
      <c r="D256" s="52"/>
      <c r="E256" s="54" t="s">
        <v>499</v>
      </c>
      <c r="F256" s="53"/>
      <c r="G256" s="53"/>
      <c r="H256" s="53"/>
      <c r="O256" s="14">
        <v>10702011</v>
      </c>
    </row>
    <row r="257" spans="1:15" x14ac:dyDescent="0.2">
      <c r="A257" s="26"/>
      <c r="B257" s="26"/>
      <c r="C257" s="54"/>
      <c r="D257" s="52"/>
      <c r="E257" s="54" t="s">
        <v>500</v>
      </c>
      <c r="F257" s="53"/>
      <c r="G257" s="53"/>
      <c r="H257" s="53"/>
      <c r="O257" s="14">
        <v>10702012</v>
      </c>
    </row>
    <row r="258" spans="1:15" x14ac:dyDescent="0.2">
      <c r="A258" s="26"/>
      <c r="B258" s="26"/>
      <c r="C258" s="54"/>
      <c r="D258" s="52"/>
      <c r="E258" s="54" t="s">
        <v>501</v>
      </c>
      <c r="F258" s="53"/>
      <c r="G258" s="53"/>
      <c r="H258" s="53"/>
      <c r="O258" s="14">
        <v>10702990</v>
      </c>
    </row>
    <row r="259" spans="1:15" x14ac:dyDescent="0.2">
      <c r="A259" s="26"/>
      <c r="B259" s="26"/>
      <c r="C259" s="54"/>
      <c r="D259" s="52"/>
      <c r="E259" s="54" t="s">
        <v>502</v>
      </c>
      <c r="F259" s="53"/>
      <c r="G259" s="53"/>
      <c r="H259" s="53"/>
      <c r="O259" s="14">
        <v>10702991</v>
      </c>
    </row>
    <row r="260" spans="1:15" x14ac:dyDescent="0.2">
      <c r="A260" s="26"/>
      <c r="B260" s="26"/>
      <c r="C260" s="54"/>
      <c r="D260" s="54"/>
      <c r="E260" s="54" t="s">
        <v>503</v>
      </c>
      <c r="F260" s="53"/>
      <c r="G260" s="53"/>
      <c r="H260" s="53"/>
      <c r="O260" s="14">
        <v>10702992</v>
      </c>
    </row>
    <row r="261" spans="1:15" x14ac:dyDescent="0.2">
      <c r="A261" s="26"/>
      <c r="B261" s="26"/>
      <c r="C261" s="54"/>
      <c r="D261" s="52" t="s">
        <v>504</v>
      </c>
      <c r="E261" s="54"/>
      <c r="F261" s="53"/>
      <c r="G261" s="53"/>
      <c r="H261" s="53"/>
    </row>
    <row r="262" spans="1:15" x14ac:dyDescent="0.2">
      <c r="A262" s="26"/>
      <c r="B262" s="26"/>
      <c r="C262" s="54"/>
      <c r="D262" s="54"/>
      <c r="E262" s="54" t="s">
        <v>505</v>
      </c>
      <c r="F262" s="53"/>
      <c r="G262" s="53"/>
      <c r="H262" s="53"/>
      <c r="O262" s="14">
        <v>10703010</v>
      </c>
    </row>
    <row r="263" spans="1:15" x14ac:dyDescent="0.2">
      <c r="A263" s="26"/>
      <c r="B263" s="26"/>
      <c r="C263" s="54"/>
      <c r="D263" s="54"/>
      <c r="E263" s="54" t="s">
        <v>506</v>
      </c>
      <c r="F263" s="53"/>
      <c r="G263" s="53"/>
      <c r="H263" s="53"/>
      <c r="O263" s="14">
        <v>10703011</v>
      </c>
    </row>
    <row r="264" spans="1:15" x14ac:dyDescent="0.2">
      <c r="A264" s="26"/>
      <c r="B264" s="26"/>
      <c r="C264" s="54"/>
      <c r="D264" s="54"/>
      <c r="E264" s="54" t="s">
        <v>507</v>
      </c>
      <c r="F264" s="53"/>
      <c r="G264" s="53"/>
      <c r="H264" s="53"/>
      <c r="O264" s="14">
        <v>10703012</v>
      </c>
    </row>
    <row r="265" spans="1:15" x14ac:dyDescent="0.2">
      <c r="A265" s="26"/>
      <c r="B265" s="26"/>
      <c r="C265" s="54"/>
      <c r="D265" s="54"/>
      <c r="E265" s="54" t="s">
        <v>508</v>
      </c>
      <c r="F265" s="53"/>
      <c r="G265" s="53"/>
      <c r="H265" s="53"/>
      <c r="O265" s="14">
        <v>10703020</v>
      </c>
    </row>
    <row r="266" spans="1:15" x14ac:dyDescent="0.2">
      <c r="A266" s="26"/>
      <c r="B266" s="26"/>
      <c r="C266" s="54"/>
      <c r="D266" s="54"/>
      <c r="E266" s="54" t="s">
        <v>509</v>
      </c>
      <c r="F266" s="53"/>
      <c r="G266" s="53"/>
      <c r="H266" s="53"/>
      <c r="O266" s="14">
        <v>10703021</v>
      </c>
    </row>
    <row r="267" spans="1:15" x14ac:dyDescent="0.2">
      <c r="A267" s="26"/>
      <c r="B267" s="26"/>
      <c r="C267" s="54"/>
      <c r="D267" s="54"/>
      <c r="E267" s="54" t="s">
        <v>510</v>
      </c>
      <c r="F267" s="53"/>
      <c r="G267" s="53"/>
      <c r="H267" s="53"/>
      <c r="O267" s="14">
        <v>10703022</v>
      </c>
    </row>
    <row r="268" spans="1:15" x14ac:dyDescent="0.2">
      <c r="A268" s="26"/>
      <c r="B268" s="26"/>
      <c r="C268" s="54"/>
      <c r="D268" s="54"/>
      <c r="E268" s="54" t="s">
        <v>511</v>
      </c>
      <c r="F268" s="53"/>
      <c r="G268" s="53"/>
      <c r="H268" s="53"/>
      <c r="O268" s="14">
        <v>10703030</v>
      </c>
    </row>
    <row r="269" spans="1:15" x14ac:dyDescent="0.2">
      <c r="A269" s="26"/>
      <c r="B269" s="26"/>
      <c r="C269" s="54"/>
      <c r="D269" s="54"/>
      <c r="E269" s="54" t="s">
        <v>512</v>
      </c>
      <c r="F269" s="53"/>
      <c r="G269" s="53"/>
      <c r="H269" s="53"/>
      <c r="O269" s="14">
        <v>10703031</v>
      </c>
    </row>
    <row r="270" spans="1:15" x14ac:dyDescent="0.2">
      <c r="A270" s="26"/>
      <c r="B270" s="26"/>
      <c r="C270" s="54"/>
      <c r="D270" s="54"/>
      <c r="E270" s="54" t="s">
        <v>513</v>
      </c>
      <c r="F270" s="53"/>
      <c r="G270" s="53"/>
      <c r="H270" s="53"/>
      <c r="O270" s="14">
        <v>10703032</v>
      </c>
    </row>
    <row r="271" spans="1:15" x14ac:dyDescent="0.2">
      <c r="A271" s="26"/>
      <c r="B271" s="26"/>
      <c r="C271" s="54"/>
      <c r="D271" s="54"/>
      <c r="E271" s="54" t="s">
        <v>514</v>
      </c>
      <c r="F271" s="53"/>
      <c r="G271" s="53"/>
      <c r="H271" s="53"/>
      <c r="O271" s="14">
        <v>10703040</v>
      </c>
    </row>
    <row r="272" spans="1:15" x14ac:dyDescent="0.2">
      <c r="A272" s="26"/>
      <c r="B272" s="26"/>
      <c r="C272" s="54"/>
      <c r="D272" s="54"/>
      <c r="E272" s="54" t="s">
        <v>515</v>
      </c>
      <c r="F272" s="53"/>
      <c r="G272" s="53"/>
      <c r="H272" s="53"/>
      <c r="O272" s="14">
        <v>10703041</v>
      </c>
    </row>
    <row r="273" spans="1:15" x14ac:dyDescent="0.2">
      <c r="A273" s="26"/>
      <c r="B273" s="26"/>
      <c r="C273" s="54"/>
      <c r="D273" s="54"/>
      <c r="E273" s="54" t="s">
        <v>516</v>
      </c>
      <c r="F273" s="53"/>
      <c r="G273" s="53"/>
      <c r="H273" s="53"/>
      <c r="O273" s="14">
        <v>10703042</v>
      </c>
    </row>
    <row r="274" spans="1:15" x14ac:dyDescent="0.2">
      <c r="A274" s="26"/>
      <c r="B274" s="26"/>
      <c r="C274" s="54"/>
      <c r="D274" s="54"/>
      <c r="E274" s="54" t="s">
        <v>517</v>
      </c>
      <c r="F274" s="53"/>
      <c r="G274" s="53"/>
      <c r="H274" s="53"/>
      <c r="O274" s="14">
        <v>10703050</v>
      </c>
    </row>
    <row r="275" spans="1:15" x14ac:dyDescent="0.2">
      <c r="A275" s="26"/>
      <c r="B275" s="26"/>
      <c r="C275" s="54"/>
      <c r="D275" s="54"/>
      <c r="E275" s="54" t="s">
        <v>518</v>
      </c>
      <c r="F275" s="53"/>
      <c r="G275" s="53"/>
      <c r="H275" s="53"/>
      <c r="O275" s="14">
        <v>10703051</v>
      </c>
    </row>
    <row r="276" spans="1:15" x14ac:dyDescent="0.2">
      <c r="A276" s="26"/>
      <c r="B276" s="26"/>
      <c r="C276" s="54"/>
      <c r="D276" s="54"/>
      <c r="E276" s="54" t="s">
        <v>519</v>
      </c>
      <c r="F276" s="53"/>
      <c r="G276" s="53"/>
      <c r="H276" s="53"/>
      <c r="O276" s="14">
        <v>10703052</v>
      </c>
    </row>
    <row r="277" spans="1:15" x14ac:dyDescent="0.2">
      <c r="A277" s="26"/>
      <c r="B277" s="26"/>
      <c r="C277" s="54"/>
      <c r="D277" s="54"/>
      <c r="E277" s="54" t="s">
        <v>520</v>
      </c>
      <c r="F277" s="53"/>
      <c r="G277" s="53"/>
      <c r="H277" s="53"/>
      <c r="O277" s="14">
        <v>10703060</v>
      </c>
    </row>
    <row r="278" spans="1:15" x14ac:dyDescent="0.2">
      <c r="A278" s="26"/>
      <c r="B278" s="26"/>
      <c r="C278" s="54"/>
      <c r="D278" s="54"/>
      <c r="E278" s="54" t="s">
        <v>521</v>
      </c>
      <c r="F278" s="53"/>
      <c r="G278" s="53"/>
      <c r="H278" s="53"/>
      <c r="O278" s="14">
        <v>10703061</v>
      </c>
    </row>
    <row r="279" spans="1:15" x14ac:dyDescent="0.2">
      <c r="A279" s="26"/>
      <c r="B279" s="26"/>
      <c r="C279" s="54"/>
      <c r="D279" s="54"/>
      <c r="E279" s="54" t="s">
        <v>522</v>
      </c>
      <c r="F279" s="53">
        <v>0</v>
      </c>
      <c r="G279" s="53">
        <v>0</v>
      </c>
      <c r="H279" s="53"/>
      <c r="O279" s="14">
        <v>10703062</v>
      </c>
    </row>
    <row r="280" spans="1:15" x14ac:dyDescent="0.2">
      <c r="A280" s="26"/>
      <c r="B280" s="26"/>
      <c r="C280" s="54"/>
      <c r="D280" s="54"/>
      <c r="E280" s="54" t="s">
        <v>523</v>
      </c>
      <c r="F280" s="53">
        <v>0</v>
      </c>
      <c r="G280" s="53">
        <v>0</v>
      </c>
      <c r="H280" s="53"/>
      <c r="O280" s="14">
        <v>10703070</v>
      </c>
    </row>
    <row r="281" spans="1:15" x14ac:dyDescent="0.2">
      <c r="A281" s="26"/>
      <c r="B281" s="26"/>
      <c r="C281" s="54"/>
      <c r="D281" s="54"/>
      <c r="E281" s="54" t="s">
        <v>524</v>
      </c>
      <c r="F281" s="53"/>
      <c r="G281" s="53"/>
      <c r="H281" s="53"/>
      <c r="O281" s="14">
        <v>10703071</v>
      </c>
    </row>
    <row r="282" spans="1:15" x14ac:dyDescent="0.2">
      <c r="A282" s="26"/>
      <c r="B282" s="26"/>
      <c r="C282" s="54"/>
      <c r="D282" s="54"/>
      <c r="E282" s="54" t="s">
        <v>525</v>
      </c>
      <c r="F282" s="53">
        <v>0</v>
      </c>
      <c r="G282" s="53">
        <v>0</v>
      </c>
      <c r="H282" s="53"/>
      <c r="O282" s="14">
        <v>10703072</v>
      </c>
    </row>
    <row r="283" spans="1:15" x14ac:dyDescent="0.2">
      <c r="A283" s="26"/>
      <c r="B283" s="26"/>
      <c r="C283" s="54"/>
      <c r="D283" s="54"/>
      <c r="E283" s="54" t="s">
        <v>526</v>
      </c>
      <c r="F283" s="53">
        <v>0</v>
      </c>
      <c r="G283" s="53">
        <v>0</v>
      </c>
      <c r="H283" s="53"/>
      <c r="O283" s="14">
        <v>10703080</v>
      </c>
    </row>
    <row r="284" spans="1:15" x14ac:dyDescent="0.2">
      <c r="A284" s="26"/>
      <c r="B284" s="26"/>
      <c r="C284" s="54"/>
      <c r="D284" s="54"/>
      <c r="E284" s="54" t="s">
        <v>527</v>
      </c>
      <c r="F284" s="53"/>
      <c r="G284" s="53"/>
      <c r="H284" s="53"/>
      <c r="O284" s="14">
        <v>10703081</v>
      </c>
    </row>
    <row r="285" spans="1:15" x14ac:dyDescent="0.2">
      <c r="A285" s="26"/>
      <c r="B285" s="26"/>
      <c r="C285" s="54"/>
      <c r="D285" s="54"/>
      <c r="E285" s="54" t="s">
        <v>528</v>
      </c>
      <c r="F285" s="53"/>
      <c r="G285" s="53"/>
      <c r="H285" s="53"/>
      <c r="O285" s="14">
        <v>10703082</v>
      </c>
    </row>
    <row r="286" spans="1:15" x14ac:dyDescent="0.2">
      <c r="A286" s="26"/>
      <c r="B286" s="26"/>
      <c r="C286" s="54"/>
      <c r="D286" s="54"/>
      <c r="E286" s="54" t="s">
        <v>529</v>
      </c>
      <c r="F286" s="53"/>
      <c r="G286" s="53"/>
      <c r="H286" s="53"/>
      <c r="O286" s="14">
        <v>10703090</v>
      </c>
    </row>
    <row r="287" spans="1:15" x14ac:dyDescent="0.2">
      <c r="A287" s="26"/>
      <c r="B287" s="26"/>
      <c r="C287" s="54"/>
      <c r="D287" s="54"/>
      <c r="E287" s="54" t="s">
        <v>530</v>
      </c>
      <c r="F287" s="53"/>
      <c r="G287" s="53"/>
      <c r="H287" s="53"/>
      <c r="O287" s="14">
        <v>10703091</v>
      </c>
    </row>
    <row r="288" spans="1:15" x14ac:dyDescent="0.2">
      <c r="A288" s="26"/>
      <c r="B288" s="26"/>
      <c r="C288" s="54"/>
      <c r="D288" s="54"/>
      <c r="E288" s="54" t="s">
        <v>531</v>
      </c>
      <c r="F288" s="53"/>
      <c r="G288" s="53"/>
      <c r="H288" s="53"/>
      <c r="O288" s="14">
        <v>10703092</v>
      </c>
    </row>
    <row r="289" spans="1:15" x14ac:dyDescent="0.2">
      <c r="A289" s="26"/>
      <c r="B289" s="26"/>
      <c r="C289" s="54"/>
      <c r="D289" s="54"/>
      <c r="E289" s="54" t="s">
        <v>532</v>
      </c>
      <c r="F289" s="53"/>
      <c r="G289" s="53"/>
      <c r="H289" s="53"/>
      <c r="O289" s="14">
        <v>10703990</v>
      </c>
    </row>
    <row r="290" spans="1:15" x14ac:dyDescent="0.2">
      <c r="A290" s="26"/>
      <c r="B290" s="26"/>
      <c r="C290" s="54"/>
      <c r="D290" s="54"/>
      <c r="E290" s="54" t="s">
        <v>533</v>
      </c>
      <c r="F290" s="53"/>
      <c r="G290" s="53"/>
      <c r="H290" s="53"/>
      <c r="O290" s="14">
        <v>10703991</v>
      </c>
    </row>
    <row r="291" spans="1:15" x14ac:dyDescent="0.2">
      <c r="A291" s="26"/>
      <c r="B291" s="26"/>
      <c r="C291" s="54"/>
      <c r="D291" s="54"/>
      <c r="E291" s="54" t="s">
        <v>534</v>
      </c>
      <c r="F291" s="53"/>
      <c r="G291" s="53"/>
      <c r="H291" s="53"/>
      <c r="O291" s="14">
        <v>10703992</v>
      </c>
    </row>
    <row r="292" spans="1:15" ht="15" x14ac:dyDescent="0.25">
      <c r="A292" s="18"/>
      <c r="B292" s="18"/>
      <c r="C292" s="64"/>
      <c r="D292" s="61" t="s">
        <v>535</v>
      </c>
      <c r="E292" s="52"/>
      <c r="F292" s="60"/>
      <c r="G292" s="60"/>
      <c r="H292" s="60"/>
    </row>
    <row r="293" spans="1:15" x14ac:dyDescent="0.2">
      <c r="A293" s="26"/>
      <c r="B293" s="26"/>
      <c r="C293" s="54"/>
      <c r="D293" s="54"/>
      <c r="E293" s="54" t="s">
        <v>536</v>
      </c>
      <c r="F293" s="53"/>
      <c r="G293" s="53"/>
      <c r="H293" s="53"/>
      <c r="O293" s="14">
        <v>10704010</v>
      </c>
    </row>
    <row r="294" spans="1:15" x14ac:dyDescent="0.2">
      <c r="A294" s="26"/>
      <c r="B294" s="26"/>
      <c r="C294" s="54"/>
      <c r="D294" s="54"/>
      <c r="E294" s="54" t="s">
        <v>537</v>
      </c>
      <c r="F294" s="53"/>
      <c r="G294" s="53"/>
      <c r="H294" s="53"/>
      <c r="O294" s="14">
        <v>10704011</v>
      </c>
    </row>
    <row r="295" spans="1:15" x14ac:dyDescent="0.2">
      <c r="A295" s="26"/>
      <c r="B295" s="26"/>
      <c r="C295" s="54"/>
      <c r="D295" s="54"/>
      <c r="E295" s="54" t="s">
        <v>538</v>
      </c>
      <c r="F295" s="53"/>
      <c r="G295" s="53"/>
      <c r="H295" s="53"/>
      <c r="O295" s="14">
        <v>10704012</v>
      </c>
    </row>
    <row r="296" spans="1:15" x14ac:dyDescent="0.2">
      <c r="A296" s="26"/>
      <c r="B296" s="26"/>
      <c r="C296" s="54"/>
      <c r="D296" s="54"/>
      <c r="E296" s="54" t="s">
        <v>539</v>
      </c>
      <c r="F296" s="53"/>
      <c r="G296" s="53"/>
      <c r="H296" s="53"/>
      <c r="O296" s="14">
        <v>10704020</v>
      </c>
    </row>
    <row r="297" spans="1:15" x14ac:dyDescent="0.2">
      <c r="A297" s="26"/>
      <c r="B297" s="26"/>
      <c r="C297" s="54"/>
      <c r="D297" s="54"/>
      <c r="E297" s="54" t="s">
        <v>540</v>
      </c>
      <c r="F297" s="53"/>
      <c r="G297" s="53"/>
      <c r="H297" s="53"/>
      <c r="O297" s="14">
        <v>10704021</v>
      </c>
    </row>
    <row r="298" spans="1:15" x14ac:dyDescent="0.2">
      <c r="A298" s="26"/>
      <c r="B298" s="26"/>
      <c r="C298" s="54"/>
      <c r="D298" s="54"/>
      <c r="E298" s="54" t="s">
        <v>541</v>
      </c>
      <c r="F298" s="53"/>
      <c r="G298" s="53"/>
      <c r="H298" s="53"/>
      <c r="O298" s="14">
        <v>10704022</v>
      </c>
    </row>
    <row r="299" spans="1:15" x14ac:dyDescent="0.2">
      <c r="A299" s="26"/>
      <c r="B299" s="26"/>
      <c r="C299" s="54"/>
      <c r="D299" s="54"/>
      <c r="E299" s="54" t="s">
        <v>542</v>
      </c>
      <c r="F299" s="53"/>
      <c r="G299" s="53"/>
      <c r="H299" s="53"/>
      <c r="O299" s="14">
        <v>10704030</v>
      </c>
    </row>
    <row r="300" spans="1:15" x14ac:dyDescent="0.2">
      <c r="A300" s="26"/>
      <c r="B300" s="26"/>
      <c r="C300" s="54"/>
      <c r="D300" s="54"/>
      <c r="E300" s="54" t="s">
        <v>543</v>
      </c>
      <c r="F300" s="53"/>
      <c r="G300" s="53"/>
      <c r="H300" s="53"/>
      <c r="O300" s="14">
        <v>10704031</v>
      </c>
    </row>
    <row r="301" spans="1:15" x14ac:dyDescent="0.2">
      <c r="A301" s="26"/>
      <c r="B301" s="26"/>
      <c r="C301" s="54"/>
      <c r="D301" s="54"/>
      <c r="E301" s="54" t="s">
        <v>544</v>
      </c>
      <c r="F301" s="53"/>
      <c r="G301" s="53"/>
      <c r="H301" s="53"/>
      <c r="O301" s="14">
        <v>10704032</v>
      </c>
    </row>
    <row r="302" spans="1:15" x14ac:dyDescent="0.2">
      <c r="A302" s="26"/>
      <c r="B302" s="26"/>
      <c r="C302" s="54"/>
      <c r="D302" s="54"/>
      <c r="E302" s="54" t="s">
        <v>545</v>
      </c>
      <c r="F302" s="53"/>
      <c r="G302" s="53"/>
      <c r="H302" s="53"/>
      <c r="O302" s="14">
        <v>10704040</v>
      </c>
    </row>
    <row r="303" spans="1:15" x14ac:dyDescent="0.2">
      <c r="A303" s="26"/>
      <c r="B303" s="26"/>
      <c r="C303" s="54"/>
      <c r="D303" s="54"/>
      <c r="E303" s="54" t="s">
        <v>546</v>
      </c>
      <c r="F303" s="53"/>
      <c r="G303" s="53"/>
      <c r="H303" s="53"/>
      <c r="O303" s="14">
        <v>10704041</v>
      </c>
    </row>
    <row r="304" spans="1:15" x14ac:dyDescent="0.2">
      <c r="A304" s="26"/>
      <c r="B304" s="26"/>
      <c r="C304" s="54"/>
      <c r="D304" s="54"/>
      <c r="E304" s="54" t="s">
        <v>547</v>
      </c>
      <c r="F304" s="53"/>
      <c r="G304" s="53"/>
      <c r="H304" s="53"/>
      <c r="O304" s="14">
        <v>10704042</v>
      </c>
    </row>
    <row r="305" spans="1:15" x14ac:dyDescent="0.2">
      <c r="A305" s="26"/>
      <c r="B305" s="26"/>
      <c r="C305" s="54"/>
      <c r="D305" s="54"/>
      <c r="E305" s="54" t="s">
        <v>548</v>
      </c>
      <c r="F305" s="53"/>
      <c r="G305" s="53"/>
      <c r="H305" s="53"/>
      <c r="O305" s="14">
        <v>10704050</v>
      </c>
    </row>
    <row r="306" spans="1:15" x14ac:dyDescent="0.2">
      <c r="A306" s="26"/>
      <c r="B306" s="26"/>
      <c r="C306" s="54"/>
      <c r="D306" s="54"/>
      <c r="E306" s="54" t="s">
        <v>549</v>
      </c>
      <c r="F306" s="53"/>
      <c r="G306" s="53"/>
      <c r="H306" s="53"/>
      <c r="O306" s="14">
        <v>10704051</v>
      </c>
    </row>
    <row r="307" spans="1:15" x14ac:dyDescent="0.2">
      <c r="A307" s="26"/>
      <c r="B307" s="26"/>
      <c r="C307" s="54"/>
      <c r="D307" s="54"/>
      <c r="E307" s="54" t="s">
        <v>550</v>
      </c>
      <c r="F307" s="53"/>
      <c r="G307" s="53"/>
      <c r="H307" s="53"/>
      <c r="O307" s="14">
        <v>10704052</v>
      </c>
    </row>
    <row r="308" spans="1:15" x14ac:dyDescent="0.2">
      <c r="A308" s="26"/>
      <c r="B308" s="26"/>
      <c r="C308" s="54"/>
      <c r="D308" s="54"/>
      <c r="E308" s="54" t="s">
        <v>551</v>
      </c>
      <c r="F308" s="53"/>
      <c r="G308" s="53"/>
      <c r="H308" s="53"/>
      <c r="O308" s="14">
        <v>10704060</v>
      </c>
    </row>
    <row r="309" spans="1:15" x14ac:dyDescent="0.2">
      <c r="A309" s="26"/>
      <c r="B309" s="26"/>
      <c r="C309" s="54"/>
      <c r="D309" s="54"/>
      <c r="E309" s="54" t="s">
        <v>552</v>
      </c>
      <c r="F309" s="53"/>
      <c r="G309" s="53"/>
      <c r="H309" s="53"/>
      <c r="O309" s="14">
        <v>10704061</v>
      </c>
    </row>
    <row r="310" spans="1:15" x14ac:dyDescent="0.2">
      <c r="A310" s="26"/>
      <c r="B310" s="26"/>
      <c r="C310" s="54"/>
      <c r="D310" s="54"/>
      <c r="E310" s="54" t="s">
        <v>553</v>
      </c>
      <c r="F310" s="53"/>
      <c r="G310" s="53"/>
      <c r="H310" s="53"/>
      <c r="O310" s="14">
        <v>10704062</v>
      </c>
    </row>
    <row r="311" spans="1:15" x14ac:dyDescent="0.2">
      <c r="A311" s="26"/>
      <c r="B311" s="26"/>
      <c r="C311" s="54"/>
      <c r="D311" s="54"/>
      <c r="E311" s="54" t="s">
        <v>554</v>
      </c>
      <c r="F311" s="53"/>
      <c r="G311" s="53"/>
      <c r="H311" s="53"/>
      <c r="O311" s="14">
        <v>10704990</v>
      </c>
    </row>
    <row r="312" spans="1:15" x14ac:dyDescent="0.2">
      <c r="A312" s="26"/>
      <c r="B312" s="26"/>
      <c r="C312" s="54"/>
      <c r="D312" s="54"/>
      <c r="E312" s="54" t="s">
        <v>555</v>
      </c>
      <c r="F312" s="53"/>
      <c r="G312" s="53"/>
      <c r="H312" s="53"/>
      <c r="O312" s="14">
        <v>10704991</v>
      </c>
    </row>
    <row r="313" spans="1:15" x14ac:dyDescent="0.2">
      <c r="A313" s="26"/>
      <c r="B313" s="26"/>
      <c r="C313" s="54"/>
      <c r="D313" s="54"/>
      <c r="E313" s="54" t="s">
        <v>556</v>
      </c>
      <c r="F313" s="53"/>
      <c r="G313" s="53"/>
      <c r="H313" s="53"/>
      <c r="O313" s="14">
        <v>10704992</v>
      </c>
    </row>
    <row r="314" spans="1:15" x14ac:dyDescent="0.2">
      <c r="A314" s="18"/>
      <c r="B314" s="18"/>
      <c r="C314" s="64"/>
      <c r="D314" s="52" t="s">
        <v>557</v>
      </c>
      <c r="E314" s="52"/>
      <c r="F314" s="60"/>
      <c r="G314" s="60"/>
      <c r="H314" s="60"/>
    </row>
    <row r="315" spans="1:15" x14ac:dyDescent="0.2">
      <c r="A315" s="18"/>
      <c r="B315" s="18"/>
      <c r="C315" s="52"/>
      <c r="D315" s="52"/>
      <c r="E315" s="54" t="s">
        <v>558</v>
      </c>
      <c r="F315" s="53"/>
      <c r="G315" s="53"/>
      <c r="H315" s="53"/>
      <c r="O315" s="14">
        <v>10705010</v>
      </c>
    </row>
    <row r="316" spans="1:15" x14ac:dyDescent="0.2">
      <c r="A316" s="18"/>
      <c r="B316" s="18"/>
      <c r="C316" s="52"/>
      <c r="D316" s="52"/>
      <c r="E316" s="54" t="s">
        <v>559</v>
      </c>
      <c r="F316" s="53"/>
      <c r="G316" s="53"/>
      <c r="H316" s="53"/>
      <c r="O316" s="14">
        <v>10705011</v>
      </c>
    </row>
    <row r="317" spans="1:15" x14ac:dyDescent="0.2">
      <c r="A317" s="18"/>
      <c r="B317" s="18"/>
      <c r="C317" s="52"/>
      <c r="D317" s="52"/>
      <c r="E317" s="54" t="s">
        <v>560</v>
      </c>
      <c r="F317" s="53"/>
      <c r="G317" s="53"/>
      <c r="H317" s="53"/>
      <c r="O317" s="14">
        <v>10705012</v>
      </c>
    </row>
    <row r="318" spans="1:15" x14ac:dyDescent="0.2">
      <c r="A318" s="18"/>
      <c r="B318" s="18"/>
      <c r="C318" s="52"/>
      <c r="D318" s="52"/>
      <c r="E318" s="54" t="s">
        <v>561</v>
      </c>
      <c r="F318" s="53"/>
      <c r="G318" s="53"/>
      <c r="H318" s="53"/>
      <c r="O318" s="14">
        <v>10705020</v>
      </c>
    </row>
    <row r="319" spans="1:15" x14ac:dyDescent="0.2">
      <c r="A319" s="18"/>
      <c r="B319" s="18"/>
      <c r="C319" s="52"/>
      <c r="D319" s="52"/>
      <c r="E319" s="54" t="s">
        <v>562</v>
      </c>
      <c r="F319" s="53"/>
      <c r="G319" s="53"/>
      <c r="H319" s="53"/>
      <c r="O319" s="14">
        <v>10705021</v>
      </c>
    </row>
    <row r="320" spans="1:15" x14ac:dyDescent="0.2">
      <c r="A320" s="18"/>
      <c r="B320" s="18"/>
      <c r="C320" s="52"/>
      <c r="D320" s="52"/>
      <c r="E320" s="54" t="s">
        <v>563</v>
      </c>
      <c r="F320" s="53"/>
      <c r="G320" s="53"/>
      <c r="H320" s="53"/>
      <c r="O320" s="14">
        <v>10705022</v>
      </c>
    </row>
    <row r="321" spans="1:15" x14ac:dyDescent="0.2">
      <c r="A321" s="18"/>
      <c r="B321" s="18"/>
      <c r="C321" s="52"/>
      <c r="D321" s="52"/>
      <c r="E321" s="54" t="s">
        <v>564</v>
      </c>
      <c r="F321" s="53"/>
      <c r="G321" s="53"/>
      <c r="H321" s="53"/>
      <c r="O321" s="14">
        <v>10705030</v>
      </c>
    </row>
    <row r="322" spans="1:15" x14ac:dyDescent="0.2">
      <c r="A322" s="18"/>
      <c r="B322" s="18"/>
      <c r="C322" s="52"/>
      <c r="D322" s="52"/>
      <c r="E322" s="54" t="s">
        <v>565</v>
      </c>
      <c r="F322" s="53"/>
      <c r="G322" s="53"/>
      <c r="H322" s="53"/>
      <c r="O322" s="14">
        <v>10705031</v>
      </c>
    </row>
    <row r="323" spans="1:15" x14ac:dyDescent="0.2">
      <c r="A323" s="18"/>
      <c r="B323" s="18"/>
      <c r="C323" s="52"/>
      <c r="D323" s="52"/>
      <c r="E323" s="54" t="s">
        <v>566</v>
      </c>
      <c r="F323" s="53"/>
      <c r="G323" s="53"/>
      <c r="H323" s="53"/>
      <c r="O323" s="14">
        <v>10705032</v>
      </c>
    </row>
    <row r="324" spans="1:15" x14ac:dyDescent="0.2">
      <c r="A324" s="18"/>
      <c r="B324" s="18"/>
      <c r="C324" s="52"/>
      <c r="D324" s="52"/>
      <c r="E324" s="54" t="s">
        <v>567</v>
      </c>
      <c r="F324" s="53"/>
      <c r="G324" s="53"/>
      <c r="H324" s="53"/>
      <c r="O324" s="14">
        <v>10705040</v>
      </c>
    </row>
    <row r="325" spans="1:15" x14ac:dyDescent="0.2">
      <c r="A325" s="18"/>
      <c r="B325" s="18"/>
      <c r="C325" s="52"/>
      <c r="D325" s="52"/>
      <c r="E325" s="54" t="s">
        <v>568</v>
      </c>
      <c r="F325" s="53"/>
      <c r="G325" s="53"/>
      <c r="H325" s="53"/>
      <c r="O325" s="14">
        <v>10705041</v>
      </c>
    </row>
    <row r="326" spans="1:15" x14ac:dyDescent="0.2">
      <c r="A326" s="18"/>
      <c r="B326" s="18"/>
      <c r="C326" s="52"/>
      <c r="D326" s="52"/>
      <c r="E326" s="54" t="s">
        <v>569</v>
      </c>
      <c r="F326" s="53"/>
      <c r="G326" s="53"/>
      <c r="H326" s="53"/>
      <c r="O326" s="14">
        <v>10705042</v>
      </c>
    </row>
    <row r="327" spans="1:15" x14ac:dyDescent="0.2">
      <c r="A327" s="18"/>
      <c r="B327" s="18"/>
      <c r="C327" s="52"/>
      <c r="D327" s="52"/>
      <c r="E327" s="54" t="s">
        <v>570</v>
      </c>
      <c r="F327" s="53"/>
      <c r="G327" s="53"/>
      <c r="H327" s="53"/>
      <c r="O327" s="14">
        <v>10705050</v>
      </c>
    </row>
    <row r="328" spans="1:15" x14ac:dyDescent="0.2">
      <c r="A328" s="18"/>
      <c r="B328" s="18"/>
      <c r="C328" s="52"/>
      <c r="D328" s="52"/>
      <c r="E328" s="54" t="s">
        <v>571</v>
      </c>
      <c r="F328" s="53"/>
      <c r="G328" s="53"/>
      <c r="H328" s="53"/>
      <c r="O328" s="14">
        <v>10705051</v>
      </c>
    </row>
    <row r="329" spans="1:15" x14ac:dyDescent="0.2">
      <c r="A329" s="18"/>
      <c r="B329" s="18"/>
      <c r="C329" s="52"/>
      <c r="D329" s="52"/>
      <c r="E329" s="54" t="s">
        <v>572</v>
      </c>
      <c r="F329" s="53"/>
      <c r="G329" s="53"/>
      <c r="H329" s="53"/>
      <c r="O329" s="14">
        <v>10705052</v>
      </c>
    </row>
    <row r="330" spans="1:15" x14ac:dyDescent="0.2">
      <c r="A330" s="18"/>
      <c r="B330" s="18"/>
      <c r="C330" s="52"/>
      <c r="D330" s="52"/>
      <c r="E330" s="54" t="s">
        <v>573</v>
      </c>
      <c r="F330" s="53"/>
      <c r="G330" s="53"/>
      <c r="H330" s="53"/>
      <c r="O330" s="14">
        <v>10705060</v>
      </c>
    </row>
    <row r="331" spans="1:15" x14ac:dyDescent="0.2">
      <c r="A331" s="18"/>
      <c r="B331" s="18"/>
      <c r="C331" s="52"/>
      <c r="D331" s="52"/>
      <c r="E331" s="54" t="s">
        <v>574</v>
      </c>
      <c r="F331" s="53"/>
      <c r="G331" s="53"/>
      <c r="H331" s="53"/>
      <c r="O331" s="14">
        <v>10705061</v>
      </c>
    </row>
    <row r="332" spans="1:15" x14ac:dyDescent="0.2">
      <c r="A332" s="18"/>
      <c r="B332" s="18"/>
      <c r="C332" s="52"/>
      <c r="D332" s="52"/>
      <c r="E332" s="54" t="s">
        <v>575</v>
      </c>
      <c r="F332" s="53"/>
      <c r="G332" s="53"/>
      <c r="H332" s="53"/>
      <c r="O332" s="14">
        <v>10705062</v>
      </c>
    </row>
    <row r="333" spans="1:15" x14ac:dyDescent="0.2">
      <c r="A333" s="18"/>
      <c r="B333" s="18"/>
      <c r="C333" s="52"/>
      <c r="D333" s="52"/>
      <c r="E333" s="54" t="s">
        <v>576</v>
      </c>
      <c r="F333" s="53"/>
      <c r="G333" s="53"/>
      <c r="H333" s="53"/>
      <c r="O333" s="14">
        <v>10705070</v>
      </c>
    </row>
    <row r="334" spans="1:15" x14ac:dyDescent="0.2">
      <c r="A334" s="18"/>
      <c r="B334" s="18"/>
      <c r="C334" s="52"/>
      <c r="D334" s="52"/>
      <c r="E334" s="54" t="s">
        <v>577</v>
      </c>
      <c r="F334" s="53"/>
      <c r="G334" s="53"/>
      <c r="H334" s="53"/>
      <c r="O334" s="14">
        <v>10705071</v>
      </c>
    </row>
    <row r="335" spans="1:15" x14ac:dyDescent="0.2">
      <c r="A335" s="18"/>
      <c r="B335" s="18"/>
      <c r="C335" s="52"/>
      <c r="D335" s="52"/>
      <c r="E335" s="54" t="s">
        <v>578</v>
      </c>
      <c r="F335" s="53"/>
      <c r="G335" s="53"/>
      <c r="H335" s="53"/>
      <c r="O335" s="14">
        <v>10705072</v>
      </c>
    </row>
    <row r="336" spans="1:15" x14ac:dyDescent="0.2">
      <c r="A336" s="18"/>
      <c r="B336" s="18"/>
      <c r="C336" s="52"/>
      <c r="D336" s="52"/>
      <c r="E336" s="54" t="s">
        <v>579</v>
      </c>
      <c r="F336" s="53"/>
      <c r="G336" s="53"/>
      <c r="H336" s="53"/>
      <c r="O336" s="14">
        <v>10705080</v>
      </c>
    </row>
    <row r="337" spans="1:15" x14ac:dyDescent="0.2">
      <c r="A337" s="18"/>
      <c r="B337" s="18"/>
      <c r="C337" s="52"/>
      <c r="D337" s="52"/>
      <c r="E337" s="54" t="s">
        <v>580</v>
      </c>
      <c r="F337" s="53"/>
      <c r="G337" s="53"/>
      <c r="H337" s="53"/>
      <c r="O337" s="14">
        <v>10705081</v>
      </c>
    </row>
    <row r="338" spans="1:15" x14ac:dyDescent="0.2">
      <c r="A338" s="18"/>
      <c r="B338" s="18"/>
      <c r="C338" s="52"/>
      <c r="D338" s="52"/>
      <c r="E338" s="54" t="s">
        <v>581</v>
      </c>
      <c r="F338" s="53"/>
      <c r="G338" s="53"/>
      <c r="H338" s="53"/>
      <c r="O338" s="14">
        <v>10705082</v>
      </c>
    </row>
    <row r="339" spans="1:15" x14ac:dyDescent="0.2">
      <c r="A339" s="18"/>
      <c r="B339" s="18"/>
      <c r="C339" s="52"/>
      <c r="D339" s="52"/>
      <c r="E339" s="54" t="s">
        <v>582</v>
      </c>
      <c r="F339" s="53"/>
      <c r="G339" s="53"/>
      <c r="H339" s="53"/>
      <c r="O339" s="14">
        <v>10705090</v>
      </c>
    </row>
    <row r="340" spans="1:15" x14ac:dyDescent="0.2">
      <c r="A340" s="18"/>
      <c r="B340" s="18"/>
      <c r="C340" s="52"/>
      <c r="D340" s="52"/>
      <c r="E340" s="54" t="s">
        <v>583</v>
      </c>
      <c r="F340" s="53"/>
      <c r="G340" s="53"/>
      <c r="H340" s="53"/>
      <c r="O340" s="14">
        <v>10705091</v>
      </c>
    </row>
    <row r="341" spans="1:15" x14ac:dyDescent="0.2">
      <c r="A341" s="18"/>
      <c r="B341" s="18"/>
      <c r="C341" s="52"/>
      <c r="D341" s="52"/>
      <c r="E341" s="54" t="s">
        <v>584</v>
      </c>
      <c r="F341" s="53"/>
      <c r="G341" s="53"/>
      <c r="H341" s="53"/>
      <c r="O341" s="14">
        <v>10705092</v>
      </c>
    </row>
    <row r="342" spans="1:15" x14ac:dyDescent="0.2">
      <c r="A342" s="18"/>
      <c r="B342" s="18"/>
      <c r="C342" s="52"/>
      <c r="D342" s="52"/>
      <c r="E342" s="54" t="s">
        <v>585</v>
      </c>
      <c r="F342" s="53"/>
      <c r="G342" s="53"/>
      <c r="H342" s="53"/>
      <c r="O342" s="14">
        <v>10705100</v>
      </c>
    </row>
    <row r="343" spans="1:15" x14ac:dyDescent="0.2">
      <c r="A343" s="18"/>
      <c r="B343" s="18"/>
      <c r="C343" s="52"/>
      <c r="D343" s="52"/>
      <c r="E343" s="54" t="s">
        <v>586</v>
      </c>
      <c r="F343" s="53"/>
      <c r="G343" s="53"/>
      <c r="H343" s="53"/>
      <c r="O343" s="14">
        <v>10705101</v>
      </c>
    </row>
    <row r="344" spans="1:15" x14ac:dyDescent="0.2">
      <c r="A344" s="18"/>
      <c r="B344" s="18"/>
      <c r="C344" s="52"/>
      <c r="D344" s="52"/>
      <c r="E344" s="54" t="s">
        <v>587</v>
      </c>
      <c r="F344" s="53"/>
      <c r="G344" s="53"/>
      <c r="H344" s="53"/>
      <c r="O344" s="14">
        <v>10705102</v>
      </c>
    </row>
    <row r="345" spans="1:15" x14ac:dyDescent="0.2">
      <c r="A345" s="18"/>
      <c r="B345" s="18"/>
      <c r="C345" s="52"/>
      <c r="D345" s="52"/>
      <c r="E345" s="54" t="s">
        <v>588</v>
      </c>
      <c r="F345" s="53"/>
      <c r="G345" s="53"/>
      <c r="H345" s="53"/>
      <c r="O345" s="14">
        <v>10705110</v>
      </c>
    </row>
    <row r="346" spans="1:15" x14ac:dyDescent="0.2">
      <c r="A346" s="18"/>
      <c r="B346" s="18"/>
      <c r="C346" s="52"/>
      <c r="D346" s="52"/>
      <c r="E346" s="54" t="s">
        <v>589</v>
      </c>
      <c r="F346" s="53"/>
      <c r="G346" s="53"/>
      <c r="H346" s="53"/>
      <c r="O346" s="14">
        <v>10705111</v>
      </c>
    </row>
    <row r="347" spans="1:15" x14ac:dyDescent="0.2">
      <c r="A347" s="18"/>
      <c r="B347" s="18"/>
      <c r="C347" s="52"/>
      <c r="D347" s="52"/>
      <c r="E347" s="54" t="s">
        <v>590</v>
      </c>
      <c r="F347" s="53"/>
      <c r="G347" s="53"/>
      <c r="H347" s="53"/>
      <c r="O347" s="14">
        <v>10705112</v>
      </c>
    </row>
    <row r="348" spans="1:15" x14ac:dyDescent="0.2">
      <c r="A348" s="18"/>
      <c r="B348" s="18"/>
      <c r="C348" s="52"/>
      <c r="D348" s="52"/>
      <c r="E348" s="54" t="s">
        <v>591</v>
      </c>
      <c r="F348" s="53"/>
      <c r="G348" s="53"/>
      <c r="H348" s="53"/>
      <c r="O348" s="14">
        <v>10705120</v>
      </c>
    </row>
    <row r="349" spans="1:15" x14ac:dyDescent="0.2">
      <c r="A349" s="18"/>
      <c r="B349" s="18"/>
      <c r="C349" s="52"/>
      <c r="D349" s="52"/>
      <c r="E349" s="54" t="s">
        <v>592</v>
      </c>
      <c r="F349" s="53"/>
      <c r="G349" s="53"/>
      <c r="H349" s="53"/>
      <c r="O349" s="14">
        <v>10705121</v>
      </c>
    </row>
    <row r="350" spans="1:15" x14ac:dyDescent="0.2">
      <c r="A350" s="18"/>
      <c r="B350" s="18"/>
      <c r="C350" s="52"/>
      <c r="D350" s="52"/>
      <c r="E350" s="54" t="s">
        <v>593</v>
      </c>
      <c r="F350" s="53"/>
      <c r="G350" s="53"/>
      <c r="H350" s="53"/>
      <c r="O350" s="14">
        <v>10705122</v>
      </c>
    </row>
    <row r="351" spans="1:15" x14ac:dyDescent="0.2">
      <c r="A351" s="18"/>
      <c r="B351" s="18"/>
      <c r="C351" s="52"/>
      <c r="D351" s="52"/>
      <c r="E351" s="54" t="s">
        <v>594</v>
      </c>
      <c r="F351" s="53"/>
      <c r="G351" s="53"/>
      <c r="H351" s="53"/>
      <c r="O351" s="14">
        <v>10705130</v>
      </c>
    </row>
    <row r="352" spans="1:15" x14ac:dyDescent="0.2">
      <c r="A352" s="18"/>
      <c r="B352" s="18"/>
      <c r="C352" s="52"/>
      <c r="D352" s="52"/>
      <c r="E352" s="54" t="s">
        <v>595</v>
      </c>
      <c r="F352" s="53"/>
      <c r="G352" s="53"/>
      <c r="H352" s="53"/>
      <c r="O352" s="14">
        <v>10705131</v>
      </c>
    </row>
    <row r="353" spans="1:15" x14ac:dyDescent="0.2">
      <c r="A353" s="18"/>
      <c r="B353" s="18"/>
      <c r="C353" s="52"/>
      <c r="D353" s="52"/>
      <c r="E353" s="54" t="s">
        <v>596</v>
      </c>
      <c r="F353" s="53"/>
      <c r="G353" s="53"/>
      <c r="H353" s="53"/>
      <c r="O353" s="14">
        <v>10705132</v>
      </c>
    </row>
    <row r="354" spans="1:15" x14ac:dyDescent="0.2">
      <c r="A354" s="18"/>
      <c r="B354" s="18"/>
      <c r="C354" s="52"/>
      <c r="D354" s="52"/>
      <c r="E354" s="54" t="s">
        <v>597</v>
      </c>
      <c r="F354" s="53"/>
      <c r="G354" s="53"/>
      <c r="H354" s="53"/>
      <c r="O354" s="14">
        <v>10705140</v>
      </c>
    </row>
    <row r="355" spans="1:15" x14ac:dyDescent="0.2">
      <c r="A355" s="18"/>
      <c r="B355" s="18"/>
      <c r="C355" s="52"/>
      <c r="D355" s="52"/>
      <c r="E355" s="54" t="s">
        <v>598</v>
      </c>
      <c r="F355" s="53"/>
      <c r="G355" s="53"/>
      <c r="H355" s="53"/>
      <c r="O355" s="14">
        <v>10705141</v>
      </c>
    </row>
    <row r="356" spans="1:15" x14ac:dyDescent="0.2">
      <c r="A356" s="18"/>
      <c r="B356" s="18"/>
      <c r="C356" s="52"/>
      <c r="D356" s="52"/>
      <c r="E356" s="54" t="s">
        <v>599</v>
      </c>
      <c r="F356" s="53"/>
      <c r="G356" s="53"/>
      <c r="H356" s="53"/>
      <c r="O356" s="14">
        <v>10705142</v>
      </c>
    </row>
    <row r="357" spans="1:15" x14ac:dyDescent="0.2">
      <c r="A357" s="18"/>
      <c r="B357" s="18"/>
      <c r="C357" s="52"/>
      <c r="D357" s="52"/>
      <c r="E357" s="54" t="s">
        <v>600</v>
      </c>
      <c r="F357" s="53"/>
      <c r="G357" s="53"/>
      <c r="H357" s="53"/>
      <c r="O357" s="14">
        <v>10705990</v>
      </c>
    </row>
    <row r="358" spans="1:15" x14ac:dyDescent="0.2">
      <c r="A358" s="18"/>
      <c r="B358" s="18"/>
      <c r="C358" s="52"/>
      <c r="D358" s="52"/>
      <c r="E358" s="54" t="s">
        <v>601</v>
      </c>
      <c r="F358" s="53"/>
      <c r="G358" s="53"/>
      <c r="H358" s="53"/>
      <c r="O358" s="14">
        <v>10705991</v>
      </c>
    </row>
    <row r="359" spans="1:15" x14ac:dyDescent="0.2">
      <c r="A359" s="18"/>
      <c r="B359" s="18"/>
      <c r="C359" s="52"/>
      <c r="D359" s="52"/>
      <c r="E359" s="54" t="s">
        <v>602</v>
      </c>
      <c r="F359" s="53"/>
      <c r="G359" s="53"/>
      <c r="H359" s="53"/>
      <c r="O359" s="14">
        <v>10705992</v>
      </c>
    </row>
    <row r="360" spans="1:15" x14ac:dyDescent="0.2">
      <c r="A360" s="18"/>
      <c r="B360" s="18"/>
      <c r="C360" s="52"/>
      <c r="D360" s="52" t="s">
        <v>603</v>
      </c>
      <c r="E360" s="52"/>
      <c r="F360" s="60"/>
      <c r="G360" s="60"/>
      <c r="H360" s="60"/>
    </row>
    <row r="361" spans="1:15" x14ac:dyDescent="0.2">
      <c r="A361" s="26"/>
      <c r="B361" s="26"/>
      <c r="C361" s="54"/>
      <c r="D361" s="54"/>
      <c r="E361" s="54" t="s">
        <v>604</v>
      </c>
      <c r="F361" s="53"/>
      <c r="G361" s="53"/>
      <c r="H361" s="53"/>
      <c r="O361" s="14">
        <v>10706010</v>
      </c>
    </row>
    <row r="362" spans="1:15" x14ac:dyDescent="0.2">
      <c r="A362" s="26"/>
      <c r="B362" s="26"/>
      <c r="C362" s="54"/>
      <c r="D362" s="54"/>
      <c r="E362" s="54" t="s">
        <v>605</v>
      </c>
      <c r="F362" s="53"/>
      <c r="G362" s="53"/>
      <c r="H362" s="53"/>
      <c r="O362" s="14">
        <v>10706011</v>
      </c>
    </row>
    <row r="363" spans="1:15" x14ac:dyDescent="0.2">
      <c r="A363" s="26"/>
      <c r="B363" s="26"/>
      <c r="C363" s="54"/>
      <c r="D363" s="54"/>
      <c r="E363" s="54" t="s">
        <v>606</v>
      </c>
      <c r="F363" s="53"/>
      <c r="G363" s="53"/>
      <c r="H363" s="53"/>
      <c r="O363" s="14">
        <v>10706012</v>
      </c>
    </row>
    <row r="364" spans="1:15" x14ac:dyDescent="0.2">
      <c r="A364" s="26"/>
      <c r="B364" s="26"/>
      <c r="C364" s="54"/>
      <c r="D364" s="54"/>
      <c r="E364" s="54" t="s">
        <v>607</v>
      </c>
      <c r="F364" s="53"/>
      <c r="G364" s="53"/>
      <c r="H364" s="53"/>
      <c r="O364" s="14">
        <v>10706020</v>
      </c>
    </row>
    <row r="365" spans="1:15" x14ac:dyDescent="0.2">
      <c r="A365" s="26"/>
      <c r="B365" s="26"/>
      <c r="C365" s="54"/>
      <c r="D365" s="54"/>
      <c r="E365" s="54" t="s">
        <v>608</v>
      </c>
      <c r="F365" s="53"/>
      <c r="G365" s="53"/>
      <c r="H365" s="53"/>
      <c r="O365" s="14">
        <v>10706021</v>
      </c>
    </row>
    <row r="366" spans="1:15" x14ac:dyDescent="0.2">
      <c r="A366" s="26"/>
      <c r="B366" s="26"/>
      <c r="C366" s="54"/>
      <c r="D366" s="54"/>
      <c r="E366" s="54" t="s">
        <v>609</v>
      </c>
      <c r="F366" s="53"/>
      <c r="G366" s="53"/>
      <c r="H366" s="53"/>
      <c r="O366" s="14">
        <v>10706022</v>
      </c>
    </row>
    <row r="367" spans="1:15" x14ac:dyDescent="0.2">
      <c r="A367" s="26"/>
      <c r="B367" s="26"/>
      <c r="C367" s="54"/>
      <c r="D367" s="54"/>
      <c r="E367" s="54" t="s">
        <v>610</v>
      </c>
      <c r="F367" s="53"/>
      <c r="G367" s="53"/>
      <c r="H367" s="53"/>
      <c r="O367" s="14">
        <v>10706030</v>
      </c>
    </row>
    <row r="368" spans="1:15" x14ac:dyDescent="0.2">
      <c r="A368" s="26"/>
      <c r="B368" s="26"/>
      <c r="C368" s="54"/>
      <c r="D368" s="54"/>
      <c r="E368" s="54" t="s">
        <v>611</v>
      </c>
      <c r="F368" s="53"/>
      <c r="G368" s="53"/>
      <c r="H368" s="53"/>
      <c r="O368" s="14">
        <v>10706031</v>
      </c>
    </row>
    <row r="369" spans="1:15" x14ac:dyDescent="0.2">
      <c r="A369" s="26"/>
      <c r="B369" s="26"/>
      <c r="C369" s="54"/>
      <c r="D369" s="54"/>
      <c r="E369" s="54" t="s">
        <v>612</v>
      </c>
      <c r="F369" s="53"/>
      <c r="G369" s="53"/>
      <c r="H369" s="53"/>
      <c r="O369" s="14">
        <v>10706032</v>
      </c>
    </row>
    <row r="370" spans="1:15" x14ac:dyDescent="0.2">
      <c r="A370" s="26"/>
      <c r="B370" s="26"/>
      <c r="C370" s="54"/>
      <c r="D370" s="54"/>
      <c r="E370" s="54" t="s">
        <v>613</v>
      </c>
      <c r="F370" s="53"/>
      <c r="G370" s="53"/>
      <c r="H370" s="53"/>
      <c r="O370" s="14">
        <v>10706040</v>
      </c>
    </row>
    <row r="371" spans="1:15" x14ac:dyDescent="0.2">
      <c r="A371" s="26"/>
      <c r="B371" s="26"/>
      <c r="C371" s="54"/>
      <c r="D371" s="54"/>
      <c r="E371" s="54" t="s">
        <v>614</v>
      </c>
      <c r="F371" s="53"/>
      <c r="G371" s="53"/>
      <c r="H371" s="53"/>
      <c r="O371" s="14">
        <v>10706041</v>
      </c>
    </row>
    <row r="372" spans="1:15" x14ac:dyDescent="0.2">
      <c r="A372" s="26"/>
      <c r="B372" s="26"/>
      <c r="C372" s="54"/>
      <c r="D372" s="54"/>
      <c r="E372" s="54" t="s">
        <v>615</v>
      </c>
      <c r="F372" s="53"/>
      <c r="G372" s="53"/>
      <c r="H372" s="53"/>
      <c r="O372" s="14">
        <v>10706042</v>
      </c>
    </row>
    <row r="373" spans="1:15" x14ac:dyDescent="0.2">
      <c r="A373" s="26"/>
      <c r="B373" s="26"/>
      <c r="C373" s="54"/>
      <c r="D373" s="54"/>
      <c r="E373" s="54" t="s">
        <v>616</v>
      </c>
      <c r="F373" s="53"/>
      <c r="G373" s="53"/>
      <c r="H373" s="53"/>
      <c r="O373" s="14">
        <v>10706990</v>
      </c>
    </row>
    <row r="374" spans="1:15" x14ac:dyDescent="0.2">
      <c r="A374" s="26"/>
      <c r="B374" s="26"/>
      <c r="C374" s="54"/>
      <c r="D374" s="54"/>
      <c r="E374" s="54" t="s">
        <v>617</v>
      </c>
      <c r="F374" s="53"/>
      <c r="G374" s="53"/>
      <c r="H374" s="53"/>
      <c r="O374" s="14">
        <v>10706991</v>
      </c>
    </row>
    <row r="375" spans="1:15" x14ac:dyDescent="0.2">
      <c r="A375" s="26"/>
      <c r="B375" s="26"/>
      <c r="C375" s="54"/>
      <c r="D375" s="54"/>
      <c r="E375" s="54" t="s">
        <v>618</v>
      </c>
      <c r="F375" s="53"/>
      <c r="G375" s="53"/>
      <c r="H375" s="53"/>
      <c r="O375" s="14">
        <v>10706992</v>
      </c>
    </row>
    <row r="376" spans="1:15" x14ac:dyDescent="0.2">
      <c r="A376" s="18"/>
      <c r="B376" s="18"/>
      <c r="C376" s="64"/>
      <c r="D376" s="52" t="s">
        <v>619</v>
      </c>
      <c r="E376" s="52"/>
      <c r="F376" s="53"/>
      <c r="G376" s="53"/>
      <c r="H376" s="53"/>
    </row>
    <row r="377" spans="1:15" ht="15" x14ac:dyDescent="0.25">
      <c r="A377" s="18"/>
      <c r="B377" s="18"/>
      <c r="C377" s="61"/>
      <c r="D377" s="52"/>
      <c r="E377" s="54" t="s">
        <v>620</v>
      </c>
      <c r="F377" s="53"/>
      <c r="G377" s="53"/>
      <c r="H377" s="53"/>
      <c r="O377" s="14">
        <v>10707010</v>
      </c>
    </row>
    <row r="378" spans="1:15" ht="15" x14ac:dyDescent="0.25">
      <c r="A378" s="18"/>
      <c r="B378" s="18"/>
      <c r="C378" s="61"/>
      <c r="D378" s="52"/>
      <c r="E378" s="54" t="s">
        <v>621</v>
      </c>
      <c r="F378" s="53"/>
      <c r="G378" s="53"/>
      <c r="H378" s="53"/>
      <c r="O378" s="14">
        <v>10707011</v>
      </c>
    </row>
    <row r="379" spans="1:15" ht="15" x14ac:dyDescent="0.25">
      <c r="A379" s="18"/>
      <c r="B379" s="18"/>
      <c r="C379" s="61"/>
      <c r="D379" s="52"/>
      <c r="E379" s="54" t="s">
        <v>622</v>
      </c>
      <c r="F379" s="53"/>
      <c r="G379" s="53"/>
      <c r="H379" s="53"/>
      <c r="O379" s="14">
        <v>10707012</v>
      </c>
    </row>
    <row r="380" spans="1:15" ht="15" x14ac:dyDescent="0.25">
      <c r="A380" s="18"/>
      <c r="B380" s="18"/>
      <c r="C380" s="61"/>
      <c r="D380" s="52"/>
      <c r="E380" s="54" t="s">
        <v>623</v>
      </c>
      <c r="F380" s="53"/>
      <c r="G380" s="53"/>
      <c r="H380" s="53"/>
      <c r="O380" s="14">
        <v>10707020</v>
      </c>
    </row>
    <row r="381" spans="1:15" ht="15" x14ac:dyDescent="0.25">
      <c r="A381" s="18"/>
      <c r="B381" s="18"/>
      <c r="C381" s="61"/>
      <c r="D381" s="52"/>
      <c r="E381" s="54" t="s">
        <v>624</v>
      </c>
      <c r="F381" s="53"/>
      <c r="G381" s="53"/>
      <c r="H381" s="53"/>
      <c r="O381" s="14">
        <v>10707021</v>
      </c>
    </row>
    <row r="382" spans="1:15" x14ac:dyDescent="0.2">
      <c r="A382" s="26"/>
      <c r="B382" s="26"/>
      <c r="C382" s="54"/>
      <c r="D382" s="54"/>
      <c r="E382" s="54" t="s">
        <v>625</v>
      </c>
      <c r="F382" s="53"/>
      <c r="G382" s="53"/>
      <c r="H382" s="53"/>
      <c r="O382" s="14">
        <v>10707022</v>
      </c>
    </row>
    <row r="383" spans="1:15" x14ac:dyDescent="0.2">
      <c r="A383" s="18"/>
      <c r="B383" s="18"/>
      <c r="C383" s="52"/>
      <c r="D383" s="52" t="s">
        <v>626</v>
      </c>
      <c r="E383" s="52"/>
      <c r="F383" s="60"/>
      <c r="G383" s="60"/>
      <c r="H383" s="60"/>
    </row>
    <row r="384" spans="1:15" x14ac:dyDescent="0.2">
      <c r="A384" s="26"/>
      <c r="B384" s="26"/>
      <c r="C384" s="54"/>
      <c r="D384" s="54"/>
      <c r="E384" s="54" t="s">
        <v>627</v>
      </c>
      <c r="F384" s="53"/>
      <c r="G384" s="53"/>
      <c r="H384" s="53"/>
      <c r="O384" s="14">
        <v>10708010</v>
      </c>
    </row>
    <row r="385" spans="1:15" x14ac:dyDescent="0.2">
      <c r="A385" s="26"/>
      <c r="B385" s="26"/>
      <c r="C385" s="54"/>
      <c r="D385" s="54"/>
      <c r="E385" s="54" t="s">
        <v>628</v>
      </c>
      <c r="F385" s="53"/>
      <c r="G385" s="53"/>
      <c r="H385" s="53"/>
      <c r="O385" s="14">
        <v>10708011</v>
      </c>
    </row>
    <row r="386" spans="1:15" x14ac:dyDescent="0.2">
      <c r="A386" s="26"/>
      <c r="B386" s="26"/>
      <c r="C386" s="54"/>
      <c r="D386" s="54"/>
      <c r="E386" s="54" t="s">
        <v>629</v>
      </c>
      <c r="F386" s="53"/>
      <c r="G386" s="53"/>
      <c r="H386" s="53"/>
      <c r="O386" s="14">
        <v>10708020</v>
      </c>
    </row>
    <row r="387" spans="1:15" x14ac:dyDescent="0.2">
      <c r="A387" s="26"/>
      <c r="B387" s="26"/>
      <c r="C387" s="54"/>
      <c r="D387" s="54"/>
      <c r="E387" s="54" t="s">
        <v>630</v>
      </c>
      <c r="F387" s="53"/>
      <c r="G387" s="53"/>
      <c r="H387" s="53"/>
      <c r="O387" s="14">
        <v>10708021</v>
      </c>
    </row>
    <row r="388" spans="1:15" x14ac:dyDescent="0.2">
      <c r="A388" s="26"/>
      <c r="B388" s="26"/>
      <c r="C388" s="54"/>
      <c r="D388" s="54"/>
      <c r="E388" s="54" t="s">
        <v>631</v>
      </c>
      <c r="F388" s="53"/>
      <c r="G388" s="53"/>
      <c r="H388" s="53"/>
      <c r="O388" s="14">
        <v>10708022</v>
      </c>
    </row>
    <row r="389" spans="1:15" x14ac:dyDescent="0.2">
      <c r="A389" s="26"/>
      <c r="B389" s="26"/>
      <c r="C389" s="54"/>
      <c r="D389" s="54"/>
      <c r="E389" s="54" t="s">
        <v>632</v>
      </c>
      <c r="F389" s="53"/>
      <c r="G389" s="53"/>
      <c r="H389" s="53"/>
      <c r="O389" s="14">
        <v>10708030</v>
      </c>
    </row>
    <row r="390" spans="1:15" x14ac:dyDescent="0.2">
      <c r="A390" s="26"/>
      <c r="B390" s="26"/>
      <c r="C390" s="54"/>
      <c r="D390" s="54"/>
      <c r="E390" s="54" t="s">
        <v>633</v>
      </c>
      <c r="F390" s="53"/>
      <c r="G390" s="53"/>
      <c r="H390" s="53"/>
      <c r="O390" s="14">
        <v>10708031</v>
      </c>
    </row>
    <row r="391" spans="1:15" x14ac:dyDescent="0.2">
      <c r="A391" s="26"/>
      <c r="B391" s="26"/>
      <c r="C391" s="54"/>
      <c r="D391" s="54"/>
      <c r="E391" s="54" t="s">
        <v>634</v>
      </c>
      <c r="F391" s="53"/>
      <c r="G391" s="53"/>
      <c r="H391" s="53"/>
      <c r="O391" s="14">
        <v>10708032</v>
      </c>
    </row>
    <row r="392" spans="1:15" x14ac:dyDescent="0.2">
      <c r="A392" s="26"/>
      <c r="B392" s="26"/>
      <c r="C392" s="54"/>
      <c r="D392" s="54"/>
      <c r="E392" s="54" t="s">
        <v>635</v>
      </c>
      <c r="F392" s="53"/>
      <c r="G392" s="53"/>
      <c r="H392" s="53"/>
      <c r="O392" s="14">
        <v>10708040</v>
      </c>
    </row>
    <row r="393" spans="1:15" x14ac:dyDescent="0.2">
      <c r="A393" s="26"/>
      <c r="B393" s="26"/>
      <c r="C393" s="54"/>
      <c r="D393" s="54"/>
      <c r="E393" s="54" t="s">
        <v>636</v>
      </c>
      <c r="F393" s="53"/>
      <c r="G393" s="53"/>
      <c r="H393" s="53"/>
      <c r="O393" s="14">
        <v>10708041</v>
      </c>
    </row>
    <row r="394" spans="1:15" x14ac:dyDescent="0.2">
      <c r="A394" s="26"/>
      <c r="B394" s="26"/>
      <c r="C394" s="54"/>
      <c r="D394" s="54"/>
      <c r="E394" s="54" t="s">
        <v>637</v>
      </c>
      <c r="F394" s="53"/>
      <c r="G394" s="53"/>
      <c r="H394" s="53"/>
      <c r="O394" s="14">
        <v>10708042</v>
      </c>
    </row>
    <row r="395" spans="1:15" x14ac:dyDescent="0.2">
      <c r="A395" s="26"/>
      <c r="B395" s="26"/>
      <c r="C395" s="54"/>
      <c r="D395" s="54"/>
      <c r="E395" s="54" t="s">
        <v>638</v>
      </c>
      <c r="F395" s="53"/>
      <c r="G395" s="53"/>
      <c r="H395" s="53"/>
      <c r="O395" s="14">
        <v>10708990</v>
      </c>
    </row>
    <row r="396" spans="1:15" x14ac:dyDescent="0.2">
      <c r="A396" s="26"/>
      <c r="B396" s="26"/>
      <c r="C396" s="54"/>
      <c r="D396" s="54"/>
      <c r="E396" s="54" t="s">
        <v>639</v>
      </c>
      <c r="F396" s="53"/>
      <c r="G396" s="53"/>
      <c r="H396" s="53"/>
      <c r="O396" s="14">
        <v>10708991</v>
      </c>
    </row>
    <row r="397" spans="1:15" x14ac:dyDescent="0.2">
      <c r="A397" s="26"/>
      <c r="B397" s="26"/>
      <c r="C397" s="54"/>
      <c r="D397" s="54"/>
      <c r="E397" s="54" t="s">
        <v>640</v>
      </c>
      <c r="F397" s="53"/>
      <c r="G397" s="53"/>
      <c r="H397" s="53"/>
      <c r="O397" s="14">
        <v>10708992</v>
      </c>
    </row>
    <row r="398" spans="1:15" x14ac:dyDescent="0.2">
      <c r="A398" s="18"/>
      <c r="B398" s="18"/>
      <c r="C398" s="52"/>
      <c r="D398" s="52" t="s">
        <v>641</v>
      </c>
      <c r="E398" s="52"/>
      <c r="F398" s="60"/>
      <c r="G398" s="60"/>
      <c r="H398" s="60"/>
    </row>
    <row r="399" spans="1:15" x14ac:dyDescent="0.2">
      <c r="A399" s="26"/>
      <c r="B399" s="26"/>
      <c r="C399" s="54"/>
      <c r="D399" s="54"/>
      <c r="E399" s="54" t="s">
        <v>642</v>
      </c>
      <c r="F399" s="53"/>
      <c r="G399" s="53"/>
      <c r="H399" s="53"/>
      <c r="O399" s="14">
        <v>10709010</v>
      </c>
    </row>
    <row r="400" spans="1:15" x14ac:dyDescent="0.2">
      <c r="A400" s="26"/>
      <c r="B400" s="26"/>
      <c r="C400" s="54"/>
      <c r="D400" s="54"/>
      <c r="E400" s="54" t="s">
        <v>643</v>
      </c>
      <c r="F400" s="53"/>
      <c r="G400" s="53"/>
      <c r="H400" s="53"/>
      <c r="O400" s="14">
        <v>10709011</v>
      </c>
    </row>
    <row r="401" spans="1:15" x14ac:dyDescent="0.2">
      <c r="A401" s="26"/>
      <c r="B401" s="26"/>
      <c r="C401" s="54"/>
      <c r="D401" s="54"/>
      <c r="E401" s="54" t="s">
        <v>644</v>
      </c>
      <c r="F401" s="53"/>
      <c r="G401" s="53"/>
      <c r="H401" s="53"/>
      <c r="O401" s="14">
        <v>10709012</v>
      </c>
    </row>
    <row r="402" spans="1:15" x14ac:dyDescent="0.2">
      <c r="A402" s="26"/>
      <c r="B402" s="26"/>
      <c r="C402" s="54"/>
      <c r="D402" s="54"/>
      <c r="E402" s="54" t="s">
        <v>645</v>
      </c>
      <c r="F402" s="53"/>
      <c r="G402" s="53"/>
      <c r="H402" s="53"/>
      <c r="O402" s="14">
        <v>10709020</v>
      </c>
    </row>
    <row r="403" spans="1:15" x14ac:dyDescent="0.2">
      <c r="A403" s="26"/>
      <c r="B403" s="26"/>
      <c r="C403" s="54"/>
      <c r="D403" s="54"/>
      <c r="E403" s="54" t="s">
        <v>646</v>
      </c>
      <c r="F403" s="53"/>
      <c r="G403" s="53"/>
      <c r="H403" s="53"/>
      <c r="O403" s="14">
        <v>10709021</v>
      </c>
    </row>
    <row r="404" spans="1:15" x14ac:dyDescent="0.2">
      <c r="A404" s="26"/>
      <c r="B404" s="26"/>
      <c r="C404" s="54"/>
      <c r="D404" s="54"/>
      <c r="E404" s="54" t="s">
        <v>647</v>
      </c>
      <c r="F404" s="53"/>
      <c r="G404" s="53"/>
      <c r="H404" s="53"/>
      <c r="O404" s="14">
        <v>10709022</v>
      </c>
    </row>
    <row r="405" spans="1:15" x14ac:dyDescent="0.2">
      <c r="A405" s="26"/>
      <c r="B405" s="26"/>
      <c r="C405" s="54"/>
      <c r="D405" s="54"/>
      <c r="E405" s="54" t="s">
        <v>648</v>
      </c>
      <c r="F405" s="53"/>
      <c r="G405" s="53"/>
      <c r="H405" s="53"/>
      <c r="O405" s="14">
        <v>10709990</v>
      </c>
    </row>
    <row r="406" spans="1:15" x14ac:dyDescent="0.2">
      <c r="A406" s="26"/>
      <c r="B406" s="26"/>
      <c r="C406" s="54"/>
      <c r="D406" s="54"/>
      <c r="E406" s="54" t="s">
        <v>649</v>
      </c>
      <c r="F406" s="53"/>
      <c r="G406" s="53"/>
      <c r="H406" s="53"/>
      <c r="O406" s="14">
        <v>10709991</v>
      </c>
    </row>
    <row r="407" spans="1:15" x14ac:dyDescent="0.2">
      <c r="A407" s="26"/>
      <c r="B407" s="26"/>
      <c r="C407" s="54"/>
      <c r="D407" s="54"/>
      <c r="E407" s="54" t="s">
        <v>650</v>
      </c>
      <c r="F407" s="53"/>
      <c r="G407" s="53"/>
      <c r="H407" s="53"/>
      <c r="O407" s="14">
        <v>10709992</v>
      </c>
    </row>
    <row r="408" spans="1:15" x14ac:dyDescent="0.2">
      <c r="A408" s="18"/>
      <c r="B408" s="18"/>
      <c r="C408" s="52"/>
      <c r="D408" s="52" t="s">
        <v>651</v>
      </c>
      <c r="E408" s="52"/>
      <c r="F408" s="60"/>
      <c r="G408" s="60"/>
      <c r="H408" s="60"/>
    </row>
    <row r="409" spans="1:15" x14ac:dyDescent="0.2">
      <c r="A409" s="26"/>
      <c r="B409" s="26"/>
      <c r="C409" s="54"/>
      <c r="D409" s="54"/>
      <c r="E409" s="54" t="s">
        <v>652</v>
      </c>
      <c r="F409" s="53"/>
      <c r="G409" s="53"/>
      <c r="H409" s="53"/>
      <c r="O409" s="14">
        <v>10710010</v>
      </c>
    </row>
    <row r="410" spans="1:15" x14ac:dyDescent="0.2">
      <c r="A410" s="26"/>
      <c r="B410" s="26"/>
      <c r="C410" s="54"/>
      <c r="D410" s="54"/>
      <c r="E410" s="54" t="s">
        <v>653</v>
      </c>
      <c r="F410" s="53"/>
      <c r="G410" s="53"/>
      <c r="H410" s="53"/>
      <c r="O410" s="14">
        <v>10710020</v>
      </c>
    </row>
    <row r="411" spans="1:15" x14ac:dyDescent="0.2">
      <c r="A411" s="26"/>
      <c r="B411" s="26"/>
      <c r="C411" s="54"/>
      <c r="D411" s="54"/>
      <c r="E411" s="54" t="s">
        <v>654</v>
      </c>
      <c r="F411" s="53"/>
      <c r="G411" s="53"/>
      <c r="H411" s="53"/>
      <c r="O411" s="14">
        <v>10710030</v>
      </c>
    </row>
    <row r="412" spans="1:15" x14ac:dyDescent="0.2">
      <c r="A412" s="26"/>
      <c r="B412" s="26"/>
      <c r="C412" s="54"/>
      <c r="D412" s="54"/>
      <c r="E412" s="54" t="s">
        <v>655</v>
      </c>
      <c r="F412" s="53"/>
      <c r="G412" s="53"/>
      <c r="H412" s="53"/>
      <c r="O412" s="14">
        <v>10710040</v>
      </c>
    </row>
    <row r="413" spans="1:15" x14ac:dyDescent="0.2">
      <c r="A413" s="26"/>
      <c r="B413" s="26"/>
      <c r="C413" s="54"/>
      <c r="D413" s="54"/>
      <c r="E413" s="54" t="s">
        <v>656</v>
      </c>
      <c r="F413" s="53"/>
      <c r="G413" s="53"/>
      <c r="H413" s="53"/>
      <c r="O413" s="14">
        <v>10710050</v>
      </c>
    </row>
    <row r="414" spans="1:15" x14ac:dyDescent="0.2">
      <c r="A414" s="26"/>
      <c r="B414" s="26"/>
      <c r="C414" s="54"/>
      <c r="D414" s="52" t="s">
        <v>657</v>
      </c>
      <c r="E414" s="54"/>
      <c r="F414" s="60"/>
      <c r="G414" s="60"/>
      <c r="H414" s="60"/>
    </row>
    <row r="415" spans="1:15" x14ac:dyDescent="0.2">
      <c r="A415" s="26"/>
      <c r="B415" s="26"/>
      <c r="C415" s="54"/>
      <c r="D415" s="54"/>
      <c r="E415" s="54" t="s">
        <v>657</v>
      </c>
      <c r="F415" s="53"/>
      <c r="G415" s="53"/>
      <c r="H415" s="53"/>
      <c r="O415" s="14">
        <v>10711010</v>
      </c>
    </row>
    <row r="416" spans="1:15" x14ac:dyDescent="0.2">
      <c r="A416" s="26"/>
      <c r="B416" s="26"/>
      <c r="C416" s="54"/>
      <c r="D416" s="54"/>
      <c r="E416" s="54" t="s">
        <v>658</v>
      </c>
      <c r="F416" s="53"/>
      <c r="G416" s="53"/>
      <c r="H416" s="53"/>
      <c r="O416" s="14">
        <v>10711011</v>
      </c>
    </row>
    <row r="417" spans="1:15" x14ac:dyDescent="0.2">
      <c r="A417" s="26"/>
      <c r="B417" s="26"/>
      <c r="C417" s="54"/>
      <c r="D417" s="54"/>
      <c r="E417" s="54" t="s">
        <v>659</v>
      </c>
      <c r="F417" s="53">
        <v>0</v>
      </c>
      <c r="G417" s="53">
        <v>0</v>
      </c>
      <c r="H417" s="53"/>
      <c r="O417" s="14">
        <v>10711012</v>
      </c>
    </row>
    <row r="418" spans="1:15" x14ac:dyDescent="0.2">
      <c r="A418" s="26"/>
      <c r="B418" s="26"/>
      <c r="C418" s="54"/>
      <c r="D418" s="52" t="s">
        <v>660</v>
      </c>
      <c r="E418" s="54"/>
      <c r="F418" s="60"/>
      <c r="G418" s="60"/>
      <c r="H418" s="60"/>
    </row>
    <row r="419" spans="1:15" x14ac:dyDescent="0.2">
      <c r="A419" s="26"/>
      <c r="B419" s="26"/>
      <c r="C419" s="54"/>
      <c r="D419" s="54"/>
      <c r="E419" s="54" t="s">
        <v>661</v>
      </c>
      <c r="F419" s="53"/>
      <c r="G419" s="53"/>
      <c r="H419" s="53"/>
      <c r="O419" s="14">
        <v>10799010</v>
      </c>
    </row>
    <row r="420" spans="1:15" x14ac:dyDescent="0.2">
      <c r="A420" s="26"/>
      <c r="B420" s="26"/>
      <c r="C420" s="54"/>
      <c r="D420" s="54"/>
      <c r="E420" s="54" t="s">
        <v>662</v>
      </c>
      <c r="F420" s="53"/>
      <c r="G420" s="53"/>
      <c r="H420" s="53"/>
      <c r="O420" s="14">
        <v>10799011</v>
      </c>
    </row>
    <row r="421" spans="1:15" x14ac:dyDescent="0.2">
      <c r="A421" s="26"/>
      <c r="B421" s="26"/>
      <c r="C421" s="54"/>
      <c r="D421" s="54"/>
      <c r="E421" s="54" t="s">
        <v>663</v>
      </c>
      <c r="F421" s="53"/>
      <c r="G421" s="53"/>
      <c r="H421" s="53"/>
      <c r="O421" s="14">
        <v>10799012</v>
      </c>
    </row>
    <row r="422" spans="1:15" x14ac:dyDescent="0.2">
      <c r="A422" s="26"/>
      <c r="B422" s="26"/>
      <c r="C422" s="54"/>
      <c r="D422" s="54"/>
      <c r="E422" s="54" t="s">
        <v>660</v>
      </c>
      <c r="F422" s="53"/>
      <c r="G422" s="53"/>
      <c r="H422" s="53"/>
      <c r="O422" s="14">
        <v>10799990</v>
      </c>
    </row>
    <row r="423" spans="1:15" x14ac:dyDescent="0.2">
      <c r="A423" s="26"/>
      <c r="B423" s="26"/>
      <c r="C423" s="54"/>
      <c r="D423" s="54"/>
      <c r="E423" s="54" t="s">
        <v>664</v>
      </c>
      <c r="F423" s="53"/>
      <c r="G423" s="53"/>
      <c r="H423" s="53"/>
      <c r="O423" s="14">
        <v>10799991</v>
      </c>
    </row>
    <row r="424" spans="1:15" x14ac:dyDescent="0.2">
      <c r="A424" s="26"/>
      <c r="B424" s="26"/>
      <c r="C424" s="54"/>
      <c r="D424" s="54"/>
      <c r="E424" s="54" t="s">
        <v>665</v>
      </c>
      <c r="F424" s="53"/>
      <c r="G424" s="53"/>
      <c r="H424" s="53"/>
      <c r="O424" s="14">
        <v>10799992</v>
      </c>
    </row>
    <row r="425" spans="1:15" x14ac:dyDescent="0.2">
      <c r="A425" s="18"/>
      <c r="B425" s="18"/>
      <c r="C425" s="52" t="s">
        <v>666</v>
      </c>
      <c r="D425" s="52"/>
      <c r="E425" s="52"/>
      <c r="F425" s="58">
        <f>SUM(F252:F424)</f>
        <v>0</v>
      </c>
      <c r="G425" s="58">
        <f>SUM(G252:G424)</f>
        <v>0</v>
      </c>
      <c r="H425" s="58">
        <f t="shared" ref="H425:J425" si="9">SUM(H252:H424)</f>
        <v>0</v>
      </c>
      <c r="I425" s="58">
        <f t="shared" si="9"/>
        <v>0</v>
      </c>
      <c r="J425" s="58">
        <f t="shared" si="9"/>
        <v>0</v>
      </c>
    </row>
    <row r="426" spans="1:15" x14ac:dyDescent="0.2">
      <c r="A426" s="18"/>
      <c r="B426" s="18"/>
      <c r="C426" s="52" t="s">
        <v>667</v>
      </c>
      <c r="D426" s="52"/>
      <c r="E426" s="52"/>
      <c r="F426" s="60"/>
      <c r="G426" s="60"/>
      <c r="H426" s="60"/>
    </row>
    <row r="427" spans="1:15" x14ac:dyDescent="0.2">
      <c r="A427" s="18"/>
      <c r="B427" s="18"/>
      <c r="C427" s="52"/>
      <c r="D427" s="52" t="s">
        <v>668</v>
      </c>
      <c r="E427" s="52"/>
      <c r="F427" s="60"/>
      <c r="G427" s="60"/>
      <c r="H427" s="60"/>
    </row>
    <row r="428" spans="1:15" x14ac:dyDescent="0.2">
      <c r="A428" s="26"/>
      <c r="B428" s="26"/>
      <c r="C428" s="54"/>
      <c r="D428" s="54"/>
      <c r="E428" s="54" t="s">
        <v>669</v>
      </c>
      <c r="F428" s="53"/>
      <c r="G428" s="53"/>
      <c r="H428" s="53"/>
      <c r="O428" s="14">
        <v>10801010</v>
      </c>
    </row>
    <row r="429" spans="1:15" x14ac:dyDescent="0.2">
      <c r="A429" s="26"/>
      <c r="B429" s="26"/>
      <c r="C429" s="54"/>
      <c r="D429" s="54"/>
      <c r="E429" s="54" t="s">
        <v>670</v>
      </c>
      <c r="F429" s="53"/>
      <c r="G429" s="53"/>
      <c r="H429" s="53"/>
      <c r="O429" s="14">
        <v>10801020</v>
      </c>
    </row>
    <row r="430" spans="1:15" x14ac:dyDescent="0.2">
      <c r="A430" s="26"/>
      <c r="B430" s="26"/>
      <c r="C430" s="54"/>
      <c r="D430" s="54"/>
      <c r="E430" s="54" t="s">
        <v>671</v>
      </c>
      <c r="F430" s="53"/>
      <c r="G430" s="53"/>
      <c r="H430" s="53"/>
      <c r="O430" s="14">
        <v>10801030</v>
      </c>
    </row>
    <row r="431" spans="1:15" x14ac:dyDescent="0.2">
      <c r="A431" s="26"/>
      <c r="B431" s="26"/>
      <c r="C431" s="54"/>
      <c r="D431" s="54"/>
      <c r="E431" s="54" t="s">
        <v>672</v>
      </c>
      <c r="F431" s="53"/>
      <c r="G431" s="53"/>
      <c r="H431" s="53"/>
      <c r="O431" s="14">
        <v>10801990</v>
      </c>
    </row>
    <row r="432" spans="1:15" x14ac:dyDescent="0.2">
      <c r="A432" s="26"/>
      <c r="B432" s="26"/>
      <c r="C432" s="55"/>
      <c r="D432" s="52" t="s">
        <v>673</v>
      </c>
      <c r="E432" s="54"/>
      <c r="F432" s="58">
        <f>SUM(F428:F431)</f>
        <v>0</v>
      </c>
      <c r="G432" s="58">
        <f>SUM(G428:G431)</f>
        <v>0</v>
      </c>
      <c r="H432" s="58">
        <f t="shared" ref="H432:J432" si="10">SUM(H428:H431)</f>
        <v>0</v>
      </c>
      <c r="I432" s="58">
        <f t="shared" si="10"/>
        <v>0</v>
      </c>
      <c r="J432" s="58">
        <f t="shared" si="10"/>
        <v>0</v>
      </c>
    </row>
    <row r="433" spans="1:15" x14ac:dyDescent="0.2">
      <c r="A433" s="26"/>
      <c r="B433" s="26"/>
      <c r="C433" s="52" t="s">
        <v>674</v>
      </c>
      <c r="D433" s="54"/>
      <c r="E433" s="54"/>
      <c r="F433" s="60"/>
      <c r="G433" s="60"/>
      <c r="H433" s="60"/>
    </row>
    <row r="434" spans="1:15" x14ac:dyDescent="0.2">
      <c r="A434" s="26"/>
      <c r="B434" s="26"/>
      <c r="C434" s="52"/>
      <c r="D434" s="52" t="s">
        <v>675</v>
      </c>
      <c r="E434" s="54"/>
      <c r="F434" s="60"/>
      <c r="G434" s="60"/>
      <c r="H434" s="60"/>
    </row>
    <row r="435" spans="1:15" x14ac:dyDescent="0.2">
      <c r="A435" s="26"/>
      <c r="B435" s="26"/>
      <c r="C435" s="52"/>
      <c r="D435" s="54"/>
      <c r="E435" s="54" t="s">
        <v>676</v>
      </c>
      <c r="F435" s="53">
        <v>0</v>
      </c>
      <c r="G435" s="53">
        <v>0</v>
      </c>
      <c r="H435" s="53"/>
      <c r="O435" s="14">
        <v>10901010</v>
      </c>
    </row>
    <row r="436" spans="1:15" x14ac:dyDescent="0.2">
      <c r="A436" s="26"/>
      <c r="B436" s="26"/>
      <c r="C436" s="52"/>
      <c r="D436" s="54"/>
      <c r="E436" s="54" t="s">
        <v>677</v>
      </c>
      <c r="F436" s="53">
        <v>0</v>
      </c>
      <c r="G436" s="53">
        <v>0</v>
      </c>
      <c r="H436" s="53"/>
      <c r="O436" s="14">
        <v>10901011</v>
      </c>
    </row>
    <row r="437" spans="1:15" x14ac:dyDescent="0.2">
      <c r="A437" s="26"/>
      <c r="B437" s="26"/>
      <c r="C437" s="52"/>
      <c r="D437" s="54"/>
      <c r="E437" s="54" t="s">
        <v>678</v>
      </c>
      <c r="F437" s="53">
        <v>0</v>
      </c>
      <c r="G437" s="53">
        <v>0</v>
      </c>
      <c r="H437" s="53"/>
      <c r="O437" s="14">
        <v>10901012</v>
      </c>
    </row>
    <row r="438" spans="1:15" x14ac:dyDescent="0.2">
      <c r="A438" s="26"/>
      <c r="B438" s="26"/>
      <c r="C438" s="52"/>
      <c r="D438" s="54"/>
      <c r="E438" s="54" t="s">
        <v>679</v>
      </c>
      <c r="F438" s="53">
        <v>0</v>
      </c>
      <c r="G438" s="53">
        <v>0</v>
      </c>
      <c r="H438" s="53"/>
      <c r="O438" s="14">
        <v>10901020</v>
      </c>
    </row>
    <row r="439" spans="1:15" x14ac:dyDescent="0.2">
      <c r="A439" s="26"/>
      <c r="B439" s="26"/>
      <c r="C439" s="52"/>
      <c r="D439" s="54"/>
      <c r="E439" s="54" t="s">
        <v>680</v>
      </c>
      <c r="F439" s="53">
        <v>0</v>
      </c>
      <c r="G439" s="53">
        <v>0</v>
      </c>
      <c r="H439" s="53"/>
      <c r="O439" s="14">
        <v>10901021</v>
      </c>
    </row>
    <row r="440" spans="1:15" x14ac:dyDescent="0.2">
      <c r="A440" s="26"/>
      <c r="B440" s="26"/>
      <c r="C440" s="52"/>
      <c r="D440" s="54"/>
      <c r="E440" s="54" t="s">
        <v>681</v>
      </c>
      <c r="F440" s="53">
        <v>0</v>
      </c>
      <c r="G440" s="53">
        <v>0</v>
      </c>
      <c r="H440" s="53"/>
      <c r="O440" s="14">
        <v>10901022</v>
      </c>
    </row>
    <row r="441" spans="1:15" x14ac:dyDescent="0.2">
      <c r="A441" s="26"/>
      <c r="B441" s="26"/>
      <c r="C441" s="52"/>
      <c r="D441" s="54"/>
      <c r="E441" s="54" t="s">
        <v>682</v>
      </c>
      <c r="F441" s="53">
        <v>0</v>
      </c>
      <c r="G441" s="53">
        <v>0</v>
      </c>
      <c r="H441" s="53"/>
      <c r="O441" s="14">
        <v>10901990</v>
      </c>
    </row>
    <row r="442" spans="1:15" x14ac:dyDescent="0.2">
      <c r="A442" s="26"/>
      <c r="B442" s="26"/>
      <c r="C442" s="52"/>
      <c r="D442" s="54"/>
      <c r="E442" s="54" t="s">
        <v>683</v>
      </c>
      <c r="F442" s="53">
        <v>0</v>
      </c>
      <c r="G442" s="53">
        <v>0</v>
      </c>
      <c r="H442" s="53"/>
      <c r="O442" s="14">
        <v>10901991</v>
      </c>
    </row>
    <row r="443" spans="1:15" x14ac:dyDescent="0.2">
      <c r="A443" s="26"/>
      <c r="B443" s="26"/>
      <c r="C443" s="52"/>
      <c r="D443" s="54"/>
      <c r="E443" s="54" t="s">
        <v>684</v>
      </c>
      <c r="F443" s="53">
        <v>0</v>
      </c>
      <c r="G443" s="53">
        <v>0</v>
      </c>
      <c r="H443" s="53"/>
      <c r="O443" s="14">
        <v>10901992</v>
      </c>
    </row>
    <row r="444" spans="1:15" x14ac:dyDescent="0.2">
      <c r="A444" s="26"/>
      <c r="B444" s="26"/>
      <c r="C444" s="52"/>
      <c r="D444" s="52" t="s">
        <v>657</v>
      </c>
      <c r="E444" s="54"/>
      <c r="F444" s="60"/>
      <c r="G444" s="60"/>
      <c r="H444" s="60"/>
    </row>
    <row r="445" spans="1:15" x14ac:dyDescent="0.2">
      <c r="A445" s="26"/>
      <c r="B445" s="26"/>
      <c r="C445" s="52"/>
      <c r="D445" s="54"/>
      <c r="E445" s="54" t="s">
        <v>685</v>
      </c>
      <c r="F445" s="53"/>
      <c r="G445" s="53"/>
      <c r="H445" s="53"/>
      <c r="O445" s="14">
        <v>10902010</v>
      </c>
    </row>
    <row r="446" spans="1:15" ht="13.5" thickBot="1" x14ac:dyDescent="0.25">
      <c r="A446" s="18"/>
      <c r="B446" s="18"/>
      <c r="C446" s="52"/>
      <c r="D446" s="52" t="s">
        <v>686</v>
      </c>
      <c r="E446" s="52"/>
      <c r="F446" s="62">
        <f>SUM(F435:F445)</f>
        <v>0</v>
      </c>
      <c r="G446" s="62">
        <f>SUM(G435:G445)</f>
        <v>0</v>
      </c>
      <c r="H446" s="62">
        <f t="shared" ref="H446:J446" si="11">SUM(H435:H445)</f>
        <v>0</v>
      </c>
      <c r="I446" s="62">
        <f t="shared" si="11"/>
        <v>0</v>
      </c>
      <c r="J446" s="62">
        <f t="shared" si="11"/>
        <v>0</v>
      </c>
    </row>
    <row r="447" spans="1:15" ht="13.5" thickBot="1" x14ac:dyDescent="0.25">
      <c r="A447" s="18"/>
      <c r="B447" s="18"/>
      <c r="C447" s="52" t="s">
        <v>687</v>
      </c>
      <c r="D447" s="52"/>
      <c r="E447" s="52"/>
      <c r="F447" s="63">
        <f>F187+F240+F249+F425+F432+F446</f>
        <v>0</v>
      </c>
      <c r="G447" s="63">
        <f>G187+G240+G249+G425+G432+G446</f>
        <v>0</v>
      </c>
      <c r="H447" s="63">
        <f t="shared" ref="H447:J447" si="12">H187+H240+H249+H425+H432+H446</f>
        <v>0</v>
      </c>
      <c r="I447" s="63">
        <f t="shared" si="12"/>
        <v>0</v>
      </c>
      <c r="J447" s="63">
        <f t="shared" si="12"/>
        <v>0</v>
      </c>
    </row>
    <row r="448" spans="1:15" ht="13.5" thickBot="1" x14ac:dyDescent="0.25">
      <c r="A448" s="18" t="s">
        <v>688</v>
      </c>
      <c r="B448" s="18"/>
      <c r="C448" s="52"/>
      <c r="D448" s="52"/>
      <c r="E448" s="52"/>
      <c r="F448" s="65">
        <f>F157+F447</f>
        <v>0</v>
      </c>
      <c r="G448" s="65">
        <f>G157+G447</f>
        <v>0</v>
      </c>
      <c r="H448" s="65">
        <f t="shared" ref="H448:J448" si="13">H157+H447</f>
        <v>0</v>
      </c>
      <c r="I448" s="65">
        <f t="shared" si="13"/>
        <v>0</v>
      </c>
      <c r="J448" s="65">
        <f t="shared" si="13"/>
        <v>0</v>
      </c>
    </row>
    <row r="449" spans="1:15" ht="13.5" thickTop="1" x14ac:dyDescent="0.2">
      <c r="A449" s="18"/>
      <c r="B449" s="18"/>
      <c r="C449" s="52"/>
      <c r="D449" s="52"/>
      <c r="E449" s="52"/>
      <c r="F449" s="59"/>
      <c r="G449" s="59"/>
      <c r="H449" s="59"/>
    </row>
    <row r="450" spans="1:15" x14ac:dyDescent="0.2">
      <c r="A450" s="18" t="s">
        <v>689</v>
      </c>
      <c r="B450" s="18"/>
      <c r="C450" s="52"/>
      <c r="D450" s="52"/>
      <c r="E450" s="52"/>
      <c r="F450" s="60"/>
      <c r="G450" s="60"/>
      <c r="H450" s="60"/>
    </row>
    <row r="451" spans="1:15" x14ac:dyDescent="0.2">
      <c r="A451" s="18"/>
      <c r="B451" s="18" t="s">
        <v>690</v>
      </c>
      <c r="C451" s="52"/>
      <c r="D451" s="52"/>
      <c r="E451" s="52"/>
      <c r="F451" s="60"/>
      <c r="G451" s="60"/>
      <c r="H451" s="60"/>
    </row>
    <row r="452" spans="1:15" x14ac:dyDescent="0.2">
      <c r="A452" s="18"/>
      <c r="B452" s="18"/>
      <c r="C452" s="52" t="s">
        <v>691</v>
      </c>
      <c r="D452" s="52"/>
      <c r="E452" s="52"/>
      <c r="F452" s="60"/>
      <c r="G452" s="60"/>
      <c r="H452" s="60"/>
    </row>
    <row r="453" spans="1:15" x14ac:dyDescent="0.2">
      <c r="A453" s="18"/>
      <c r="B453" s="18"/>
      <c r="C453" s="52"/>
      <c r="D453" s="52" t="s">
        <v>692</v>
      </c>
      <c r="E453" s="52"/>
      <c r="F453" s="60"/>
      <c r="G453" s="60"/>
      <c r="H453" s="60"/>
    </row>
    <row r="454" spans="1:15" x14ac:dyDescent="0.2">
      <c r="A454" s="26"/>
      <c r="B454" s="26"/>
      <c r="C454" s="54"/>
      <c r="D454" s="54"/>
      <c r="E454" s="54" t="s">
        <v>693</v>
      </c>
      <c r="F454" s="53"/>
      <c r="G454" s="53"/>
      <c r="H454" s="53"/>
      <c r="O454" s="14">
        <v>20101010</v>
      </c>
    </row>
    <row r="455" spans="1:15" x14ac:dyDescent="0.2">
      <c r="A455" s="26"/>
      <c r="B455" s="26"/>
      <c r="C455" s="54"/>
      <c r="D455" s="54"/>
      <c r="E455" s="54" t="s">
        <v>694</v>
      </c>
      <c r="F455" s="53"/>
      <c r="G455" s="53"/>
      <c r="H455" s="53"/>
      <c r="O455" s="14">
        <v>20101020</v>
      </c>
    </row>
    <row r="456" spans="1:15" x14ac:dyDescent="0.2">
      <c r="A456" s="26"/>
      <c r="B456" s="26"/>
      <c r="C456" s="54"/>
      <c r="D456" s="54"/>
      <c r="E456" s="54" t="s">
        <v>695</v>
      </c>
      <c r="F456" s="53"/>
      <c r="G456" s="53"/>
      <c r="H456" s="53"/>
      <c r="O456" s="14">
        <v>20101040</v>
      </c>
    </row>
    <row r="457" spans="1:15" x14ac:dyDescent="0.2">
      <c r="A457" s="26"/>
      <c r="B457" s="26"/>
      <c r="C457" s="54"/>
      <c r="D457" s="54"/>
      <c r="E457" s="54" t="s">
        <v>696</v>
      </c>
      <c r="F457" s="53"/>
      <c r="G457" s="53"/>
      <c r="H457" s="53"/>
      <c r="O457" s="14">
        <v>20101050</v>
      </c>
    </row>
    <row r="458" spans="1:15" x14ac:dyDescent="0.2">
      <c r="A458" s="18"/>
      <c r="B458" s="18"/>
      <c r="C458" s="52"/>
      <c r="D458" s="52"/>
      <c r="E458" s="54" t="s">
        <v>697</v>
      </c>
      <c r="F458" s="53"/>
      <c r="G458" s="53"/>
      <c r="H458" s="53"/>
      <c r="O458" s="14">
        <v>20101060</v>
      </c>
    </row>
    <row r="459" spans="1:15" x14ac:dyDescent="0.2">
      <c r="A459" s="26"/>
      <c r="B459" s="26"/>
      <c r="C459" s="54"/>
      <c r="D459" s="54"/>
      <c r="E459" s="54" t="s">
        <v>698</v>
      </c>
      <c r="F459" s="53">
        <v>0</v>
      </c>
      <c r="G459" s="53">
        <v>0</v>
      </c>
      <c r="H459" s="53"/>
      <c r="O459" s="14">
        <v>20101070</v>
      </c>
    </row>
    <row r="460" spans="1:15" x14ac:dyDescent="0.2">
      <c r="A460" s="26"/>
      <c r="B460" s="26"/>
      <c r="C460" s="54"/>
      <c r="D460" s="54"/>
      <c r="E460" s="54" t="s">
        <v>699</v>
      </c>
      <c r="F460" s="53">
        <v>0</v>
      </c>
      <c r="G460" s="53">
        <v>0</v>
      </c>
      <c r="H460" s="53"/>
      <c r="O460" s="14">
        <v>20101080</v>
      </c>
    </row>
    <row r="461" spans="1:15" x14ac:dyDescent="0.2">
      <c r="A461" s="26"/>
      <c r="B461" s="26"/>
      <c r="C461" s="54"/>
      <c r="D461" s="54"/>
      <c r="E461" s="54" t="s">
        <v>700</v>
      </c>
      <c r="F461" s="53">
        <v>0</v>
      </c>
      <c r="G461" s="53">
        <v>0</v>
      </c>
      <c r="H461" s="53"/>
      <c r="O461" s="14">
        <v>20101090</v>
      </c>
    </row>
    <row r="462" spans="1:15" x14ac:dyDescent="0.2">
      <c r="A462" s="26"/>
      <c r="B462" s="26"/>
      <c r="C462" s="54"/>
      <c r="D462" s="54"/>
      <c r="E462" s="54" t="s">
        <v>701</v>
      </c>
      <c r="F462" s="53">
        <v>0</v>
      </c>
      <c r="G462" s="53">
        <v>0</v>
      </c>
      <c r="H462" s="53"/>
      <c r="O462" s="14">
        <v>20101100</v>
      </c>
    </row>
    <row r="463" spans="1:15" x14ac:dyDescent="0.2">
      <c r="A463" s="26"/>
      <c r="B463" s="26"/>
      <c r="C463" s="54"/>
      <c r="D463" s="54"/>
      <c r="E463" s="54" t="s">
        <v>702</v>
      </c>
      <c r="F463" s="53"/>
      <c r="G463" s="53"/>
      <c r="H463" s="53"/>
      <c r="O463" s="14">
        <v>20101110</v>
      </c>
    </row>
    <row r="464" spans="1:15" x14ac:dyDescent="0.2">
      <c r="A464" s="26"/>
      <c r="B464" s="26"/>
      <c r="C464" s="54"/>
      <c r="D464" s="54"/>
      <c r="E464" s="54" t="s">
        <v>703</v>
      </c>
      <c r="F464" s="53"/>
      <c r="G464" s="53"/>
      <c r="H464" s="53"/>
      <c r="O464" s="14">
        <v>20101120</v>
      </c>
    </row>
    <row r="465" spans="1:15" x14ac:dyDescent="0.2">
      <c r="A465" s="26"/>
      <c r="B465" s="26"/>
      <c r="C465" s="54"/>
      <c r="D465" s="54"/>
      <c r="E465" s="52" t="s">
        <v>704</v>
      </c>
      <c r="F465" s="58">
        <f>SUM(F454:F464)</f>
        <v>0</v>
      </c>
      <c r="G465" s="58">
        <f>SUM(G454:G464)</f>
        <v>0</v>
      </c>
      <c r="H465" s="58">
        <f t="shared" ref="H465:J465" si="14">SUM(H454:H464)</f>
        <v>0</v>
      </c>
      <c r="I465" s="58">
        <f t="shared" si="14"/>
        <v>0</v>
      </c>
      <c r="J465" s="58">
        <f t="shared" si="14"/>
        <v>0</v>
      </c>
    </row>
    <row r="466" spans="1:15" x14ac:dyDescent="0.2">
      <c r="A466" s="26"/>
      <c r="B466" s="26"/>
      <c r="C466" s="54"/>
      <c r="D466" s="52" t="s">
        <v>705</v>
      </c>
      <c r="E466" s="54"/>
      <c r="F466" s="60"/>
      <c r="G466" s="60"/>
      <c r="H466" s="60"/>
    </row>
    <row r="467" spans="1:15" x14ac:dyDescent="0.2">
      <c r="A467" s="66"/>
      <c r="B467" s="66"/>
      <c r="C467" s="67"/>
      <c r="D467" s="67"/>
      <c r="E467" s="68" t="s">
        <v>706</v>
      </c>
      <c r="F467" s="53"/>
      <c r="G467" s="53"/>
      <c r="H467" s="53"/>
      <c r="O467" s="14">
        <v>20102020</v>
      </c>
    </row>
    <row r="468" spans="1:15" x14ac:dyDescent="0.2">
      <c r="A468" s="26"/>
      <c r="B468" s="26"/>
      <c r="C468" s="54"/>
      <c r="D468" s="54"/>
      <c r="E468" s="54" t="s">
        <v>707</v>
      </c>
      <c r="F468" s="53"/>
      <c r="G468" s="53"/>
      <c r="H468" s="53"/>
      <c r="O468" s="14">
        <v>20102021</v>
      </c>
    </row>
    <row r="469" spans="1:15" x14ac:dyDescent="0.2">
      <c r="A469" s="18"/>
      <c r="B469" s="18"/>
      <c r="C469" s="52"/>
      <c r="D469" s="52"/>
      <c r="E469" s="54" t="s">
        <v>708</v>
      </c>
      <c r="F469" s="53"/>
      <c r="G469" s="53"/>
      <c r="H469" s="53"/>
      <c r="O469" s="14">
        <v>20102022</v>
      </c>
    </row>
    <row r="470" spans="1:15" x14ac:dyDescent="0.2">
      <c r="A470" s="26"/>
      <c r="B470" s="26"/>
      <c r="C470" s="54"/>
      <c r="D470" s="54"/>
      <c r="E470" s="54" t="s">
        <v>709</v>
      </c>
      <c r="F470" s="53"/>
      <c r="G470" s="53"/>
      <c r="H470" s="53"/>
      <c r="O470" s="14">
        <v>20102040</v>
      </c>
    </row>
    <row r="471" spans="1:15" x14ac:dyDescent="0.2">
      <c r="A471" s="26"/>
      <c r="B471" s="26"/>
      <c r="C471" s="54"/>
      <c r="D471" s="54"/>
      <c r="E471" s="54" t="s">
        <v>710</v>
      </c>
      <c r="F471" s="53"/>
      <c r="G471" s="53"/>
      <c r="H471" s="53"/>
      <c r="O471" s="14">
        <v>20102050</v>
      </c>
    </row>
    <row r="472" spans="1:15" x14ac:dyDescent="0.2">
      <c r="A472" s="26"/>
      <c r="B472" s="26"/>
      <c r="C472" s="54"/>
      <c r="D472" s="54"/>
      <c r="E472" s="52" t="s">
        <v>711</v>
      </c>
      <c r="F472" s="58">
        <f>SUM(F467:F471)</f>
        <v>0</v>
      </c>
      <c r="G472" s="58">
        <f>SUM(G467:G471)</f>
        <v>0</v>
      </c>
      <c r="H472" s="58">
        <f t="shared" ref="H472:J472" si="15">SUM(H467:H471)</f>
        <v>0</v>
      </c>
      <c r="I472" s="58">
        <f t="shared" si="15"/>
        <v>0</v>
      </c>
      <c r="J472" s="58">
        <f t="shared" si="15"/>
        <v>0</v>
      </c>
    </row>
    <row r="473" spans="1:15" ht="13.5" thickBot="1" x14ac:dyDescent="0.25">
      <c r="A473" s="26"/>
      <c r="B473" s="26"/>
      <c r="C473" s="54"/>
      <c r="D473" s="52" t="s">
        <v>712</v>
      </c>
      <c r="E473" s="52"/>
      <c r="F473" s="69">
        <f>+F465+F472</f>
        <v>0</v>
      </c>
      <c r="G473" s="69">
        <f>+G465+G472</f>
        <v>0</v>
      </c>
      <c r="H473" s="69">
        <f t="shared" ref="H473:J473" si="16">+H465+H472</f>
        <v>0</v>
      </c>
      <c r="I473" s="69">
        <f t="shared" si="16"/>
        <v>0</v>
      </c>
      <c r="J473" s="69">
        <f t="shared" si="16"/>
        <v>0</v>
      </c>
    </row>
    <row r="474" spans="1:15" ht="13.5" thickTop="1" x14ac:dyDescent="0.2">
      <c r="A474" s="26"/>
      <c r="B474" s="26"/>
      <c r="C474" s="54"/>
      <c r="D474" s="52" t="s">
        <v>713</v>
      </c>
      <c r="E474" s="54"/>
      <c r="F474" s="60"/>
      <c r="G474" s="60"/>
      <c r="H474" s="60"/>
    </row>
    <row r="475" spans="1:15" x14ac:dyDescent="0.2">
      <c r="A475" s="18"/>
      <c r="B475" s="18"/>
      <c r="C475" s="52"/>
      <c r="D475" s="52"/>
      <c r="E475" s="54" t="s">
        <v>714</v>
      </c>
      <c r="F475" s="53"/>
      <c r="G475" s="53"/>
      <c r="H475" s="53"/>
      <c r="O475" s="14">
        <v>20201010</v>
      </c>
    </row>
    <row r="476" spans="1:15" x14ac:dyDescent="0.2">
      <c r="A476" s="18"/>
      <c r="B476" s="18"/>
      <c r="C476" s="18"/>
      <c r="D476" s="18"/>
      <c r="E476" s="54" t="s">
        <v>715</v>
      </c>
      <c r="F476" s="53"/>
      <c r="G476" s="53"/>
      <c r="H476" s="53"/>
      <c r="O476" s="14">
        <v>20201020</v>
      </c>
    </row>
    <row r="477" spans="1:15" x14ac:dyDescent="0.2">
      <c r="A477" s="26"/>
      <c r="B477" s="26"/>
      <c r="C477" s="54"/>
      <c r="D477" s="54"/>
      <c r="E477" s="54" t="s">
        <v>716</v>
      </c>
      <c r="F477" s="53"/>
      <c r="G477" s="53"/>
      <c r="H477" s="53"/>
      <c r="O477" s="14">
        <v>20201030</v>
      </c>
    </row>
    <row r="478" spans="1:15" x14ac:dyDescent="0.2">
      <c r="A478" s="26"/>
      <c r="B478" s="26"/>
      <c r="C478" s="54"/>
      <c r="D478" s="54"/>
      <c r="E478" s="54" t="s">
        <v>717</v>
      </c>
      <c r="F478" s="53"/>
      <c r="G478" s="53"/>
      <c r="H478" s="53"/>
      <c r="O478" s="14">
        <v>20201040</v>
      </c>
    </row>
    <row r="479" spans="1:15" x14ac:dyDescent="0.2">
      <c r="A479" s="26"/>
      <c r="B479" s="26"/>
      <c r="C479" s="54"/>
      <c r="D479" s="54"/>
      <c r="E479" s="54" t="s">
        <v>718</v>
      </c>
      <c r="F479" s="53"/>
      <c r="G479" s="53"/>
      <c r="H479" s="53"/>
      <c r="O479" s="14">
        <v>20201050</v>
      </c>
    </row>
    <row r="480" spans="1:15" x14ac:dyDescent="0.2">
      <c r="A480" s="26"/>
      <c r="B480" s="26"/>
      <c r="C480" s="54"/>
      <c r="D480" s="54"/>
      <c r="E480" s="54" t="s">
        <v>719</v>
      </c>
      <c r="F480" s="53"/>
      <c r="G480" s="53"/>
      <c r="H480" s="53"/>
      <c r="O480" s="14">
        <v>20201060</v>
      </c>
    </row>
    <row r="481" spans="1:15" x14ac:dyDescent="0.2">
      <c r="A481" s="26"/>
      <c r="B481" s="26"/>
      <c r="C481" s="54"/>
      <c r="D481" s="54"/>
      <c r="E481" s="54" t="s">
        <v>720</v>
      </c>
      <c r="F481" s="53"/>
      <c r="G481" s="53"/>
      <c r="H481" s="53"/>
      <c r="O481" s="14">
        <v>20201070</v>
      </c>
    </row>
    <row r="482" spans="1:15" x14ac:dyDescent="0.2">
      <c r="A482" s="26"/>
      <c r="B482" s="26"/>
      <c r="C482" s="54"/>
      <c r="D482" s="54"/>
      <c r="E482" s="68" t="s">
        <v>721</v>
      </c>
      <c r="F482" s="53"/>
      <c r="G482" s="53"/>
      <c r="H482" s="53"/>
      <c r="O482" s="14">
        <v>20201080</v>
      </c>
    </row>
    <row r="483" spans="1:15" x14ac:dyDescent="0.2">
      <c r="A483" s="26"/>
      <c r="B483" s="26"/>
      <c r="C483" s="54"/>
      <c r="D483" s="52" t="s">
        <v>722</v>
      </c>
      <c r="E483" s="68"/>
      <c r="F483" s="58">
        <f>SUM(F475:F482)</f>
        <v>0</v>
      </c>
      <c r="G483" s="58">
        <f>SUM(G475:G482)</f>
        <v>0</v>
      </c>
      <c r="H483" s="58">
        <f t="shared" ref="H483:J483" si="17">SUM(H475:H482)</f>
        <v>0</v>
      </c>
      <c r="I483" s="58">
        <f t="shared" si="17"/>
        <v>0</v>
      </c>
      <c r="J483" s="58">
        <f t="shared" si="17"/>
        <v>0</v>
      </c>
    </row>
    <row r="484" spans="1:15" x14ac:dyDescent="0.2">
      <c r="A484" s="26"/>
      <c r="B484" s="26"/>
      <c r="C484" s="52"/>
      <c r="D484" s="52" t="s">
        <v>723</v>
      </c>
      <c r="E484" s="54"/>
      <c r="F484" s="60"/>
      <c r="G484" s="60"/>
      <c r="H484" s="60"/>
    </row>
    <row r="485" spans="1:15" x14ac:dyDescent="0.2">
      <c r="A485" s="26"/>
      <c r="B485" s="26"/>
      <c r="C485" s="52"/>
      <c r="D485" s="52"/>
      <c r="E485" s="54" t="s">
        <v>724</v>
      </c>
      <c r="F485" s="53"/>
      <c r="G485" s="53"/>
      <c r="H485" s="53"/>
      <c r="O485" s="14">
        <v>20301010</v>
      </c>
    </row>
    <row r="486" spans="1:15" x14ac:dyDescent="0.2">
      <c r="A486" s="26"/>
      <c r="B486" s="26"/>
      <c r="C486" s="52"/>
      <c r="D486" s="52"/>
      <c r="E486" s="54" t="s">
        <v>725</v>
      </c>
      <c r="F486" s="53"/>
      <c r="G486" s="53"/>
      <c r="H486" s="53"/>
      <c r="O486" s="14">
        <v>20301020</v>
      </c>
    </row>
    <row r="487" spans="1:15" x14ac:dyDescent="0.2">
      <c r="A487" s="26"/>
      <c r="B487" s="26"/>
      <c r="C487" s="52"/>
      <c r="D487" s="52"/>
      <c r="E487" s="54" t="s">
        <v>726</v>
      </c>
      <c r="F487" s="53"/>
      <c r="G487" s="53"/>
      <c r="H487" s="53"/>
      <c r="O487" s="14">
        <v>20301030</v>
      </c>
    </row>
    <row r="488" spans="1:15" x14ac:dyDescent="0.2">
      <c r="A488" s="26"/>
      <c r="B488" s="26"/>
      <c r="C488" s="52"/>
      <c r="D488" s="52" t="s">
        <v>727</v>
      </c>
      <c r="E488" s="54"/>
      <c r="F488" s="58">
        <f>SUM(F485:F487)</f>
        <v>0</v>
      </c>
      <c r="G488" s="58">
        <f>SUM(G485:G487)</f>
        <v>0</v>
      </c>
      <c r="H488" s="58">
        <f t="shared" ref="H488:J488" si="18">SUM(H485:H487)</f>
        <v>0</v>
      </c>
      <c r="I488" s="58">
        <f t="shared" si="18"/>
        <v>0</v>
      </c>
      <c r="J488" s="58">
        <f t="shared" si="18"/>
        <v>0</v>
      </c>
    </row>
    <row r="489" spans="1:15" x14ac:dyDescent="0.2">
      <c r="A489" s="26"/>
      <c r="B489" s="26"/>
      <c r="C489" s="52"/>
      <c r="D489" s="52" t="s">
        <v>728</v>
      </c>
      <c r="E489" s="54"/>
      <c r="F489" s="60"/>
      <c r="G489" s="60"/>
      <c r="H489" s="60"/>
    </row>
    <row r="490" spans="1:15" x14ac:dyDescent="0.2">
      <c r="A490" s="26"/>
      <c r="B490" s="26"/>
      <c r="C490" s="52"/>
      <c r="D490" s="52"/>
      <c r="E490" s="54" t="s">
        <v>728</v>
      </c>
      <c r="F490" s="53"/>
      <c r="G490" s="53"/>
      <c r="H490" s="53"/>
      <c r="O490" s="14">
        <v>20401010</v>
      </c>
    </row>
    <row r="491" spans="1:15" x14ac:dyDescent="0.2">
      <c r="A491" s="26"/>
      <c r="B491" s="26"/>
      <c r="C491" s="52"/>
      <c r="D491" s="52"/>
      <c r="E491" s="54" t="s">
        <v>729</v>
      </c>
      <c r="F491" s="53"/>
      <c r="G491" s="53"/>
      <c r="H491" s="53"/>
      <c r="O491" s="14">
        <v>20401020</v>
      </c>
    </row>
    <row r="492" spans="1:15" x14ac:dyDescent="0.2">
      <c r="A492" s="26"/>
      <c r="B492" s="26"/>
      <c r="C492" s="52"/>
      <c r="D492" s="52"/>
      <c r="E492" s="54" t="s">
        <v>730</v>
      </c>
      <c r="F492" s="53"/>
      <c r="G492" s="53"/>
      <c r="H492" s="53"/>
      <c r="O492" s="14">
        <v>20401030</v>
      </c>
    </row>
    <row r="493" spans="1:15" x14ac:dyDescent="0.2">
      <c r="A493" s="26"/>
      <c r="B493" s="26"/>
      <c r="C493" s="52"/>
      <c r="D493" s="52"/>
      <c r="E493" s="54" t="s">
        <v>731</v>
      </c>
      <c r="F493" s="53"/>
      <c r="G493" s="53"/>
      <c r="H493" s="53"/>
      <c r="O493" s="14">
        <v>20401040</v>
      </c>
    </row>
    <row r="494" spans="1:15" x14ac:dyDescent="0.2">
      <c r="A494" s="26"/>
      <c r="B494" s="26"/>
      <c r="C494" s="52"/>
      <c r="D494" s="52"/>
      <c r="E494" s="54" t="s">
        <v>732</v>
      </c>
      <c r="F494" s="53"/>
      <c r="G494" s="53"/>
      <c r="H494" s="53"/>
      <c r="O494" s="14">
        <v>20401050</v>
      </c>
    </row>
    <row r="495" spans="1:15" x14ac:dyDescent="0.2">
      <c r="A495" s="26"/>
      <c r="B495" s="26"/>
      <c r="C495" s="52"/>
      <c r="D495" s="52" t="s">
        <v>733</v>
      </c>
      <c r="E495" s="54"/>
      <c r="F495" s="58">
        <f>SUM(F490:F494)</f>
        <v>0</v>
      </c>
      <c r="G495" s="58">
        <f>SUM(G490:G494)</f>
        <v>0</v>
      </c>
      <c r="H495" s="58">
        <f t="shared" ref="H495:J495" si="19">SUM(H490:H494)</f>
        <v>0</v>
      </c>
      <c r="I495" s="58">
        <f t="shared" si="19"/>
        <v>0</v>
      </c>
      <c r="J495" s="58">
        <f t="shared" si="19"/>
        <v>0</v>
      </c>
    </row>
    <row r="496" spans="1:15" x14ac:dyDescent="0.2">
      <c r="A496" s="26"/>
      <c r="B496" s="26"/>
      <c r="C496" s="52"/>
      <c r="D496" s="52" t="s">
        <v>734</v>
      </c>
      <c r="E496" s="54"/>
      <c r="F496" s="60"/>
      <c r="G496" s="60"/>
      <c r="H496" s="60"/>
    </row>
    <row r="497" spans="1:15" x14ac:dyDescent="0.2">
      <c r="A497" s="26"/>
      <c r="B497" s="26"/>
      <c r="C497" s="52"/>
      <c r="D497" s="52"/>
      <c r="E497" s="54" t="s">
        <v>735</v>
      </c>
      <c r="F497" s="53"/>
      <c r="G497" s="53"/>
      <c r="H497" s="53"/>
      <c r="O497" s="14">
        <v>20501010</v>
      </c>
    </row>
    <row r="498" spans="1:15" x14ac:dyDescent="0.2">
      <c r="A498" s="26"/>
      <c r="B498" s="26"/>
      <c r="C498" s="52"/>
      <c r="D498" s="52"/>
      <c r="E498" s="54" t="s">
        <v>736</v>
      </c>
      <c r="F498" s="53"/>
      <c r="G498" s="53"/>
      <c r="H498" s="53"/>
      <c r="O498" s="14">
        <v>20501020</v>
      </c>
    </row>
    <row r="499" spans="1:15" x14ac:dyDescent="0.2">
      <c r="A499" s="26"/>
      <c r="B499" s="26"/>
      <c r="C499" s="52"/>
      <c r="D499" s="52"/>
      <c r="E499" s="54" t="s">
        <v>737</v>
      </c>
      <c r="F499" s="53"/>
      <c r="G499" s="53"/>
      <c r="H499" s="53"/>
      <c r="O499" s="14">
        <v>20501030</v>
      </c>
    </row>
    <row r="500" spans="1:15" x14ac:dyDescent="0.2">
      <c r="A500" s="26"/>
      <c r="B500" s="26"/>
      <c r="C500" s="52"/>
      <c r="D500" s="52"/>
      <c r="E500" s="54" t="s">
        <v>738</v>
      </c>
      <c r="F500" s="53"/>
      <c r="G500" s="53"/>
      <c r="H500" s="53"/>
      <c r="O500" s="14">
        <v>20501040</v>
      </c>
    </row>
    <row r="501" spans="1:15" x14ac:dyDescent="0.2">
      <c r="A501" s="26"/>
      <c r="B501" s="26"/>
      <c r="C501" s="52"/>
      <c r="D501" s="52"/>
      <c r="E501" s="54" t="s">
        <v>739</v>
      </c>
      <c r="F501" s="53"/>
      <c r="G501" s="53"/>
      <c r="H501" s="53"/>
      <c r="O501" s="14">
        <v>20501050</v>
      </c>
    </row>
    <row r="502" spans="1:15" x14ac:dyDescent="0.2">
      <c r="A502" s="26"/>
      <c r="B502" s="26"/>
      <c r="C502" s="52"/>
      <c r="D502" s="52"/>
      <c r="E502" s="54" t="s">
        <v>740</v>
      </c>
      <c r="F502" s="53"/>
      <c r="G502" s="53"/>
      <c r="H502" s="53"/>
      <c r="O502" s="14">
        <v>20501990</v>
      </c>
    </row>
    <row r="503" spans="1:15" x14ac:dyDescent="0.2">
      <c r="A503" s="26"/>
      <c r="B503" s="26"/>
      <c r="C503" s="52"/>
      <c r="D503" s="52" t="s">
        <v>741</v>
      </c>
      <c r="E503" s="54"/>
      <c r="F503" s="58">
        <f>SUM(F497:F502)</f>
        <v>0</v>
      </c>
      <c r="G503" s="58">
        <f>SUM(G497:G502)</f>
        <v>0</v>
      </c>
      <c r="H503" s="58">
        <f t="shared" ref="H503:J503" si="20">SUM(H497:H502)</f>
        <v>0</v>
      </c>
      <c r="I503" s="58">
        <f t="shared" si="20"/>
        <v>0</v>
      </c>
      <c r="J503" s="58">
        <f t="shared" si="20"/>
        <v>0</v>
      </c>
    </row>
    <row r="504" spans="1:15" x14ac:dyDescent="0.2">
      <c r="A504" s="18"/>
      <c r="B504" s="18"/>
      <c r="C504" s="55"/>
      <c r="D504" s="52" t="s">
        <v>742</v>
      </c>
      <c r="E504" s="52"/>
      <c r="F504" s="70"/>
      <c r="G504" s="70"/>
      <c r="H504" s="70"/>
    </row>
    <row r="505" spans="1:15" x14ac:dyDescent="0.2">
      <c r="A505" s="26"/>
      <c r="B505" s="26"/>
      <c r="C505" s="55"/>
      <c r="D505" s="52"/>
      <c r="E505" s="54" t="s">
        <v>743</v>
      </c>
      <c r="F505" s="53"/>
      <c r="G505" s="53"/>
      <c r="H505" s="53"/>
      <c r="O505" s="14">
        <v>20601040</v>
      </c>
    </row>
    <row r="506" spans="1:15" x14ac:dyDescent="0.2">
      <c r="A506" s="26"/>
      <c r="B506" s="26"/>
      <c r="C506" s="55"/>
      <c r="D506" s="52"/>
      <c r="E506" s="54" t="s">
        <v>744</v>
      </c>
      <c r="F506" s="53"/>
      <c r="G506" s="53"/>
      <c r="H506" s="53"/>
      <c r="O506" s="14">
        <v>20601990</v>
      </c>
    </row>
    <row r="507" spans="1:15" x14ac:dyDescent="0.2">
      <c r="A507" s="26"/>
      <c r="B507" s="26"/>
      <c r="C507" s="55"/>
      <c r="D507" s="52" t="s">
        <v>745</v>
      </c>
      <c r="E507" s="54"/>
      <c r="F507" s="53">
        <f>SUM(F505:F506)</f>
        <v>0</v>
      </c>
      <c r="G507" s="53">
        <f>SUM(G505:G506)</f>
        <v>0</v>
      </c>
      <c r="H507" s="53"/>
    </row>
    <row r="508" spans="1:15" x14ac:dyDescent="0.2">
      <c r="A508" s="26"/>
      <c r="B508" s="26"/>
      <c r="C508" s="55"/>
      <c r="D508" s="67" t="s">
        <v>746</v>
      </c>
      <c r="E508" s="68"/>
      <c r="F508" s="53"/>
      <c r="G508" s="53"/>
      <c r="H508" s="53"/>
    </row>
    <row r="509" spans="1:15" x14ac:dyDescent="0.2">
      <c r="A509" s="26"/>
      <c r="B509" s="26"/>
      <c r="C509" s="55"/>
      <c r="D509" s="52"/>
      <c r="E509" s="54" t="s">
        <v>746</v>
      </c>
      <c r="F509" s="53"/>
      <c r="G509" s="53"/>
      <c r="H509" s="53"/>
      <c r="O509" s="14">
        <v>29999990</v>
      </c>
    </row>
    <row r="510" spans="1:15" s="76" customFormat="1" ht="13.5" thickBot="1" x14ac:dyDescent="0.25">
      <c r="A510" s="71"/>
      <c r="B510" s="71"/>
      <c r="C510" s="72"/>
      <c r="D510" s="73" t="s">
        <v>747</v>
      </c>
      <c r="E510" s="74"/>
      <c r="F510" s="75">
        <f>SUM(F509)</f>
        <v>0</v>
      </c>
      <c r="G510" s="75">
        <f>SUM(G509)</f>
        <v>0</v>
      </c>
      <c r="H510" s="75">
        <f t="shared" ref="H510:J510" si="21">SUM(H509)</f>
        <v>0</v>
      </c>
      <c r="I510" s="75">
        <f t="shared" si="21"/>
        <v>0</v>
      </c>
      <c r="J510" s="75">
        <f t="shared" si="21"/>
        <v>0</v>
      </c>
    </row>
    <row r="511" spans="1:15" ht="13.5" thickBot="1" x14ac:dyDescent="0.25">
      <c r="A511" s="18"/>
      <c r="B511" s="18" t="s">
        <v>748</v>
      </c>
      <c r="C511" s="18"/>
      <c r="D511" s="52"/>
      <c r="E511" s="52"/>
      <c r="F511" s="63">
        <f>+F473+F483+F488+F495+F503+F510</f>
        <v>0</v>
      </c>
      <c r="G511" s="63">
        <f>+G473+G483+G488+G495+G503+G510</f>
        <v>0</v>
      </c>
      <c r="H511" s="63">
        <f t="shared" ref="H511:J511" si="22">+H473+H483+H488+H495+H503+H510</f>
        <v>0</v>
      </c>
      <c r="I511" s="63">
        <f t="shared" si="22"/>
        <v>0</v>
      </c>
      <c r="J511" s="63">
        <f t="shared" si="22"/>
        <v>0</v>
      </c>
    </row>
    <row r="512" spans="1:15" x14ac:dyDescent="0.2">
      <c r="A512" s="26"/>
      <c r="B512" s="18" t="s">
        <v>749</v>
      </c>
      <c r="C512" s="52"/>
      <c r="D512" s="52"/>
      <c r="E512" s="54"/>
      <c r="F512" s="59"/>
      <c r="G512" s="59"/>
      <c r="H512" s="59"/>
    </row>
    <row r="513" spans="1:15" x14ac:dyDescent="0.2">
      <c r="A513" s="18"/>
      <c r="B513" s="18"/>
      <c r="C513" s="52" t="s">
        <v>691</v>
      </c>
      <c r="D513" s="52"/>
      <c r="E513" s="52"/>
      <c r="F513" s="60"/>
      <c r="G513" s="60"/>
      <c r="H513" s="60"/>
    </row>
    <row r="514" spans="1:15" x14ac:dyDescent="0.2">
      <c r="A514" s="18"/>
      <c r="B514" s="18"/>
      <c r="C514" s="52"/>
      <c r="D514" s="52" t="s">
        <v>692</v>
      </c>
      <c r="E514" s="52"/>
      <c r="F514" s="60"/>
      <c r="G514" s="60"/>
      <c r="H514" s="60"/>
    </row>
    <row r="515" spans="1:15" x14ac:dyDescent="0.2">
      <c r="A515" s="26"/>
      <c r="B515" s="26"/>
      <c r="C515" s="54"/>
      <c r="D515" s="54"/>
      <c r="E515" s="54" t="s">
        <v>693</v>
      </c>
      <c r="F515" s="53"/>
      <c r="G515" s="53"/>
      <c r="H515" s="53"/>
      <c r="O515" s="14">
        <v>20101010</v>
      </c>
    </row>
    <row r="516" spans="1:15" x14ac:dyDescent="0.2">
      <c r="A516" s="26"/>
      <c r="B516" s="26"/>
      <c r="C516" s="54"/>
      <c r="D516" s="54"/>
      <c r="E516" s="54" t="s">
        <v>694</v>
      </c>
      <c r="F516" s="53"/>
      <c r="G516" s="53"/>
      <c r="H516" s="53"/>
      <c r="O516" s="14">
        <v>20101020</v>
      </c>
    </row>
    <row r="517" spans="1:15" x14ac:dyDescent="0.2">
      <c r="A517" s="26"/>
      <c r="B517" s="26"/>
      <c r="C517" s="54"/>
      <c r="D517" s="54"/>
      <c r="E517" s="54" t="s">
        <v>695</v>
      </c>
      <c r="F517" s="53"/>
      <c r="G517" s="53"/>
      <c r="H517" s="53"/>
      <c r="O517" s="14">
        <v>20101040</v>
      </c>
    </row>
    <row r="518" spans="1:15" x14ac:dyDescent="0.2">
      <c r="A518" s="26"/>
      <c r="B518" s="26"/>
      <c r="C518" s="54"/>
      <c r="D518" s="54"/>
      <c r="E518" s="54" t="s">
        <v>696</v>
      </c>
      <c r="F518" s="53">
        <v>0</v>
      </c>
      <c r="G518" s="53">
        <v>0</v>
      </c>
      <c r="H518" s="53"/>
      <c r="O518" s="14">
        <v>20101050</v>
      </c>
    </row>
    <row r="519" spans="1:15" x14ac:dyDescent="0.2">
      <c r="A519" s="18"/>
      <c r="B519" s="18"/>
      <c r="C519" s="52"/>
      <c r="D519" s="52"/>
      <c r="E519" s="54" t="s">
        <v>697</v>
      </c>
      <c r="F519" s="53"/>
      <c r="G519" s="53"/>
      <c r="H519" s="53"/>
      <c r="O519" s="14">
        <v>20101060</v>
      </c>
    </row>
    <row r="520" spans="1:15" x14ac:dyDescent="0.2">
      <c r="A520" s="26"/>
      <c r="B520" s="26"/>
      <c r="C520" s="54"/>
      <c r="D520" s="54"/>
      <c r="E520" s="54" t="s">
        <v>698</v>
      </c>
      <c r="F520" s="53">
        <v>0</v>
      </c>
      <c r="G520" s="53">
        <v>0</v>
      </c>
      <c r="H520" s="53"/>
      <c r="O520" s="14">
        <v>20101070</v>
      </c>
    </row>
    <row r="521" spans="1:15" x14ac:dyDescent="0.2">
      <c r="A521" s="26"/>
      <c r="B521" s="26"/>
      <c r="C521" s="54"/>
      <c r="D521" s="54"/>
      <c r="E521" s="54" t="s">
        <v>699</v>
      </c>
      <c r="F521" s="53">
        <v>0</v>
      </c>
      <c r="G521" s="53">
        <v>0</v>
      </c>
      <c r="H521" s="53"/>
      <c r="O521" s="14">
        <v>20101080</v>
      </c>
    </row>
    <row r="522" spans="1:15" x14ac:dyDescent="0.2">
      <c r="A522" s="26"/>
      <c r="B522" s="26"/>
      <c r="C522" s="54"/>
      <c r="D522" s="54"/>
      <c r="E522" s="54" t="s">
        <v>700</v>
      </c>
      <c r="F522" s="53">
        <v>0</v>
      </c>
      <c r="G522" s="53">
        <v>0</v>
      </c>
      <c r="H522" s="53"/>
      <c r="O522" s="14">
        <v>20101090</v>
      </c>
    </row>
    <row r="523" spans="1:15" x14ac:dyDescent="0.2">
      <c r="A523" s="26"/>
      <c r="B523" s="26"/>
      <c r="C523" s="54"/>
      <c r="D523" s="54"/>
      <c r="E523" s="54" t="s">
        <v>701</v>
      </c>
      <c r="F523" s="53">
        <v>0</v>
      </c>
      <c r="G523" s="53">
        <v>0</v>
      </c>
      <c r="H523" s="53"/>
      <c r="O523" s="14">
        <v>20101100</v>
      </c>
    </row>
    <row r="524" spans="1:15" x14ac:dyDescent="0.2">
      <c r="A524" s="26"/>
      <c r="B524" s="26"/>
      <c r="C524" s="54"/>
      <c r="D524" s="54"/>
      <c r="E524" s="54" t="s">
        <v>702</v>
      </c>
      <c r="F524" s="53">
        <v>0</v>
      </c>
      <c r="G524" s="53">
        <v>0</v>
      </c>
      <c r="H524" s="53"/>
      <c r="O524" s="14">
        <v>20101110</v>
      </c>
    </row>
    <row r="525" spans="1:15" x14ac:dyDescent="0.2">
      <c r="A525" s="26"/>
      <c r="B525" s="26"/>
      <c r="C525" s="54"/>
      <c r="D525" s="54"/>
      <c r="E525" s="54" t="s">
        <v>703</v>
      </c>
      <c r="F525" s="53">
        <v>0</v>
      </c>
      <c r="G525" s="53">
        <v>0</v>
      </c>
      <c r="H525" s="53"/>
      <c r="O525" s="14">
        <v>20101120</v>
      </c>
    </row>
    <row r="526" spans="1:15" x14ac:dyDescent="0.2">
      <c r="A526" s="26"/>
      <c r="B526" s="26"/>
      <c r="C526" s="54"/>
      <c r="D526" s="54"/>
      <c r="E526" s="52" t="s">
        <v>704</v>
      </c>
      <c r="F526" s="58">
        <f>SUM(F515:F525)</f>
        <v>0</v>
      </c>
      <c r="G526" s="58">
        <f>SUM(G515:G525)</f>
        <v>0</v>
      </c>
      <c r="H526" s="58">
        <f t="shared" ref="H526:J526" si="23">SUM(H515:H525)</f>
        <v>0</v>
      </c>
      <c r="I526" s="58">
        <f t="shared" si="23"/>
        <v>0</v>
      </c>
      <c r="J526" s="58">
        <f t="shared" si="23"/>
        <v>0</v>
      </c>
    </row>
    <row r="527" spans="1:15" x14ac:dyDescent="0.2">
      <c r="A527" s="26"/>
      <c r="B527" s="26"/>
      <c r="C527" s="54"/>
      <c r="D527" s="52" t="s">
        <v>705</v>
      </c>
      <c r="E527" s="54"/>
      <c r="F527" s="60"/>
      <c r="G527" s="60"/>
      <c r="H527" s="60"/>
    </row>
    <row r="528" spans="1:15" x14ac:dyDescent="0.2">
      <c r="A528" s="66"/>
      <c r="B528" s="66"/>
      <c r="C528" s="67"/>
      <c r="D528" s="67"/>
      <c r="E528" s="68" t="s">
        <v>706</v>
      </c>
      <c r="F528" s="53">
        <v>0</v>
      </c>
      <c r="G528" s="53">
        <v>0</v>
      </c>
      <c r="H528" s="53"/>
      <c r="O528" s="14">
        <v>20102020</v>
      </c>
    </row>
    <row r="529" spans="1:15" x14ac:dyDescent="0.2">
      <c r="A529" s="26"/>
      <c r="B529" s="26"/>
      <c r="C529" s="54"/>
      <c r="D529" s="54"/>
      <c r="E529" s="54" t="s">
        <v>707</v>
      </c>
      <c r="F529" s="53">
        <v>0</v>
      </c>
      <c r="G529" s="53">
        <v>0</v>
      </c>
      <c r="H529" s="53"/>
      <c r="O529" s="14">
        <v>20102021</v>
      </c>
    </row>
    <row r="530" spans="1:15" x14ac:dyDescent="0.2">
      <c r="A530" s="18"/>
      <c r="B530" s="18"/>
      <c r="C530" s="52"/>
      <c r="D530" s="52"/>
      <c r="E530" s="54" t="s">
        <v>708</v>
      </c>
      <c r="F530" s="53">
        <v>0</v>
      </c>
      <c r="G530" s="53">
        <v>0</v>
      </c>
      <c r="H530" s="53"/>
      <c r="O530" s="14">
        <v>20102022</v>
      </c>
    </row>
    <row r="531" spans="1:15" x14ac:dyDescent="0.2">
      <c r="A531" s="26"/>
      <c r="B531" s="26"/>
      <c r="C531" s="54"/>
      <c r="D531" s="54"/>
      <c r="E531" s="54" t="s">
        <v>709</v>
      </c>
      <c r="F531" s="53">
        <v>0</v>
      </c>
      <c r="G531" s="53">
        <v>0</v>
      </c>
      <c r="H531" s="53"/>
      <c r="O531" s="14">
        <v>20102040</v>
      </c>
    </row>
    <row r="532" spans="1:15" x14ac:dyDescent="0.2">
      <c r="A532" s="26"/>
      <c r="B532" s="26"/>
      <c r="C532" s="54"/>
      <c r="D532" s="54"/>
      <c r="E532" s="54" t="s">
        <v>710</v>
      </c>
      <c r="F532" s="53">
        <v>0</v>
      </c>
      <c r="G532" s="53">
        <v>0</v>
      </c>
      <c r="H532" s="53"/>
      <c r="O532" s="14">
        <v>20102050</v>
      </c>
    </row>
    <row r="533" spans="1:15" x14ac:dyDescent="0.2">
      <c r="A533" s="26"/>
      <c r="B533" s="26"/>
      <c r="C533" s="54"/>
      <c r="D533" s="54"/>
      <c r="E533" s="52" t="s">
        <v>711</v>
      </c>
      <c r="F533" s="58">
        <f>SUM(F528:F532)</f>
        <v>0</v>
      </c>
      <c r="G533" s="58">
        <f>SUM(G528:G532)</f>
        <v>0</v>
      </c>
      <c r="H533" s="58">
        <f t="shared" ref="H533:J533" si="24">SUM(H528:H532)</f>
        <v>0</v>
      </c>
      <c r="I533" s="58">
        <f t="shared" si="24"/>
        <v>0</v>
      </c>
      <c r="J533" s="58">
        <f t="shared" si="24"/>
        <v>0</v>
      </c>
    </row>
    <row r="534" spans="1:15" ht="13.5" thickBot="1" x14ac:dyDescent="0.25">
      <c r="A534" s="26"/>
      <c r="B534" s="26"/>
      <c r="C534" s="54"/>
      <c r="D534" s="52" t="s">
        <v>712</v>
      </c>
      <c r="E534" s="52"/>
      <c r="F534" s="62">
        <f>+F526+F533</f>
        <v>0</v>
      </c>
      <c r="G534" s="62">
        <f>+G526+G533</f>
        <v>0</v>
      </c>
      <c r="H534" s="62">
        <f t="shared" ref="H534:J534" si="25">+H526+H533</f>
        <v>0</v>
      </c>
      <c r="I534" s="62">
        <f t="shared" si="25"/>
        <v>0</v>
      </c>
      <c r="J534" s="62">
        <f t="shared" si="25"/>
        <v>0</v>
      </c>
    </row>
    <row r="535" spans="1:15" x14ac:dyDescent="0.2">
      <c r="A535" s="26"/>
      <c r="B535" s="26"/>
      <c r="C535" s="55"/>
      <c r="D535" s="52" t="s">
        <v>734</v>
      </c>
      <c r="E535" s="52"/>
      <c r="F535" s="60"/>
      <c r="G535" s="60"/>
      <c r="H535" s="60"/>
    </row>
    <row r="536" spans="1:15" x14ac:dyDescent="0.2">
      <c r="A536" s="26"/>
      <c r="B536" s="26"/>
      <c r="C536" s="55"/>
      <c r="D536" s="52"/>
      <c r="E536" s="54" t="s">
        <v>735</v>
      </c>
      <c r="F536" s="53">
        <v>0</v>
      </c>
      <c r="G536" s="53">
        <v>0</v>
      </c>
      <c r="H536" s="53"/>
      <c r="O536" s="14">
        <v>20501010</v>
      </c>
    </row>
    <row r="537" spans="1:15" x14ac:dyDescent="0.2">
      <c r="A537" s="26"/>
      <c r="B537" s="26"/>
      <c r="C537" s="55"/>
      <c r="D537" s="52"/>
      <c r="E537" s="54" t="s">
        <v>736</v>
      </c>
      <c r="F537" s="53">
        <v>0</v>
      </c>
      <c r="G537" s="53">
        <v>0</v>
      </c>
      <c r="H537" s="53"/>
      <c r="O537" s="14">
        <v>20501020</v>
      </c>
    </row>
    <row r="538" spans="1:15" x14ac:dyDescent="0.2">
      <c r="A538" s="26"/>
      <c r="B538" s="26"/>
      <c r="C538" s="55"/>
      <c r="D538" s="52"/>
      <c r="E538" s="54" t="s">
        <v>737</v>
      </c>
      <c r="F538" s="53">
        <v>0</v>
      </c>
      <c r="G538" s="53">
        <v>0</v>
      </c>
      <c r="H538" s="53"/>
      <c r="O538" s="14">
        <v>20501030</v>
      </c>
    </row>
    <row r="539" spans="1:15" x14ac:dyDescent="0.2">
      <c r="A539" s="26"/>
      <c r="B539" s="26"/>
      <c r="C539" s="55"/>
      <c r="D539" s="52"/>
      <c r="E539" s="54" t="s">
        <v>738</v>
      </c>
      <c r="F539" s="53">
        <v>0</v>
      </c>
      <c r="G539" s="53">
        <v>0</v>
      </c>
      <c r="H539" s="53"/>
      <c r="O539" s="14">
        <v>20501040</v>
      </c>
    </row>
    <row r="540" spans="1:15" x14ac:dyDescent="0.2">
      <c r="A540" s="26"/>
      <c r="B540" s="26"/>
      <c r="C540" s="55"/>
      <c r="D540" s="52"/>
      <c r="E540" s="54" t="s">
        <v>739</v>
      </c>
      <c r="F540" s="53">
        <v>0</v>
      </c>
      <c r="G540" s="53">
        <v>0</v>
      </c>
      <c r="H540" s="53"/>
      <c r="O540" s="14">
        <v>20501050</v>
      </c>
    </row>
    <row r="541" spans="1:15" x14ac:dyDescent="0.2">
      <c r="A541" s="26"/>
      <c r="B541" s="26"/>
      <c r="C541" s="55"/>
      <c r="D541" s="52"/>
      <c r="E541" s="54" t="s">
        <v>740</v>
      </c>
      <c r="F541" s="53">
        <v>0</v>
      </c>
      <c r="G541" s="53">
        <v>0</v>
      </c>
      <c r="H541" s="53"/>
      <c r="O541" s="14">
        <v>20501990</v>
      </c>
    </row>
    <row r="542" spans="1:15" x14ac:dyDescent="0.2">
      <c r="A542" s="26"/>
      <c r="B542" s="26"/>
      <c r="C542" s="55"/>
      <c r="D542" s="52"/>
      <c r="E542" s="52" t="s">
        <v>741</v>
      </c>
      <c r="F542" s="58">
        <f>SUM(F536:F541)</f>
        <v>0</v>
      </c>
      <c r="G542" s="58">
        <f>SUM(G536:G541)</f>
        <v>0</v>
      </c>
      <c r="H542" s="58">
        <f t="shared" ref="H542:J542" si="26">SUM(H536:H541)</f>
        <v>0</v>
      </c>
      <c r="I542" s="58">
        <f t="shared" si="26"/>
        <v>0</v>
      </c>
      <c r="J542" s="58">
        <f t="shared" si="26"/>
        <v>0</v>
      </c>
    </row>
    <row r="543" spans="1:15" x14ac:dyDescent="0.2">
      <c r="A543" s="26"/>
      <c r="B543" s="26"/>
      <c r="C543" s="52"/>
      <c r="D543" s="52" t="s">
        <v>742</v>
      </c>
      <c r="E543" s="54"/>
      <c r="F543" s="60"/>
      <c r="G543" s="60"/>
      <c r="H543" s="60"/>
    </row>
    <row r="544" spans="1:15" x14ac:dyDescent="0.2">
      <c r="A544" s="26"/>
      <c r="B544" s="26"/>
      <c r="C544" s="52"/>
      <c r="D544" s="52"/>
      <c r="E544" s="54" t="s">
        <v>750</v>
      </c>
      <c r="F544" s="53">
        <v>0</v>
      </c>
      <c r="G544" s="53">
        <v>0</v>
      </c>
      <c r="H544" s="53"/>
      <c r="O544" s="14">
        <v>20601040</v>
      </c>
    </row>
    <row r="545" spans="1:15" x14ac:dyDescent="0.2">
      <c r="A545" s="26"/>
      <c r="B545" s="26"/>
      <c r="C545" s="52"/>
      <c r="D545" s="52"/>
      <c r="E545" s="54" t="s">
        <v>744</v>
      </c>
      <c r="F545" s="53">
        <v>0</v>
      </c>
      <c r="G545" s="53">
        <v>0</v>
      </c>
      <c r="H545" s="53"/>
      <c r="O545" s="14">
        <v>20601990</v>
      </c>
    </row>
    <row r="546" spans="1:15" x14ac:dyDescent="0.2">
      <c r="A546" s="26"/>
      <c r="B546" s="26"/>
      <c r="C546" s="52"/>
      <c r="D546" s="52" t="s">
        <v>745</v>
      </c>
      <c r="E546" s="54"/>
      <c r="F546" s="53">
        <f>SUM(F544:F545)</f>
        <v>0</v>
      </c>
      <c r="G546" s="53">
        <f>SUM(G544:G545)</f>
        <v>0</v>
      </c>
      <c r="H546" s="53"/>
    </row>
    <row r="547" spans="1:15" x14ac:dyDescent="0.2">
      <c r="A547" s="26"/>
      <c r="B547" s="26"/>
      <c r="C547" s="52"/>
      <c r="D547" s="52" t="s">
        <v>746</v>
      </c>
      <c r="E547" s="54"/>
      <c r="F547" s="60"/>
      <c r="G547" s="60"/>
      <c r="H547" s="60"/>
    </row>
    <row r="548" spans="1:15" x14ac:dyDescent="0.2">
      <c r="A548" s="26"/>
      <c r="B548" s="26"/>
      <c r="C548" s="52"/>
      <c r="D548" s="52"/>
      <c r="E548" s="54" t="s">
        <v>746</v>
      </c>
      <c r="F548" s="59"/>
      <c r="G548" s="59"/>
      <c r="H548" s="59"/>
      <c r="O548" s="14">
        <v>29999990</v>
      </c>
    </row>
    <row r="549" spans="1:15" s="76" customFormat="1" ht="13.5" thickBot="1" x14ac:dyDescent="0.25">
      <c r="A549" s="71"/>
      <c r="B549" s="71"/>
      <c r="C549" s="73"/>
      <c r="D549" s="73" t="s">
        <v>747</v>
      </c>
      <c r="E549" s="74"/>
      <c r="F549" s="77">
        <f>SUM(F548)</f>
        <v>0</v>
      </c>
      <c r="G549" s="77">
        <f>SUM(G548)</f>
        <v>0</v>
      </c>
      <c r="H549" s="77">
        <f t="shared" ref="H549:J549" si="27">SUM(H548)</f>
        <v>0</v>
      </c>
      <c r="I549" s="77">
        <f t="shared" si="27"/>
        <v>0</v>
      </c>
      <c r="J549" s="77">
        <f t="shared" si="27"/>
        <v>0</v>
      </c>
    </row>
    <row r="550" spans="1:15" ht="13.5" thickBot="1" x14ac:dyDescent="0.25">
      <c r="A550" s="18"/>
      <c r="B550" s="18" t="s">
        <v>751</v>
      </c>
      <c r="C550" s="18"/>
      <c r="D550" s="52"/>
      <c r="E550" s="52"/>
      <c r="F550" s="63">
        <f>+F534+F542+F549</f>
        <v>0</v>
      </c>
      <c r="G550" s="63">
        <f>+G534+G542+G549</f>
        <v>0</v>
      </c>
      <c r="H550" s="63">
        <f t="shared" ref="H550:J550" si="28">+H534+H542+H549</f>
        <v>0</v>
      </c>
      <c r="I550" s="63">
        <f t="shared" si="28"/>
        <v>0</v>
      </c>
      <c r="J550" s="63">
        <f t="shared" si="28"/>
        <v>0</v>
      </c>
    </row>
    <row r="551" spans="1:15" ht="13.5" thickBot="1" x14ac:dyDescent="0.25">
      <c r="A551" s="18"/>
      <c r="B551" s="18" t="s">
        <v>752</v>
      </c>
      <c r="C551" s="18"/>
      <c r="D551" s="52"/>
      <c r="E551" s="52"/>
      <c r="F551" s="78">
        <f>+F511+F550</f>
        <v>0</v>
      </c>
      <c r="G551" s="78">
        <f>+G511+G550</f>
        <v>0</v>
      </c>
      <c r="H551" s="78">
        <f t="shared" ref="H551:J551" si="29">+H511+H550</f>
        <v>0</v>
      </c>
      <c r="I551" s="78">
        <f t="shared" si="29"/>
        <v>0</v>
      </c>
      <c r="J551" s="78">
        <f t="shared" si="29"/>
        <v>0</v>
      </c>
    </row>
    <row r="552" spans="1:15" ht="13.5" thickTop="1" x14ac:dyDescent="0.2">
      <c r="A552" s="26"/>
      <c r="B552" s="52" t="s">
        <v>753</v>
      </c>
      <c r="C552" s="55"/>
      <c r="D552" s="54"/>
      <c r="E552" s="54"/>
      <c r="F552" s="60"/>
      <c r="G552" s="60"/>
      <c r="H552" s="60"/>
    </row>
    <row r="553" spans="1:15" x14ac:dyDescent="0.2">
      <c r="A553" s="26"/>
      <c r="B553" s="79"/>
      <c r="C553" s="68" t="s">
        <v>754</v>
      </c>
      <c r="D553" s="54"/>
      <c r="E553" s="54"/>
      <c r="F553" s="53"/>
      <c r="G553" s="53"/>
      <c r="H553" s="53"/>
      <c r="O553" s="14">
        <v>30101010</v>
      </c>
    </row>
    <row r="554" spans="1:15" x14ac:dyDescent="0.2">
      <c r="A554" s="26"/>
      <c r="B554" s="79"/>
      <c r="C554" s="68" t="s">
        <v>755</v>
      </c>
      <c r="D554" s="54"/>
      <c r="E554" s="54"/>
      <c r="F554" s="53"/>
      <c r="G554" s="53"/>
      <c r="H554" s="53"/>
    </row>
    <row r="555" spans="1:15" x14ac:dyDescent="0.2">
      <c r="A555" s="26"/>
      <c r="B555" s="79"/>
      <c r="C555" s="68" t="s">
        <v>25</v>
      </c>
      <c r="D555" s="54"/>
      <c r="E555" s="54"/>
      <c r="F555" s="53">
        <f>'Detailed Financial Performance'!F334</f>
        <v>0</v>
      </c>
      <c r="G555" s="53"/>
      <c r="H555" s="53"/>
    </row>
    <row r="556" spans="1:15" x14ac:dyDescent="0.2">
      <c r="A556" s="26"/>
      <c r="B556" s="79"/>
      <c r="C556" s="54" t="s">
        <v>756</v>
      </c>
      <c r="D556" s="54"/>
      <c r="E556" s="54"/>
      <c r="F556" s="80"/>
      <c r="G556" s="80"/>
      <c r="H556" s="53"/>
    </row>
    <row r="557" spans="1:15" x14ac:dyDescent="0.2">
      <c r="A557" s="18"/>
      <c r="B557" s="18"/>
      <c r="C557" s="52" t="s">
        <v>757</v>
      </c>
      <c r="D557" s="64"/>
      <c r="E557" s="64"/>
      <c r="F557" s="58">
        <f>SUM(F553:F556)</f>
        <v>0</v>
      </c>
      <c r="G557" s="58"/>
      <c r="H557" s="58"/>
      <c r="I557" s="58"/>
      <c r="J557" s="58"/>
    </row>
    <row r="558" spans="1:15" ht="13.5" thickBot="1" x14ac:dyDescent="0.25">
      <c r="A558" s="52" t="s">
        <v>758</v>
      </c>
      <c r="B558" s="26"/>
      <c r="C558" s="55"/>
      <c r="D558" s="54"/>
      <c r="E558" s="54"/>
      <c r="F558" s="69">
        <f>F551+F557</f>
        <v>0</v>
      </c>
      <c r="G558" s="69">
        <f t="shared" ref="G558:J558" si="30">G551+G557</f>
        <v>0</v>
      </c>
      <c r="H558" s="69">
        <f t="shared" si="30"/>
        <v>0</v>
      </c>
      <c r="I558" s="69">
        <f t="shared" si="30"/>
        <v>0</v>
      </c>
      <c r="J558" s="69">
        <f t="shared" si="30"/>
        <v>0</v>
      </c>
    </row>
    <row r="559" spans="1:15" ht="13.5" thickTop="1" x14ac:dyDescent="0.2"/>
  </sheetData>
  <mergeCells count="7">
    <mergeCell ref="A11:I11"/>
    <mergeCell ref="A5:I5"/>
    <mergeCell ref="A6:I6"/>
    <mergeCell ref="A7:I7"/>
    <mergeCell ref="A8:I8"/>
    <mergeCell ref="A9:I9"/>
    <mergeCell ref="A10:I10"/>
  </mergeCells>
  <pageMargins left="0.7" right="0.7" top="0.75" bottom="0.75" header="0.3" footer="0.3"/>
  <pageSetup scale="61" orientation="portrait" r:id="rId1"/>
  <rowBreaks count="3" manualBreakCount="3">
    <brk id="90" max="16383" man="1"/>
    <brk id="358" max="9" man="1"/>
    <brk id="448" max="16383" man="1"/>
  </row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330F1-6E48-4A31-90B6-547219E9FE0D}">
  <dimension ref="A1:I52"/>
  <sheetViews>
    <sheetView view="pageLayout" topLeftCell="C1" zoomScaleNormal="100" workbookViewId="0">
      <selection activeCell="D9" sqref="D9"/>
    </sheetView>
  </sheetViews>
  <sheetFormatPr defaultRowHeight="15" x14ac:dyDescent="0.25"/>
  <cols>
    <col min="1" max="1" width="5.7109375" style="103" customWidth="1"/>
    <col min="2" max="2" width="6.140625" style="103" customWidth="1"/>
    <col min="3" max="3" width="67.42578125" style="103" customWidth="1"/>
    <col min="4" max="7" width="23.7109375" style="108" customWidth="1"/>
    <col min="8" max="8" width="9.140625" style="1"/>
    <col min="9" max="9" width="12.85546875" style="81" bestFit="1" customWidth="1"/>
    <col min="10" max="255" width="9.140625" style="1"/>
    <col min="256" max="256" width="5.7109375" style="1" customWidth="1"/>
    <col min="257" max="257" width="6.140625" style="1" customWidth="1"/>
    <col min="258" max="258" width="67.42578125" style="1" customWidth="1"/>
    <col min="259" max="259" width="23.7109375" style="1" customWidth="1"/>
    <col min="260" max="261" width="0" style="1" hidden="1" customWidth="1"/>
    <col min="262" max="262" width="19.28515625" style="1" customWidth="1"/>
    <col min="263" max="263" width="19.42578125" style="1" customWidth="1"/>
    <col min="264" max="264" width="9.140625" style="1"/>
    <col min="265" max="265" width="12.85546875" style="1" bestFit="1" customWidth="1"/>
    <col min="266" max="511" width="9.140625" style="1"/>
    <col min="512" max="512" width="5.7109375" style="1" customWidth="1"/>
    <col min="513" max="513" width="6.140625" style="1" customWidth="1"/>
    <col min="514" max="514" width="67.42578125" style="1" customWidth="1"/>
    <col min="515" max="515" width="23.7109375" style="1" customWidth="1"/>
    <col min="516" max="517" width="0" style="1" hidden="1" customWidth="1"/>
    <col min="518" max="518" width="19.28515625" style="1" customWidth="1"/>
    <col min="519" max="519" width="19.42578125" style="1" customWidth="1"/>
    <col min="520" max="520" width="9.140625" style="1"/>
    <col min="521" max="521" width="12.85546875" style="1" bestFit="1" customWidth="1"/>
    <col min="522" max="767" width="9.140625" style="1"/>
    <col min="768" max="768" width="5.7109375" style="1" customWidth="1"/>
    <col min="769" max="769" width="6.140625" style="1" customWidth="1"/>
    <col min="770" max="770" width="67.42578125" style="1" customWidth="1"/>
    <col min="771" max="771" width="23.7109375" style="1" customWidth="1"/>
    <col min="772" max="773" width="0" style="1" hidden="1" customWidth="1"/>
    <col min="774" max="774" width="19.28515625" style="1" customWidth="1"/>
    <col min="775" max="775" width="19.42578125" style="1" customWidth="1"/>
    <col min="776" max="776" width="9.140625" style="1"/>
    <col min="777" max="777" width="12.85546875" style="1" bestFit="1" customWidth="1"/>
    <col min="778" max="1023" width="9.140625" style="1"/>
    <col min="1024" max="1024" width="5.7109375" style="1" customWidth="1"/>
    <col min="1025" max="1025" width="6.140625" style="1" customWidth="1"/>
    <col min="1026" max="1026" width="67.42578125" style="1" customWidth="1"/>
    <col min="1027" max="1027" width="23.7109375" style="1" customWidth="1"/>
    <col min="1028" max="1029" width="0" style="1" hidden="1" customWidth="1"/>
    <col min="1030" max="1030" width="19.28515625" style="1" customWidth="1"/>
    <col min="1031" max="1031" width="19.42578125" style="1" customWidth="1"/>
    <col min="1032" max="1032" width="9.140625" style="1"/>
    <col min="1033" max="1033" width="12.85546875" style="1" bestFit="1" customWidth="1"/>
    <col min="1034" max="1279" width="9.140625" style="1"/>
    <col min="1280" max="1280" width="5.7109375" style="1" customWidth="1"/>
    <col min="1281" max="1281" width="6.140625" style="1" customWidth="1"/>
    <col min="1282" max="1282" width="67.42578125" style="1" customWidth="1"/>
    <col min="1283" max="1283" width="23.7109375" style="1" customWidth="1"/>
    <col min="1284" max="1285" width="0" style="1" hidden="1" customWidth="1"/>
    <col min="1286" max="1286" width="19.28515625" style="1" customWidth="1"/>
    <col min="1287" max="1287" width="19.42578125" style="1" customWidth="1"/>
    <col min="1288" max="1288" width="9.140625" style="1"/>
    <col min="1289" max="1289" width="12.85546875" style="1" bestFit="1" customWidth="1"/>
    <col min="1290" max="1535" width="9.140625" style="1"/>
    <col min="1536" max="1536" width="5.7109375" style="1" customWidth="1"/>
    <col min="1537" max="1537" width="6.140625" style="1" customWidth="1"/>
    <col min="1538" max="1538" width="67.42578125" style="1" customWidth="1"/>
    <col min="1539" max="1539" width="23.7109375" style="1" customWidth="1"/>
    <col min="1540" max="1541" width="0" style="1" hidden="1" customWidth="1"/>
    <col min="1542" max="1542" width="19.28515625" style="1" customWidth="1"/>
    <col min="1543" max="1543" width="19.42578125" style="1" customWidth="1"/>
    <col min="1544" max="1544" width="9.140625" style="1"/>
    <col min="1545" max="1545" width="12.85546875" style="1" bestFit="1" customWidth="1"/>
    <col min="1546" max="1791" width="9.140625" style="1"/>
    <col min="1792" max="1792" width="5.7109375" style="1" customWidth="1"/>
    <col min="1793" max="1793" width="6.140625" style="1" customWidth="1"/>
    <col min="1794" max="1794" width="67.42578125" style="1" customWidth="1"/>
    <col min="1795" max="1795" width="23.7109375" style="1" customWidth="1"/>
    <col min="1796" max="1797" width="0" style="1" hidden="1" customWidth="1"/>
    <col min="1798" max="1798" width="19.28515625" style="1" customWidth="1"/>
    <col min="1799" max="1799" width="19.42578125" style="1" customWidth="1"/>
    <col min="1800" max="1800" width="9.140625" style="1"/>
    <col min="1801" max="1801" width="12.85546875" style="1" bestFit="1" customWidth="1"/>
    <col min="1802" max="2047" width="9.140625" style="1"/>
    <col min="2048" max="2048" width="5.7109375" style="1" customWidth="1"/>
    <col min="2049" max="2049" width="6.140625" style="1" customWidth="1"/>
    <col min="2050" max="2050" width="67.42578125" style="1" customWidth="1"/>
    <col min="2051" max="2051" width="23.7109375" style="1" customWidth="1"/>
    <col min="2052" max="2053" width="0" style="1" hidden="1" customWidth="1"/>
    <col min="2054" max="2054" width="19.28515625" style="1" customWidth="1"/>
    <col min="2055" max="2055" width="19.42578125" style="1" customWidth="1"/>
    <col min="2056" max="2056" width="9.140625" style="1"/>
    <col min="2057" max="2057" width="12.85546875" style="1" bestFit="1" customWidth="1"/>
    <col min="2058" max="2303" width="9.140625" style="1"/>
    <col min="2304" max="2304" width="5.7109375" style="1" customWidth="1"/>
    <col min="2305" max="2305" width="6.140625" style="1" customWidth="1"/>
    <col min="2306" max="2306" width="67.42578125" style="1" customWidth="1"/>
    <col min="2307" max="2307" width="23.7109375" style="1" customWidth="1"/>
    <col min="2308" max="2309" width="0" style="1" hidden="1" customWidth="1"/>
    <col min="2310" max="2310" width="19.28515625" style="1" customWidth="1"/>
    <col min="2311" max="2311" width="19.42578125" style="1" customWidth="1"/>
    <col min="2312" max="2312" width="9.140625" style="1"/>
    <col min="2313" max="2313" width="12.85546875" style="1" bestFit="1" customWidth="1"/>
    <col min="2314" max="2559" width="9.140625" style="1"/>
    <col min="2560" max="2560" width="5.7109375" style="1" customWidth="1"/>
    <col min="2561" max="2561" width="6.140625" style="1" customWidth="1"/>
    <col min="2562" max="2562" width="67.42578125" style="1" customWidth="1"/>
    <col min="2563" max="2563" width="23.7109375" style="1" customWidth="1"/>
    <col min="2564" max="2565" width="0" style="1" hidden="1" customWidth="1"/>
    <col min="2566" max="2566" width="19.28515625" style="1" customWidth="1"/>
    <col min="2567" max="2567" width="19.42578125" style="1" customWidth="1"/>
    <col min="2568" max="2568" width="9.140625" style="1"/>
    <col min="2569" max="2569" width="12.85546875" style="1" bestFit="1" customWidth="1"/>
    <col min="2570" max="2815" width="9.140625" style="1"/>
    <col min="2816" max="2816" width="5.7109375" style="1" customWidth="1"/>
    <col min="2817" max="2817" width="6.140625" style="1" customWidth="1"/>
    <col min="2818" max="2818" width="67.42578125" style="1" customWidth="1"/>
    <col min="2819" max="2819" width="23.7109375" style="1" customWidth="1"/>
    <col min="2820" max="2821" width="0" style="1" hidden="1" customWidth="1"/>
    <col min="2822" max="2822" width="19.28515625" style="1" customWidth="1"/>
    <col min="2823" max="2823" width="19.42578125" style="1" customWidth="1"/>
    <col min="2824" max="2824" width="9.140625" style="1"/>
    <col min="2825" max="2825" width="12.85546875" style="1" bestFit="1" customWidth="1"/>
    <col min="2826" max="3071" width="9.140625" style="1"/>
    <col min="3072" max="3072" width="5.7109375" style="1" customWidth="1"/>
    <col min="3073" max="3073" width="6.140625" style="1" customWidth="1"/>
    <col min="3074" max="3074" width="67.42578125" style="1" customWidth="1"/>
    <col min="3075" max="3075" width="23.7109375" style="1" customWidth="1"/>
    <col min="3076" max="3077" width="0" style="1" hidden="1" customWidth="1"/>
    <col min="3078" max="3078" width="19.28515625" style="1" customWidth="1"/>
    <col min="3079" max="3079" width="19.42578125" style="1" customWidth="1"/>
    <col min="3080" max="3080" width="9.140625" style="1"/>
    <col min="3081" max="3081" width="12.85546875" style="1" bestFit="1" customWidth="1"/>
    <col min="3082" max="3327" width="9.140625" style="1"/>
    <col min="3328" max="3328" width="5.7109375" style="1" customWidth="1"/>
    <col min="3329" max="3329" width="6.140625" style="1" customWidth="1"/>
    <col min="3330" max="3330" width="67.42578125" style="1" customWidth="1"/>
    <col min="3331" max="3331" width="23.7109375" style="1" customWidth="1"/>
    <col min="3332" max="3333" width="0" style="1" hidden="1" customWidth="1"/>
    <col min="3334" max="3334" width="19.28515625" style="1" customWidth="1"/>
    <col min="3335" max="3335" width="19.42578125" style="1" customWidth="1"/>
    <col min="3336" max="3336" width="9.140625" style="1"/>
    <col min="3337" max="3337" width="12.85546875" style="1" bestFit="1" customWidth="1"/>
    <col min="3338" max="3583" width="9.140625" style="1"/>
    <col min="3584" max="3584" width="5.7109375" style="1" customWidth="1"/>
    <col min="3585" max="3585" width="6.140625" style="1" customWidth="1"/>
    <col min="3586" max="3586" width="67.42578125" style="1" customWidth="1"/>
    <col min="3587" max="3587" width="23.7109375" style="1" customWidth="1"/>
    <col min="3588" max="3589" width="0" style="1" hidden="1" customWidth="1"/>
    <col min="3590" max="3590" width="19.28515625" style="1" customWidth="1"/>
    <col min="3591" max="3591" width="19.42578125" style="1" customWidth="1"/>
    <col min="3592" max="3592" width="9.140625" style="1"/>
    <col min="3593" max="3593" width="12.85546875" style="1" bestFit="1" customWidth="1"/>
    <col min="3594" max="3839" width="9.140625" style="1"/>
    <col min="3840" max="3840" width="5.7109375" style="1" customWidth="1"/>
    <col min="3841" max="3841" width="6.140625" style="1" customWidth="1"/>
    <col min="3842" max="3842" width="67.42578125" style="1" customWidth="1"/>
    <col min="3843" max="3843" width="23.7109375" style="1" customWidth="1"/>
    <col min="3844" max="3845" width="0" style="1" hidden="1" customWidth="1"/>
    <col min="3846" max="3846" width="19.28515625" style="1" customWidth="1"/>
    <col min="3847" max="3847" width="19.42578125" style="1" customWidth="1"/>
    <col min="3848" max="3848" width="9.140625" style="1"/>
    <col min="3849" max="3849" width="12.85546875" style="1" bestFit="1" customWidth="1"/>
    <col min="3850" max="4095" width="9.140625" style="1"/>
    <col min="4096" max="4096" width="5.7109375" style="1" customWidth="1"/>
    <col min="4097" max="4097" width="6.140625" style="1" customWidth="1"/>
    <col min="4098" max="4098" width="67.42578125" style="1" customWidth="1"/>
    <col min="4099" max="4099" width="23.7109375" style="1" customWidth="1"/>
    <col min="4100" max="4101" width="0" style="1" hidden="1" customWidth="1"/>
    <col min="4102" max="4102" width="19.28515625" style="1" customWidth="1"/>
    <col min="4103" max="4103" width="19.42578125" style="1" customWidth="1"/>
    <col min="4104" max="4104" width="9.140625" style="1"/>
    <col min="4105" max="4105" width="12.85546875" style="1" bestFit="1" customWidth="1"/>
    <col min="4106" max="4351" width="9.140625" style="1"/>
    <col min="4352" max="4352" width="5.7109375" style="1" customWidth="1"/>
    <col min="4353" max="4353" width="6.140625" style="1" customWidth="1"/>
    <col min="4354" max="4354" width="67.42578125" style="1" customWidth="1"/>
    <col min="4355" max="4355" width="23.7109375" style="1" customWidth="1"/>
    <col min="4356" max="4357" width="0" style="1" hidden="1" customWidth="1"/>
    <col min="4358" max="4358" width="19.28515625" style="1" customWidth="1"/>
    <col min="4359" max="4359" width="19.42578125" style="1" customWidth="1"/>
    <col min="4360" max="4360" width="9.140625" style="1"/>
    <col min="4361" max="4361" width="12.85546875" style="1" bestFit="1" customWidth="1"/>
    <col min="4362" max="4607" width="9.140625" style="1"/>
    <col min="4608" max="4608" width="5.7109375" style="1" customWidth="1"/>
    <col min="4609" max="4609" width="6.140625" style="1" customWidth="1"/>
    <col min="4610" max="4610" width="67.42578125" style="1" customWidth="1"/>
    <col min="4611" max="4611" width="23.7109375" style="1" customWidth="1"/>
    <col min="4612" max="4613" width="0" style="1" hidden="1" customWidth="1"/>
    <col min="4614" max="4614" width="19.28515625" style="1" customWidth="1"/>
    <col min="4615" max="4615" width="19.42578125" style="1" customWidth="1"/>
    <col min="4616" max="4616" width="9.140625" style="1"/>
    <col min="4617" max="4617" width="12.85546875" style="1" bestFit="1" customWidth="1"/>
    <col min="4618" max="4863" width="9.140625" style="1"/>
    <col min="4864" max="4864" width="5.7109375" style="1" customWidth="1"/>
    <col min="4865" max="4865" width="6.140625" style="1" customWidth="1"/>
    <col min="4866" max="4866" width="67.42578125" style="1" customWidth="1"/>
    <col min="4867" max="4867" width="23.7109375" style="1" customWidth="1"/>
    <col min="4868" max="4869" width="0" style="1" hidden="1" customWidth="1"/>
    <col min="4870" max="4870" width="19.28515625" style="1" customWidth="1"/>
    <col min="4871" max="4871" width="19.42578125" style="1" customWidth="1"/>
    <col min="4872" max="4872" width="9.140625" style="1"/>
    <col min="4873" max="4873" width="12.85546875" style="1" bestFit="1" customWidth="1"/>
    <col min="4874" max="5119" width="9.140625" style="1"/>
    <col min="5120" max="5120" width="5.7109375" style="1" customWidth="1"/>
    <col min="5121" max="5121" width="6.140625" style="1" customWidth="1"/>
    <col min="5122" max="5122" width="67.42578125" style="1" customWidth="1"/>
    <col min="5123" max="5123" width="23.7109375" style="1" customWidth="1"/>
    <col min="5124" max="5125" width="0" style="1" hidden="1" customWidth="1"/>
    <col min="5126" max="5126" width="19.28515625" style="1" customWidth="1"/>
    <col min="5127" max="5127" width="19.42578125" style="1" customWidth="1"/>
    <col min="5128" max="5128" width="9.140625" style="1"/>
    <col min="5129" max="5129" width="12.85546875" style="1" bestFit="1" customWidth="1"/>
    <col min="5130" max="5375" width="9.140625" style="1"/>
    <col min="5376" max="5376" width="5.7109375" style="1" customWidth="1"/>
    <col min="5377" max="5377" width="6.140625" style="1" customWidth="1"/>
    <col min="5378" max="5378" width="67.42578125" style="1" customWidth="1"/>
    <col min="5379" max="5379" width="23.7109375" style="1" customWidth="1"/>
    <col min="5380" max="5381" width="0" style="1" hidden="1" customWidth="1"/>
    <col min="5382" max="5382" width="19.28515625" style="1" customWidth="1"/>
    <col min="5383" max="5383" width="19.42578125" style="1" customWidth="1"/>
    <col min="5384" max="5384" width="9.140625" style="1"/>
    <col min="5385" max="5385" width="12.85546875" style="1" bestFit="1" customWidth="1"/>
    <col min="5386" max="5631" width="9.140625" style="1"/>
    <col min="5632" max="5632" width="5.7109375" style="1" customWidth="1"/>
    <col min="5633" max="5633" width="6.140625" style="1" customWidth="1"/>
    <col min="5634" max="5634" width="67.42578125" style="1" customWidth="1"/>
    <col min="5635" max="5635" width="23.7109375" style="1" customWidth="1"/>
    <col min="5636" max="5637" width="0" style="1" hidden="1" customWidth="1"/>
    <col min="5638" max="5638" width="19.28515625" style="1" customWidth="1"/>
    <col min="5639" max="5639" width="19.42578125" style="1" customWidth="1"/>
    <col min="5640" max="5640" width="9.140625" style="1"/>
    <col min="5641" max="5641" width="12.85546875" style="1" bestFit="1" customWidth="1"/>
    <col min="5642" max="5887" width="9.140625" style="1"/>
    <col min="5888" max="5888" width="5.7109375" style="1" customWidth="1"/>
    <col min="5889" max="5889" width="6.140625" style="1" customWidth="1"/>
    <col min="5890" max="5890" width="67.42578125" style="1" customWidth="1"/>
    <col min="5891" max="5891" width="23.7109375" style="1" customWidth="1"/>
    <col min="5892" max="5893" width="0" style="1" hidden="1" customWidth="1"/>
    <col min="5894" max="5894" width="19.28515625" style="1" customWidth="1"/>
    <col min="5895" max="5895" width="19.42578125" style="1" customWidth="1"/>
    <col min="5896" max="5896" width="9.140625" style="1"/>
    <col min="5897" max="5897" width="12.85546875" style="1" bestFit="1" customWidth="1"/>
    <col min="5898" max="6143" width="9.140625" style="1"/>
    <col min="6144" max="6144" width="5.7109375" style="1" customWidth="1"/>
    <col min="6145" max="6145" width="6.140625" style="1" customWidth="1"/>
    <col min="6146" max="6146" width="67.42578125" style="1" customWidth="1"/>
    <col min="6147" max="6147" width="23.7109375" style="1" customWidth="1"/>
    <col min="6148" max="6149" width="0" style="1" hidden="1" customWidth="1"/>
    <col min="6150" max="6150" width="19.28515625" style="1" customWidth="1"/>
    <col min="6151" max="6151" width="19.42578125" style="1" customWidth="1"/>
    <col min="6152" max="6152" width="9.140625" style="1"/>
    <col min="6153" max="6153" width="12.85546875" style="1" bestFit="1" customWidth="1"/>
    <col min="6154" max="6399" width="9.140625" style="1"/>
    <col min="6400" max="6400" width="5.7109375" style="1" customWidth="1"/>
    <col min="6401" max="6401" width="6.140625" style="1" customWidth="1"/>
    <col min="6402" max="6402" width="67.42578125" style="1" customWidth="1"/>
    <col min="6403" max="6403" width="23.7109375" style="1" customWidth="1"/>
    <col min="6404" max="6405" width="0" style="1" hidden="1" customWidth="1"/>
    <col min="6406" max="6406" width="19.28515625" style="1" customWidth="1"/>
    <col min="6407" max="6407" width="19.42578125" style="1" customWidth="1"/>
    <col min="6408" max="6408" width="9.140625" style="1"/>
    <col min="6409" max="6409" width="12.85546875" style="1" bestFit="1" customWidth="1"/>
    <col min="6410" max="6655" width="9.140625" style="1"/>
    <col min="6656" max="6656" width="5.7109375" style="1" customWidth="1"/>
    <col min="6657" max="6657" width="6.140625" style="1" customWidth="1"/>
    <col min="6658" max="6658" width="67.42578125" style="1" customWidth="1"/>
    <col min="6659" max="6659" width="23.7109375" style="1" customWidth="1"/>
    <col min="6660" max="6661" width="0" style="1" hidden="1" customWidth="1"/>
    <col min="6662" max="6662" width="19.28515625" style="1" customWidth="1"/>
    <col min="6663" max="6663" width="19.42578125" style="1" customWidth="1"/>
    <col min="6664" max="6664" width="9.140625" style="1"/>
    <col min="6665" max="6665" width="12.85546875" style="1" bestFit="1" customWidth="1"/>
    <col min="6666" max="6911" width="9.140625" style="1"/>
    <col min="6912" max="6912" width="5.7109375" style="1" customWidth="1"/>
    <col min="6913" max="6913" width="6.140625" style="1" customWidth="1"/>
    <col min="6914" max="6914" width="67.42578125" style="1" customWidth="1"/>
    <col min="6915" max="6915" width="23.7109375" style="1" customWidth="1"/>
    <col min="6916" max="6917" width="0" style="1" hidden="1" customWidth="1"/>
    <col min="6918" max="6918" width="19.28515625" style="1" customWidth="1"/>
    <col min="6919" max="6919" width="19.42578125" style="1" customWidth="1"/>
    <col min="6920" max="6920" width="9.140625" style="1"/>
    <col min="6921" max="6921" width="12.85546875" style="1" bestFit="1" customWidth="1"/>
    <col min="6922" max="7167" width="9.140625" style="1"/>
    <col min="7168" max="7168" width="5.7109375" style="1" customWidth="1"/>
    <col min="7169" max="7169" width="6.140625" style="1" customWidth="1"/>
    <col min="7170" max="7170" width="67.42578125" style="1" customWidth="1"/>
    <col min="7171" max="7171" width="23.7109375" style="1" customWidth="1"/>
    <col min="7172" max="7173" width="0" style="1" hidden="1" customWidth="1"/>
    <col min="7174" max="7174" width="19.28515625" style="1" customWidth="1"/>
    <col min="7175" max="7175" width="19.42578125" style="1" customWidth="1"/>
    <col min="7176" max="7176" width="9.140625" style="1"/>
    <col min="7177" max="7177" width="12.85546875" style="1" bestFit="1" customWidth="1"/>
    <col min="7178" max="7423" width="9.140625" style="1"/>
    <col min="7424" max="7424" width="5.7109375" style="1" customWidth="1"/>
    <col min="7425" max="7425" width="6.140625" style="1" customWidth="1"/>
    <col min="7426" max="7426" width="67.42578125" style="1" customWidth="1"/>
    <col min="7427" max="7427" width="23.7109375" style="1" customWidth="1"/>
    <col min="7428" max="7429" width="0" style="1" hidden="1" customWidth="1"/>
    <col min="7430" max="7430" width="19.28515625" style="1" customWidth="1"/>
    <col min="7431" max="7431" width="19.42578125" style="1" customWidth="1"/>
    <col min="7432" max="7432" width="9.140625" style="1"/>
    <col min="7433" max="7433" width="12.85546875" style="1" bestFit="1" customWidth="1"/>
    <col min="7434" max="7679" width="9.140625" style="1"/>
    <col min="7680" max="7680" width="5.7109375" style="1" customWidth="1"/>
    <col min="7681" max="7681" width="6.140625" style="1" customWidth="1"/>
    <col min="7682" max="7682" width="67.42578125" style="1" customWidth="1"/>
    <col min="7683" max="7683" width="23.7109375" style="1" customWidth="1"/>
    <col min="7684" max="7685" width="0" style="1" hidden="1" customWidth="1"/>
    <col min="7686" max="7686" width="19.28515625" style="1" customWidth="1"/>
    <col min="7687" max="7687" width="19.42578125" style="1" customWidth="1"/>
    <col min="7688" max="7688" width="9.140625" style="1"/>
    <col min="7689" max="7689" width="12.85546875" style="1" bestFit="1" customWidth="1"/>
    <col min="7690" max="7935" width="9.140625" style="1"/>
    <col min="7936" max="7936" width="5.7109375" style="1" customWidth="1"/>
    <col min="7937" max="7937" width="6.140625" style="1" customWidth="1"/>
    <col min="7938" max="7938" width="67.42578125" style="1" customWidth="1"/>
    <col min="7939" max="7939" width="23.7109375" style="1" customWidth="1"/>
    <col min="7940" max="7941" width="0" style="1" hidden="1" customWidth="1"/>
    <col min="7942" max="7942" width="19.28515625" style="1" customWidth="1"/>
    <col min="7943" max="7943" width="19.42578125" style="1" customWidth="1"/>
    <col min="7944" max="7944" width="9.140625" style="1"/>
    <col min="7945" max="7945" width="12.85546875" style="1" bestFit="1" customWidth="1"/>
    <col min="7946" max="8191" width="9.140625" style="1"/>
    <col min="8192" max="8192" width="5.7109375" style="1" customWidth="1"/>
    <col min="8193" max="8193" width="6.140625" style="1" customWidth="1"/>
    <col min="8194" max="8194" width="67.42578125" style="1" customWidth="1"/>
    <col min="8195" max="8195" width="23.7109375" style="1" customWidth="1"/>
    <col min="8196" max="8197" width="0" style="1" hidden="1" customWidth="1"/>
    <col min="8198" max="8198" width="19.28515625" style="1" customWidth="1"/>
    <col min="8199" max="8199" width="19.42578125" style="1" customWidth="1"/>
    <col min="8200" max="8200" width="9.140625" style="1"/>
    <col min="8201" max="8201" width="12.85546875" style="1" bestFit="1" customWidth="1"/>
    <col min="8202" max="8447" width="9.140625" style="1"/>
    <col min="8448" max="8448" width="5.7109375" style="1" customWidth="1"/>
    <col min="8449" max="8449" width="6.140625" style="1" customWidth="1"/>
    <col min="8450" max="8450" width="67.42578125" style="1" customWidth="1"/>
    <col min="8451" max="8451" width="23.7109375" style="1" customWidth="1"/>
    <col min="8452" max="8453" width="0" style="1" hidden="1" customWidth="1"/>
    <col min="8454" max="8454" width="19.28515625" style="1" customWidth="1"/>
    <col min="8455" max="8455" width="19.42578125" style="1" customWidth="1"/>
    <col min="8456" max="8456" width="9.140625" style="1"/>
    <col min="8457" max="8457" width="12.85546875" style="1" bestFit="1" customWidth="1"/>
    <col min="8458" max="8703" width="9.140625" style="1"/>
    <col min="8704" max="8704" width="5.7109375" style="1" customWidth="1"/>
    <col min="8705" max="8705" width="6.140625" style="1" customWidth="1"/>
    <col min="8706" max="8706" width="67.42578125" style="1" customWidth="1"/>
    <col min="8707" max="8707" width="23.7109375" style="1" customWidth="1"/>
    <col min="8708" max="8709" width="0" style="1" hidden="1" customWidth="1"/>
    <col min="8710" max="8710" width="19.28515625" style="1" customWidth="1"/>
    <col min="8711" max="8711" width="19.42578125" style="1" customWidth="1"/>
    <col min="8712" max="8712" width="9.140625" style="1"/>
    <col min="8713" max="8713" width="12.85546875" style="1" bestFit="1" customWidth="1"/>
    <col min="8714" max="8959" width="9.140625" style="1"/>
    <col min="8960" max="8960" width="5.7109375" style="1" customWidth="1"/>
    <col min="8961" max="8961" width="6.140625" style="1" customWidth="1"/>
    <col min="8962" max="8962" width="67.42578125" style="1" customWidth="1"/>
    <col min="8963" max="8963" width="23.7109375" style="1" customWidth="1"/>
    <col min="8964" max="8965" width="0" style="1" hidden="1" customWidth="1"/>
    <col min="8966" max="8966" width="19.28515625" style="1" customWidth="1"/>
    <col min="8967" max="8967" width="19.42578125" style="1" customWidth="1"/>
    <col min="8968" max="8968" width="9.140625" style="1"/>
    <col min="8969" max="8969" width="12.85546875" style="1" bestFit="1" customWidth="1"/>
    <col min="8970" max="9215" width="9.140625" style="1"/>
    <col min="9216" max="9216" width="5.7109375" style="1" customWidth="1"/>
    <col min="9217" max="9217" width="6.140625" style="1" customWidth="1"/>
    <col min="9218" max="9218" width="67.42578125" style="1" customWidth="1"/>
    <col min="9219" max="9219" width="23.7109375" style="1" customWidth="1"/>
    <col min="9220" max="9221" width="0" style="1" hidden="1" customWidth="1"/>
    <col min="9222" max="9222" width="19.28515625" style="1" customWidth="1"/>
    <col min="9223" max="9223" width="19.42578125" style="1" customWidth="1"/>
    <col min="9224" max="9224" width="9.140625" style="1"/>
    <col min="9225" max="9225" width="12.85546875" style="1" bestFit="1" customWidth="1"/>
    <col min="9226" max="9471" width="9.140625" style="1"/>
    <col min="9472" max="9472" width="5.7109375" style="1" customWidth="1"/>
    <col min="9473" max="9473" width="6.140625" style="1" customWidth="1"/>
    <col min="9474" max="9474" width="67.42578125" style="1" customWidth="1"/>
    <col min="9475" max="9475" width="23.7109375" style="1" customWidth="1"/>
    <col min="9476" max="9477" width="0" style="1" hidden="1" customWidth="1"/>
    <col min="9478" max="9478" width="19.28515625" style="1" customWidth="1"/>
    <col min="9479" max="9479" width="19.42578125" style="1" customWidth="1"/>
    <col min="9480" max="9480" width="9.140625" style="1"/>
    <col min="9481" max="9481" width="12.85546875" style="1" bestFit="1" customWidth="1"/>
    <col min="9482" max="9727" width="9.140625" style="1"/>
    <col min="9728" max="9728" width="5.7109375" style="1" customWidth="1"/>
    <col min="9729" max="9729" width="6.140625" style="1" customWidth="1"/>
    <col min="9730" max="9730" width="67.42578125" style="1" customWidth="1"/>
    <col min="9731" max="9731" width="23.7109375" style="1" customWidth="1"/>
    <col min="9732" max="9733" width="0" style="1" hidden="1" customWidth="1"/>
    <col min="9734" max="9734" width="19.28515625" style="1" customWidth="1"/>
    <col min="9735" max="9735" width="19.42578125" style="1" customWidth="1"/>
    <col min="9736" max="9736" width="9.140625" style="1"/>
    <col min="9737" max="9737" width="12.85546875" style="1" bestFit="1" customWidth="1"/>
    <col min="9738" max="9983" width="9.140625" style="1"/>
    <col min="9984" max="9984" width="5.7109375" style="1" customWidth="1"/>
    <col min="9985" max="9985" width="6.140625" style="1" customWidth="1"/>
    <col min="9986" max="9986" width="67.42578125" style="1" customWidth="1"/>
    <col min="9987" max="9987" width="23.7109375" style="1" customWidth="1"/>
    <col min="9988" max="9989" width="0" style="1" hidden="1" customWidth="1"/>
    <col min="9990" max="9990" width="19.28515625" style="1" customWidth="1"/>
    <col min="9991" max="9991" width="19.42578125" style="1" customWidth="1"/>
    <col min="9992" max="9992" width="9.140625" style="1"/>
    <col min="9993" max="9993" width="12.85546875" style="1" bestFit="1" customWidth="1"/>
    <col min="9994" max="10239" width="9.140625" style="1"/>
    <col min="10240" max="10240" width="5.7109375" style="1" customWidth="1"/>
    <col min="10241" max="10241" width="6.140625" style="1" customWidth="1"/>
    <col min="10242" max="10242" width="67.42578125" style="1" customWidth="1"/>
    <col min="10243" max="10243" width="23.7109375" style="1" customWidth="1"/>
    <col min="10244" max="10245" width="0" style="1" hidden="1" customWidth="1"/>
    <col min="10246" max="10246" width="19.28515625" style="1" customWidth="1"/>
    <col min="10247" max="10247" width="19.42578125" style="1" customWidth="1"/>
    <col min="10248" max="10248" width="9.140625" style="1"/>
    <col min="10249" max="10249" width="12.85546875" style="1" bestFit="1" customWidth="1"/>
    <col min="10250" max="10495" width="9.140625" style="1"/>
    <col min="10496" max="10496" width="5.7109375" style="1" customWidth="1"/>
    <col min="10497" max="10497" width="6.140625" style="1" customWidth="1"/>
    <col min="10498" max="10498" width="67.42578125" style="1" customWidth="1"/>
    <col min="10499" max="10499" width="23.7109375" style="1" customWidth="1"/>
    <col min="10500" max="10501" width="0" style="1" hidden="1" customWidth="1"/>
    <col min="10502" max="10502" width="19.28515625" style="1" customWidth="1"/>
    <col min="10503" max="10503" width="19.42578125" style="1" customWidth="1"/>
    <col min="10504" max="10504" width="9.140625" style="1"/>
    <col min="10505" max="10505" width="12.85546875" style="1" bestFit="1" customWidth="1"/>
    <col min="10506" max="10751" width="9.140625" style="1"/>
    <col min="10752" max="10752" width="5.7109375" style="1" customWidth="1"/>
    <col min="10753" max="10753" width="6.140625" style="1" customWidth="1"/>
    <col min="10754" max="10754" width="67.42578125" style="1" customWidth="1"/>
    <col min="10755" max="10755" width="23.7109375" style="1" customWidth="1"/>
    <col min="10756" max="10757" width="0" style="1" hidden="1" customWidth="1"/>
    <col min="10758" max="10758" width="19.28515625" style="1" customWidth="1"/>
    <col min="10759" max="10759" width="19.42578125" style="1" customWidth="1"/>
    <col min="10760" max="10760" width="9.140625" style="1"/>
    <col min="10761" max="10761" width="12.85546875" style="1" bestFit="1" customWidth="1"/>
    <col min="10762" max="11007" width="9.140625" style="1"/>
    <col min="11008" max="11008" width="5.7109375" style="1" customWidth="1"/>
    <col min="11009" max="11009" width="6.140625" style="1" customWidth="1"/>
    <col min="11010" max="11010" width="67.42578125" style="1" customWidth="1"/>
    <col min="11011" max="11011" width="23.7109375" style="1" customWidth="1"/>
    <col min="11012" max="11013" width="0" style="1" hidden="1" customWidth="1"/>
    <col min="11014" max="11014" width="19.28515625" style="1" customWidth="1"/>
    <col min="11015" max="11015" width="19.42578125" style="1" customWidth="1"/>
    <col min="11016" max="11016" width="9.140625" style="1"/>
    <col min="11017" max="11017" width="12.85546875" style="1" bestFit="1" customWidth="1"/>
    <col min="11018" max="11263" width="9.140625" style="1"/>
    <col min="11264" max="11264" width="5.7109375" style="1" customWidth="1"/>
    <col min="11265" max="11265" width="6.140625" style="1" customWidth="1"/>
    <col min="11266" max="11266" width="67.42578125" style="1" customWidth="1"/>
    <col min="11267" max="11267" width="23.7109375" style="1" customWidth="1"/>
    <col min="11268" max="11269" width="0" style="1" hidden="1" customWidth="1"/>
    <col min="11270" max="11270" width="19.28515625" style="1" customWidth="1"/>
    <col min="11271" max="11271" width="19.42578125" style="1" customWidth="1"/>
    <col min="11272" max="11272" width="9.140625" style="1"/>
    <col min="11273" max="11273" width="12.85546875" style="1" bestFit="1" customWidth="1"/>
    <col min="11274" max="11519" width="9.140625" style="1"/>
    <col min="11520" max="11520" width="5.7109375" style="1" customWidth="1"/>
    <col min="11521" max="11521" width="6.140625" style="1" customWidth="1"/>
    <col min="11522" max="11522" width="67.42578125" style="1" customWidth="1"/>
    <col min="11523" max="11523" width="23.7109375" style="1" customWidth="1"/>
    <col min="11524" max="11525" width="0" style="1" hidden="1" customWidth="1"/>
    <col min="11526" max="11526" width="19.28515625" style="1" customWidth="1"/>
    <col min="11527" max="11527" width="19.42578125" style="1" customWidth="1"/>
    <col min="11528" max="11528" width="9.140625" style="1"/>
    <col min="11529" max="11529" width="12.85546875" style="1" bestFit="1" customWidth="1"/>
    <col min="11530" max="11775" width="9.140625" style="1"/>
    <col min="11776" max="11776" width="5.7109375" style="1" customWidth="1"/>
    <col min="11777" max="11777" width="6.140625" style="1" customWidth="1"/>
    <col min="11778" max="11778" width="67.42578125" style="1" customWidth="1"/>
    <col min="11779" max="11779" width="23.7109375" style="1" customWidth="1"/>
    <col min="11780" max="11781" width="0" style="1" hidden="1" customWidth="1"/>
    <col min="11782" max="11782" width="19.28515625" style="1" customWidth="1"/>
    <col min="11783" max="11783" width="19.42578125" style="1" customWidth="1"/>
    <col min="11784" max="11784" width="9.140625" style="1"/>
    <col min="11785" max="11785" width="12.85546875" style="1" bestFit="1" customWidth="1"/>
    <col min="11786" max="12031" width="9.140625" style="1"/>
    <col min="12032" max="12032" width="5.7109375" style="1" customWidth="1"/>
    <col min="12033" max="12033" width="6.140625" style="1" customWidth="1"/>
    <col min="12034" max="12034" width="67.42578125" style="1" customWidth="1"/>
    <col min="12035" max="12035" width="23.7109375" style="1" customWidth="1"/>
    <col min="12036" max="12037" width="0" style="1" hidden="1" customWidth="1"/>
    <col min="12038" max="12038" width="19.28515625" style="1" customWidth="1"/>
    <col min="12039" max="12039" width="19.42578125" style="1" customWidth="1"/>
    <col min="12040" max="12040" width="9.140625" style="1"/>
    <col min="12041" max="12041" width="12.85546875" style="1" bestFit="1" customWidth="1"/>
    <col min="12042" max="12287" width="9.140625" style="1"/>
    <col min="12288" max="12288" width="5.7109375" style="1" customWidth="1"/>
    <col min="12289" max="12289" width="6.140625" style="1" customWidth="1"/>
    <col min="12290" max="12290" width="67.42578125" style="1" customWidth="1"/>
    <col min="12291" max="12291" width="23.7109375" style="1" customWidth="1"/>
    <col min="12292" max="12293" width="0" style="1" hidden="1" customWidth="1"/>
    <col min="12294" max="12294" width="19.28515625" style="1" customWidth="1"/>
    <col min="12295" max="12295" width="19.42578125" style="1" customWidth="1"/>
    <col min="12296" max="12296" width="9.140625" style="1"/>
    <col min="12297" max="12297" width="12.85546875" style="1" bestFit="1" customWidth="1"/>
    <col min="12298" max="12543" width="9.140625" style="1"/>
    <col min="12544" max="12544" width="5.7109375" style="1" customWidth="1"/>
    <col min="12545" max="12545" width="6.140625" style="1" customWidth="1"/>
    <col min="12546" max="12546" width="67.42578125" style="1" customWidth="1"/>
    <col min="12547" max="12547" width="23.7109375" style="1" customWidth="1"/>
    <col min="12548" max="12549" width="0" style="1" hidden="1" customWidth="1"/>
    <col min="12550" max="12550" width="19.28515625" style="1" customWidth="1"/>
    <col min="12551" max="12551" width="19.42578125" style="1" customWidth="1"/>
    <col min="12552" max="12552" width="9.140625" style="1"/>
    <col min="12553" max="12553" width="12.85546875" style="1" bestFit="1" customWidth="1"/>
    <col min="12554" max="12799" width="9.140625" style="1"/>
    <col min="12800" max="12800" width="5.7109375" style="1" customWidth="1"/>
    <col min="12801" max="12801" width="6.140625" style="1" customWidth="1"/>
    <col min="12802" max="12802" width="67.42578125" style="1" customWidth="1"/>
    <col min="12803" max="12803" width="23.7109375" style="1" customWidth="1"/>
    <col min="12804" max="12805" width="0" style="1" hidden="1" customWidth="1"/>
    <col min="12806" max="12806" width="19.28515625" style="1" customWidth="1"/>
    <col min="12807" max="12807" width="19.42578125" style="1" customWidth="1"/>
    <col min="12808" max="12808" width="9.140625" style="1"/>
    <col min="12809" max="12809" width="12.85546875" style="1" bestFit="1" customWidth="1"/>
    <col min="12810" max="13055" width="9.140625" style="1"/>
    <col min="13056" max="13056" width="5.7109375" style="1" customWidth="1"/>
    <col min="13057" max="13057" width="6.140625" style="1" customWidth="1"/>
    <col min="13058" max="13058" width="67.42578125" style="1" customWidth="1"/>
    <col min="13059" max="13059" width="23.7109375" style="1" customWidth="1"/>
    <col min="13060" max="13061" width="0" style="1" hidden="1" customWidth="1"/>
    <col min="13062" max="13062" width="19.28515625" style="1" customWidth="1"/>
    <col min="13063" max="13063" width="19.42578125" style="1" customWidth="1"/>
    <col min="13064" max="13064" width="9.140625" style="1"/>
    <col min="13065" max="13065" width="12.85546875" style="1" bestFit="1" customWidth="1"/>
    <col min="13066" max="13311" width="9.140625" style="1"/>
    <col min="13312" max="13312" width="5.7109375" style="1" customWidth="1"/>
    <col min="13313" max="13313" width="6.140625" style="1" customWidth="1"/>
    <col min="13314" max="13314" width="67.42578125" style="1" customWidth="1"/>
    <col min="13315" max="13315" width="23.7109375" style="1" customWidth="1"/>
    <col min="13316" max="13317" width="0" style="1" hidden="1" customWidth="1"/>
    <col min="13318" max="13318" width="19.28515625" style="1" customWidth="1"/>
    <col min="13319" max="13319" width="19.42578125" style="1" customWidth="1"/>
    <col min="13320" max="13320" width="9.140625" style="1"/>
    <col min="13321" max="13321" width="12.85546875" style="1" bestFit="1" customWidth="1"/>
    <col min="13322" max="13567" width="9.140625" style="1"/>
    <col min="13568" max="13568" width="5.7109375" style="1" customWidth="1"/>
    <col min="13569" max="13569" width="6.140625" style="1" customWidth="1"/>
    <col min="13570" max="13570" width="67.42578125" style="1" customWidth="1"/>
    <col min="13571" max="13571" width="23.7109375" style="1" customWidth="1"/>
    <col min="13572" max="13573" width="0" style="1" hidden="1" customWidth="1"/>
    <col min="13574" max="13574" width="19.28515625" style="1" customWidth="1"/>
    <col min="13575" max="13575" width="19.42578125" style="1" customWidth="1"/>
    <col min="13576" max="13576" width="9.140625" style="1"/>
    <col min="13577" max="13577" width="12.85546875" style="1" bestFit="1" customWidth="1"/>
    <col min="13578" max="13823" width="9.140625" style="1"/>
    <col min="13824" max="13824" width="5.7109375" style="1" customWidth="1"/>
    <col min="13825" max="13825" width="6.140625" style="1" customWidth="1"/>
    <col min="13826" max="13826" width="67.42578125" style="1" customWidth="1"/>
    <col min="13827" max="13827" width="23.7109375" style="1" customWidth="1"/>
    <col min="13828" max="13829" width="0" style="1" hidden="1" customWidth="1"/>
    <col min="13830" max="13830" width="19.28515625" style="1" customWidth="1"/>
    <col min="13831" max="13831" width="19.42578125" style="1" customWidth="1"/>
    <col min="13832" max="13832" width="9.140625" style="1"/>
    <col min="13833" max="13833" width="12.85546875" style="1" bestFit="1" customWidth="1"/>
    <col min="13834" max="14079" width="9.140625" style="1"/>
    <col min="14080" max="14080" width="5.7109375" style="1" customWidth="1"/>
    <col min="14081" max="14081" width="6.140625" style="1" customWidth="1"/>
    <col min="14082" max="14082" width="67.42578125" style="1" customWidth="1"/>
    <col min="14083" max="14083" width="23.7109375" style="1" customWidth="1"/>
    <col min="14084" max="14085" width="0" style="1" hidden="1" customWidth="1"/>
    <col min="14086" max="14086" width="19.28515625" style="1" customWidth="1"/>
    <col min="14087" max="14087" width="19.42578125" style="1" customWidth="1"/>
    <col min="14088" max="14088" width="9.140625" style="1"/>
    <col min="14089" max="14089" width="12.85546875" style="1" bestFit="1" customWidth="1"/>
    <col min="14090" max="14335" width="9.140625" style="1"/>
    <col min="14336" max="14336" width="5.7109375" style="1" customWidth="1"/>
    <col min="14337" max="14337" width="6.140625" style="1" customWidth="1"/>
    <col min="14338" max="14338" width="67.42578125" style="1" customWidth="1"/>
    <col min="14339" max="14339" width="23.7109375" style="1" customWidth="1"/>
    <col min="14340" max="14341" width="0" style="1" hidden="1" customWidth="1"/>
    <col min="14342" max="14342" width="19.28515625" style="1" customWidth="1"/>
    <col min="14343" max="14343" width="19.42578125" style="1" customWidth="1"/>
    <col min="14344" max="14344" width="9.140625" style="1"/>
    <col min="14345" max="14345" width="12.85546875" style="1" bestFit="1" customWidth="1"/>
    <col min="14346" max="14591" width="9.140625" style="1"/>
    <col min="14592" max="14592" width="5.7109375" style="1" customWidth="1"/>
    <col min="14593" max="14593" width="6.140625" style="1" customWidth="1"/>
    <col min="14594" max="14594" width="67.42578125" style="1" customWidth="1"/>
    <col min="14595" max="14595" width="23.7109375" style="1" customWidth="1"/>
    <col min="14596" max="14597" width="0" style="1" hidden="1" customWidth="1"/>
    <col min="14598" max="14598" width="19.28515625" style="1" customWidth="1"/>
    <col min="14599" max="14599" width="19.42578125" style="1" customWidth="1"/>
    <col min="14600" max="14600" width="9.140625" style="1"/>
    <col min="14601" max="14601" width="12.85546875" style="1" bestFit="1" customWidth="1"/>
    <col min="14602" max="14847" width="9.140625" style="1"/>
    <col min="14848" max="14848" width="5.7109375" style="1" customWidth="1"/>
    <col min="14849" max="14849" width="6.140625" style="1" customWidth="1"/>
    <col min="14850" max="14850" width="67.42578125" style="1" customWidth="1"/>
    <col min="14851" max="14851" width="23.7109375" style="1" customWidth="1"/>
    <col min="14852" max="14853" width="0" style="1" hidden="1" customWidth="1"/>
    <col min="14854" max="14854" width="19.28515625" style="1" customWidth="1"/>
    <col min="14855" max="14855" width="19.42578125" style="1" customWidth="1"/>
    <col min="14856" max="14856" width="9.140625" style="1"/>
    <col min="14857" max="14857" width="12.85546875" style="1" bestFit="1" customWidth="1"/>
    <col min="14858" max="15103" width="9.140625" style="1"/>
    <col min="15104" max="15104" width="5.7109375" style="1" customWidth="1"/>
    <col min="15105" max="15105" width="6.140625" style="1" customWidth="1"/>
    <col min="15106" max="15106" width="67.42578125" style="1" customWidth="1"/>
    <col min="15107" max="15107" width="23.7109375" style="1" customWidth="1"/>
    <col min="15108" max="15109" width="0" style="1" hidden="1" customWidth="1"/>
    <col min="15110" max="15110" width="19.28515625" style="1" customWidth="1"/>
    <col min="15111" max="15111" width="19.42578125" style="1" customWidth="1"/>
    <col min="15112" max="15112" width="9.140625" style="1"/>
    <col min="15113" max="15113" width="12.85546875" style="1" bestFit="1" customWidth="1"/>
    <col min="15114" max="15359" width="9.140625" style="1"/>
    <col min="15360" max="15360" width="5.7109375" style="1" customWidth="1"/>
    <col min="15361" max="15361" width="6.140625" style="1" customWidth="1"/>
    <col min="15362" max="15362" width="67.42578125" style="1" customWidth="1"/>
    <col min="15363" max="15363" width="23.7109375" style="1" customWidth="1"/>
    <col min="15364" max="15365" width="0" style="1" hidden="1" customWidth="1"/>
    <col min="15366" max="15366" width="19.28515625" style="1" customWidth="1"/>
    <col min="15367" max="15367" width="19.42578125" style="1" customWidth="1"/>
    <col min="15368" max="15368" width="9.140625" style="1"/>
    <col min="15369" max="15369" width="12.85546875" style="1" bestFit="1" customWidth="1"/>
    <col min="15370" max="15615" width="9.140625" style="1"/>
    <col min="15616" max="15616" width="5.7109375" style="1" customWidth="1"/>
    <col min="15617" max="15617" width="6.140625" style="1" customWidth="1"/>
    <col min="15618" max="15618" width="67.42578125" style="1" customWidth="1"/>
    <col min="15619" max="15619" width="23.7109375" style="1" customWidth="1"/>
    <col min="15620" max="15621" width="0" style="1" hidden="1" customWidth="1"/>
    <col min="15622" max="15622" width="19.28515625" style="1" customWidth="1"/>
    <col min="15623" max="15623" width="19.42578125" style="1" customWidth="1"/>
    <col min="15624" max="15624" width="9.140625" style="1"/>
    <col min="15625" max="15625" width="12.85546875" style="1" bestFit="1" customWidth="1"/>
    <col min="15626" max="15871" width="9.140625" style="1"/>
    <col min="15872" max="15872" width="5.7109375" style="1" customWidth="1"/>
    <col min="15873" max="15873" width="6.140625" style="1" customWidth="1"/>
    <col min="15874" max="15874" width="67.42578125" style="1" customWidth="1"/>
    <col min="15875" max="15875" width="23.7109375" style="1" customWidth="1"/>
    <col min="15876" max="15877" width="0" style="1" hidden="1" customWidth="1"/>
    <col min="15878" max="15878" width="19.28515625" style="1" customWidth="1"/>
    <col min="15879" max="15879" width="19.42578125" style="1" customWidth="1"/>
    <col min="15880" max="15880" width="9.140625" style="1"/>
    <col min="15881" max="15881" width="12.85546875" style="1" bestFit="1" customWidth="1"/>
    <col min="15882" max="16127" width="9.140625" style="1"/>
    <col min="16128" max="16128" width="5.7109375" style="1" customWidth="1"/>
    <col min="16129" max="16129" width="6.140625" style="1" customWidth="1"/>
    <col min="16130" max="16130" width="67.42578125" style="1" customWidth="1"/>
    <col min="16131" max="16131" width="23.7109375" style="1" customWidth="1"/>
    <col min="16132" max="16133" width="0" style="1" hidden="1" customWidth="1"/>
    <col min="16134" max="16134" width="19.28515625" style="1" customWidth="1"/>
    <col min="16135" max="16135" width="19.42578125" style="1" customWidth="1"/>
    <col min="16136" max="16136" width="9.140625" style="1"/>
    <col min="16137" max="16137" width="12.85546875" style="1" bestFit="1" customWidth="1"/>
    <col min="16138" max="16384" width="9.140625" style="1"/>
  </cols>
  <sheetData>
    <row r="1" spans="1:9" ht="18.75" x14ac:dyDescent="0.25">
      <c r="A1" s="162" t="s">
        <v>0</v>
      </c>
      <c r="B1" s="162"/>
      <c r="C1" s="162"/>
      <c r="D1" s="162"/>
      <c r="E1" s="162"/>
      <c r="F1" s="162"/>
      <c r="G1" s="162"/>
    </row>
    <row r="2" spans="1:9" ht="18.75" x14ac:dyDescent="0.25">
      <c r="A2" s="162" t="s">
        <v>1</v>
      </c>
      <c r="B2" s="162"/>
      <c r="C2" s="162"/>
      <c r="D2" s="162"/>
      <c r="E2" s="162"/>
      <c r="F2" s="162"/>
      <c r="G2" s="162"/>
    </row>
    <row r="3" spans="1:9" ht="18.75" x14ac:dyDescent="0.25">
      <c r="A3" s="165" t="s">
        <v>2</v>
      </c>
      <c r="B3" s="165"/>
      <c r="C3" s="165"/>
      <c r="D3" s="165"/>
      <c r="E3" s="165"/>
      <c r="F3" s="165"/>
      <c r="G3" s="165"/>
    </row>
    <row r="4" spans="1:9" ht="18.75" x14ac:dyDescent="0.25">
      <c r="A4" s="162"/>
      <c r="B4" s="162"/>
      <c r="C4" s="162"/>
      <c r="D4" s="162"/>
      <c r="E4" s="162"/>
      <c r="F4" s="162"/>
      <c r="G4" s="162"/>
    </row>
    <row r="5" spans="1:9" x14ac:dyDescent="0.25">
      <c r="A5" s="163" t="s">
        <v>759</v>
      </c>
      <c r="B5" s="163"/>
      <c r="C5" s="163"/>
      <c r="D5" s="163"/>
      <c r="E5" s="163"/>
      <c r="F5" s="163"/>
      <c r="G5" s="163"/>
    </row>
    <row r="6" spans="1:9" ht="18.75" x14ac:dyDescent="0.25">
      <c r="A6" s="165"/>
      <c r="B6" s="165"/>
      <c r="C6" s="165"/>
      <c r="D6" s="165"/>
      <c r="E6" s="165"/>
      <c r="F6" s="165"/>
      <c r="G6" s="165"/>
    </row>
    <row r="7" spans="1:9" ht="18.75" x14ac:dyDescent="0.25">
      <c r="A7" s="164" t="s">
        <v>4</v>
      </c>
      <c r="B7" s="164"/>
      <c r="C7" s="164"/>
      <c r="D7" s="164"/>
      <c r="E7" s="164"/>
      <c r="F7" s="164"/>
      <c r="G7" s="164"/>
    </row>
    <row r="8" spans="1:9" ht="18.75" x14ac:dyDescent="0.25">
      <c r="A8" s="177"/>
      <c r="B8" s="177"/>
      <c r="C8" s="177"/>
      <c r="D8" s="177"/>
      <c r="E8" s="177"/>
      <c r="F8" s="177"/>
      <c r="G8" s="177"/>
    </row>
    <row r="9" spans="1:9" ht="18.75" x14ac:dyDescent="0.25">
      <c r="A9" s="178" t="s">
        <v>5</v>
      </c>
      <c r="B9" s="178"/>
      <c r="C9" s="179"/>
      <c r="D9" s="82"/>
      <c r="E9" s="82"/>
      <c r="F9" s="82"/>
      <c r="G9" s="82"/>
      <c r="H9" s="82"/>
      <c r="I9" s="82"/>
    </row>
    <row r="10" spans="1:9" s="83" customFormat="1" ht="15.75" x14ac:dyDescent="0.25">
      <c r="A10" s="173" t="s">
        <v>343</v>
      </c>
      <c r="B10" s="173"/>
      <c r="C10" s="173"/>
      <c r="D10" s="173"/>
      <c r="I10" s="84"/>
    </row>
    <row r="11" spans="1:9" s="83" customFormat="1" ht="15.75" x14ac:dyDescent="0.25">
      <c r="A11" s="85"/>
      <c r="B11" s="86" t="s">
        <v>344</v>
      </c>
      <c r="C11" s="87"/>
      <c r="D11" s="88"/>
      <c r="E11" s="88"/>
      <c r="F11" s="88"/>
      <c r="G11" s="88"/>
      <c r="I11" s="84"/>
    </row>
    <row r="12" spans="1:9" s="83" customFormat="1" ht="15.75" x14ac:dyDescent="0.25">
      <c r="A12" s="89"/>
      <c r="B12" s="90"/>
      <c r="C12" s="91" t="s">
        <v>760</v>
      </c>
      <c r="D12" s="139">
        <f>'Detailed Financial Position'!F29</f>
        <v>0</v>
      </c>
      <c r="E12" s="139">
        <f>'Detailed Financial Position'!G29</f>
        <v>0</v>
      </c>
      <c r="F12" s="139">
        <f>'Detailed Financial Position'!H29</f>
        <v>0</v>
      </c>
      <c r="G12" s="139">
        <f>'Detailed Financial Position'!I29</f>
        <v>0</v>
      </c>
      <c r="H12" s="139">
        <f>'Detailed Financial Position'!J29</f>
        <v>0</v>
      </c>
      <c r="I12" s="139">
        <f>'Detailed Financial Position'!K29</f>
        <v>0</v>
      </c>
    </row>
    <row r="13" spans="1:9" s="83" customFormat="1" ht="15.75" x14ac:dyDescent="0.25">
      <c r="A13" s="89"/>
      <c r="B13" s="90"/>
      <c r="C13" s="91" t="s">
        <v>761</v>
      </c>
      <c r="D13" s="139">
        <f>'Detailed Financial Position'!F58</f>
        <v>0</v>
      </c>
      <c r="E13" s="139">
        <f>'Detailed Financial Position'!G58</f>
        <v>0</v>
      </c>
      <c r="F13" s="139">
        <f>'Detailed Financial Position'!H58</f>
        <v>0</v>
      </c>
      <c r="G13" s="139">
        <f>'Detailed Financial Position'!I58</f>
        <v>0</v>
      </c>
      <c r="H13" s="139">
        <f>'Detailed Financial Position'!J58</f>
        <v>0</v>
      </c>
      <c r="I13" s="139">
        <f>'Detailed Financial Position'!K58</f>
        <v>0</v>
      </c>
    </row>
    <row r="14" spans="1:9" s="83" customFormat="1" ht="15.75" x14ac:dyDescent="0.25">
      <c r="A14" s="89"/>
      <c r="B14" s="90"/>
      <c r="C14" s="91" t="s">
        <v>762</v>
      </c>
      <c r="D14" s="139">
        <f>'Detailed Financial Position'!F111</f>
        <v>0</v>
      </c>
      <c r="E14" s="139">
        <f>'Detailed Financial Position'!G111</f>
        <v>0</v>
      </c>
      <c r="F14" s="139">
        <f>'Detailed Financial Position'!H111</f>
        <v>0</v>
      </c>
      <c r="G14" s="139">
        <f>'Detailed Financial Position'!I111</f>
        <v>0</v>
      </c>
      <c r="H14" s="139">
        <f>'Detailed Financial Position'!J111</f>
        <v>0</v>
      </c>
      <c r="I14" s="139">
        <f>'Detailed Financial Position'!K111</f>
        <v>0</v>
      </c>
    </row>
    <row r="15" spans="1:9" s="83" customFormat="1" ht="15.75" x14ac:dyDescent="0.25">
      <c r="A15" s="89"/>
      <c r="B15" s="90"/>
      <c r="C15" s="91" t="s">
        <v>763</v>
      </c>
      <c r="D15" s="139">
        <f>'Detailed Financial Position'!F145</f>
        <v>0</v>
      </c>
      <c r="E15" s="139">
        <f>'Detailed Financial Position'!G145</f>
        <v>0</v>
      </c>
      <c r="F15" s="139">
        <f>'Detailed Financial Position'!H145</f>
        <v>0</v>
      </c>
      <c r="G15" s="139">
        <f>'Detailed Financial Position'!I145</f>
        <v>0</v>
      </c>
      <c r="H15" s="139">
        <f>'Detailed Financial Position'!J145</f>
        <v>0</v>
      </c>
      <c r="I15" s="139">
        <f>'Detailed Financial Position'!K145</f>
        <v>0</v>
      </c>
    </row>
    <row r="16" spans="1:9" s="83" customFormat="1" ht="15.75" x14ac:dyDescent="0.25">
      <c r="A16" s="89"/>
      <c r="B16" s="90"/>
      <c r="C16" s="91" t="s">
        <v>764</v>
      </c>
      <c r="D16" s="139">
        <f>'Detailed Financial Position'!F156</f>
        <v>0</v>
      </c>
      <c r="E16" s="139">
        <f>'Detailed Financial Position'!G156</f>
        <v>0</v>
      </c>
      <c r="F16" s="139">
        <f>'Detailed Financial Position'!H156</f>
        <v>0</v>
      </c>
      <c r="G16" s="139">
        <f>'Detailed Financial Position'!I156</f>
        <v>0</v>
      </c>
      <c r="H16" s="139">
        <f>'Detailed Financial Position'!J156</f>
        <v>0</v>
      </c>
      <c r="I16" s="139">
        <f>'Detailed Financial Position'!K156</f>
        <v>0</v>
      </c>
    </row>
    <row r="17" spans="1:9" s="83" customFormat="1" ht="15.75" x14ac:dyDescent="0.25">
      <c r="A17" s="174" t="s">
        <v>765</v>
      </c>
      <c r="B17" s="174"/>
      <c r="C17" s="174"/>
      <c r="D17" s="92">
        <f>SUM(D12:D16)</f>
        <v>0</v>
      </c>
      <c r="E17" s="92">
        <f t="shared" ref="E17:I17" si="0">SUM(E12:E16)</f>
        <v>0</v>
      </c>
      <c r="F17" s="92">
        <f t="shared" si="0"/>
        <v>0</v>
      </c>
      <c r="G17" s="92">
        <f t="shared" si="0"/>
        <v>0</v>
      </c>
      <c r="H17" s="92">
        <f t="shared" si="0"/>
        <v>0</v>
      </c>
      <c r="I17" s="92">
        <f t="shared" si="0"/>
        <v>0</v>
      </c>
    </row>
    <row r="18" spans="1:9" s="83" customFormat="1" ht="15.75" x14ac:dyDescent="0.25">
      <c r="A18" s="85"/>
      <c r="B18" s="86" t="s">
        <v>483</v>
      </c>
      <c r="C18" s="87"/>
      <c r="D18" s="88"/>
      <c r="E18" s="88"/>
      <c r="F18" s="88"/>
      <c r="G18" s="88"/>
      <c r="I18" s="84"/>
    </row>
    <row r="19" spans="1:9" s="83" customFormat="1" ht="15.75" x14ac:dyDescent="0.25">
      <c r="A19" s="89"/>
      <c r="B19" s="90"/>
      <c r="C19" s="91" t="s">
        <v>761</v>
      </c>
      <c r="D19" s="139">
        <f>'Detailed Financial Position'!F187</f>
        <v>0</v>
      </c>
      <c r="E19" s="139">
        <f>'Detailed Financial Position'!G187</f>
        <v>0</v>
      </c>
      <c r="F19" s="139">
        <f>'Detailed Financial Position'!H187</f>
        <v>0</v>
      </c>
      <c r="G19" s="139">
        <f>'Detailed Financial Position'!I187</f>
        <v>0</v>
      </c>
      <c r="H19" s="139">
        <f>'Detailed Financial Position'!J187</f>
        <v>0</v>
      </c>
      <c r="I19" s="139">
        <f>'Detailed Financial Position'!K187</f>
        <v>0</v>
      </c>
    </row>
    <row r="20" spans="1:9" s="83" customFormat="1" ht="15.75" x14ac:dyDescent="0.25">
      <c r="A20" s="89"/>
      <c r="B20" s="90"/>
      <c r="C20" s="91" t="s">
        <v>762</v>
      </c>
      <c r="D20" s="139">
        <f>'Detailed Financial Position'!F240</f>
        <v>0</v>
      </c>
      <c r="E20" s="139">
        <f>'Detailed Financial Position'!G240</f>
        <v>0</v>
      </c>
      <c r="F20" s="139">
        <f>'Detailed Financial Position'!H240</f>
        <v>0</v>
      </c>
      <c r="G20" s="139">
        <f>'Detailed Financial Position'!I240</f>
        <v>0</v>
      </c>
      <c r="H20" s="139">
        <f>'Detailed Financial Position'!J240</f>
        <v>0</v>
      </c>
      <c r="I20" s="139">
        <f>'Detailed Financial Position'!K240</f>
        <v>0</v>
      </c>
    </row>
    <row r="21" spans="1:9" s="83" customFormat="1" ht="15.75" x14ac:dyDescent="0.25">
      <c r="A21" s="89"/>
      <c r="B21" s="90"/>
      <c r="C21" s="91" t="s">
        <v>766</v>
      </c>
      <c r="D21" s="139">
        <f>'Detailed Financial Position'!F249</f>
        <v>0</v>
      </c>
      <c r="E21" s="139">
        <f>'Detailed Financial Position'!G249</f>
        <v>0</v>
      </c>
      <c r="F21" s="139">
        <f>'Detailed Financial Position'!H249</f>
        <v>0</v>
      </c>
      <c r="G21" s="139">
        <f>'Detailed Financial Position'!I249</f>
        <v>0</v>
      </c>
      <c r="H21" s="139">
        <f>'Detailed Financial Position'!J249</f>
        <v>0</v>
      </c>
      <c r="I21" s="139">
        <f>'Detailed Financial Position'!K249</f>
        <v>0</v>
      </c>
    </row>
    <row r="22" spans="1:9" s="83" customFormat="1" ht="15.75" x14ac:dyDescent="0.25">
      <c r="A22" s="89"/>
      <c r="B22" s="90"/>
      <c r="C22" s="91" t="s">
        <v>767</v>
      </c>
      <c r="D22" s="139">
        <f>'Detailed Financial Position'!F425</f>
        <v>0</v>
      </c>
      <c r="E22" s="139">
        <f>'Detailed Financial Position'!G425</f>
        <v>0</v>
      </c>
      <c r="F22" s="139">
        <f>'Detailed Financial Position'!H425</f>
        <v>0</v>
      </c>
      <c r="G22" s="139">
        <f>'Detailed Financial Position'!I425</f>
        <v>0</v>
      </c>
      <c r="H22" s="139">
        <f>'Detailed Financial Position'!J425</f>
        <v>0</v>
      </c>
      <c r="I22" s="139">
        <f>'Detailed Financial Position'!K425</f>
        <v>0</v>
      </c>
    </row>
    <row r="23" spans="1:9" s="83" customFormat="1" ht="15.75" x14ac:dyDescent="0.25">
      <c r="A23" s="89"/>
      <c r="B23" s="90"/>
      <c r="C23" s="91" t="s">
        <v>768</v>
      </c>
      <c r="D23" s="139">
        <f>'Detailed Financial Position'!F432</f>
        <v>0</v>
      </c>
      <c r="E23" s="139">
        <f>'Detailed Financial Position'!G432</f>
        <v>0</v>
      </c>
      <c r="F23" s="139">
        <f>'Detailed Financial Position'!H432</f>
        <v>0</v>
      </c>
      <c r="G23" s="139">
        <f>'Detailed Financial Position'!I432</f>
        <v>0</v>
      </c>
      <c r="H23" s="139">
        <f>'Detailed Financial Position'!J432</f>
        <v>0</v>
      </c>
      <c r="I23" s="139">
        <f>'Detailed Financial Position'!K432</f>
        <v>0</v>
      </c>
    </row>
    <row r="24" spans="1:9" s="83" customFormat="1" ht="15.75" x14ac:dyDescent="0.25">
      <c r="A24" s="89"/>
      <c r="B24" s="90"/>
      <c r="C24" s="91" t="s">
        <v>675</v>
      </c>
      <c r="D24" s="139">
        <f>'Detailed Financial Position'!F446</f>
        <v>0</v>
      </c>
      <c r="E24" s="139">
        <f>'Detailed Financial Position'!G446</f>
        <v>0</v>
      </c>
      <c r="F24" s="139">
        <f>'Detailed Financial Position'!H446</f>
        <v>0</v>
      </c>
      <c r="G24" s="139">
        <f>'Detailed Financial Position'!I446</f>
        <v>0</v>
      </c>
      <c r="H24" s="139">
        <f>'Detailed Financial Position'!J446</f>
        <v>0</v>
      </c>
      <c r="I24" s="139">
        <f>'Detailed Financial Position'!K446</f>
        <v>0</v>
      </c>
    </row>
    <row r="25" spans="1:9" s="83" customFormat="1" ht="15.75" x14ac:dyDescent="0.25">
      <c r="A25" s="93"/>
      <c r="B25" s="94"/>
      <c r="C25" s="95"/>
      <c r="D25" s="96"/>
      <c r="E25" s="96"/>
      <c r="F25" s="96"/>
      <c r="G25" s="96"/>
      <c r="I25" s="84"/>
    </row>
    <row r="26" spans="1:9" s="83" customFormat="1" ht="16.5" thickBot="1" x14ac:dyDescent="0.3">
      <c r="A26" s="176" t="s">
        <v>769</v>
      </c>
      <c r="B26" s="176"/>
      <c r="C26" s="176"/>
      <c r="D26" s="97">
        <f>SUM(D19:D24)</f>
        <v>0</v>
      </c>
      <c r="E26" s="97">
        <f t="shared" ref="E26:I26" si="1">SUM(E19:E24)</f>
        <v>0</v>
      </c>
      <c r="F26" s="97">
        <f t="shared" si="1"/>
        <v>0</v>
      </c>
      <c r="G26" s="97">
        <f t="shared" si="1"/>
        <v>0</v>
      </c>
      <c r="H26" s="97">
        <f t="shared" si="1"/>
        <v>0</v>
      </c>
      <c r="I26" s="97">
        <f t="shared" si="1"/>
        <v>0</v>
      </c>
    </row>
    <row r="27" spans="1:9" s="83" customFormat="1" ht="16.5" thickBot="1" x14ac:dyDescent="0.3">
      <c r="A27" s="170" t="s">
        <v>770</v>
      </c>
      <c r="B27" s="171"/>
      <c r="C27" s="172"/>
      <c r="D27" s="98">
        <f>D17+D26</f>
        <v>0</v>
      </c>
      <c r="E27" s="98">
        <f t="shared" ref="E27:I27" si="2">E17+E26</f>
        <v>0</v>
      </c>
      <c r="F27" s="98">
        <f t="shared" si="2"/>
        <v>0</v>
      </c>
      <c r="G27" s="98">
        <f t="shared" si="2"/>
        <v>0</v>
      </c>
      <c r="H27" s="98">
        <f t="shared" si="2"/>
        <v>0</v>
      </c>
      <c r="I27" s="98">
        <f t="shared" si="2"/>
        <v>0</v>
      </c>
    </row>
    <row r="28" spans="1:9" s="83" customFormat="1" ht="15.75" x14ac:dyDescent="0.25">
      <c r="A28" s="173" t="s">
        <v>689</v>
      </c>
      <c r="B28" s="173"/>
      <c r="C28" s="173"/>
      <c r="D28" s="173"/>
      <c r="E28" s="99"/>
      <c r="F28" s="99"/>
      <c r="G28" s="99"/>
      <c r="I28" s="84"/>
    </row>
    <row r="29" spans="1:9" s="83" customFormat="1" ht="15.75" x14ac:dyDescent="0.25">
      <c r="A29" s="85"/>
      <c r="B29" s="86" t="s">
        <v>690</v>
      </c>
      <c r="C29" s="87"/>
      <c r="D29" s="88"/>
      <c r="E29" s="88"/>
      <c r="F29" s="88"/>
      <c r="G29" s="88"/>
      <c r="I29" s="84"/>
    </row>
    <row r="30" spans="1:9" s="83" customFormat="1" ht="15.75" x14ac:dyDescent="0.25">
      <c r="A30" s="89"/>
      <c r="B30" s="90"/>
      <c r="C30" s="91" t="s">
        <v>771</v>
      </c>
      <c r="D30" s="88">
        <f>'Detailed Financial Position'!F473</f>
        <v>0</v>
      </c>
      <c r="E30" s="88">
        <f>'Detailed Financial Position'!G473</f>
        <v>0</v>
      </c>
      <c r="F30" s="88">
        <f>'Detailed Financial Position'!H473</f>
        <v>0</v>
      </c>
      <c r="G30" s="88">
        <f>'Detailed Financial Position'!I473</f>
        <v>0</v>
      </c>
      <c r="H30" s="88">
        <f>'Detailed Financial Position'!J473</f>
        <v>0</v>
      </c>
      <c r="I30" s="88">
        <f>'Detailed Financial Position'!K473</f>
        <v>0</v>
      </c>
    </row>
    <row r="31" spans="1:9" s="83" customFormat="1" ht="15.75" x14ac:dyDescent="0.25">
      <c r="A31" s="89"/>
      <c r="B31" s="90"/>
      <c r="C31" s="91" t="s">
        <v>713</v>
      </c>
      <c r="D31" s="88">
        <f>'Detailed Financial Position'!F483</f>
        <v>0</v>
      </c>
      <c r="E31" s="88">
        <f>'Detailed Financial Position'!G483</f>
        <v>0</v>
      </c>
      <c r="F31" s="88">
        <f>'Detailed Financial Position'!H483</f>
        <v>0</v>
      </c>
      <c r="G31" s="88">
        <f>'Detailed Financial Position'!I483</f>
        <v>0</v>
      </c>
      <c r="H31" s="88">
        <f>'Detailed Financial Position'!J483</f>
        <v>0</v>
      </c>
      <c r="I31" s="88">
        <f>'Detailed Financial Position'!K483</f>
        <v>0</v>
      </c>
    </row>
    <row r="32" spans="1:9" s="83" customFormat="1" ht="15.75" x14ac:dyDescent="0.25">
      <c r="A32" s="89"/>
      <c r="B32" s="90"/>
      <c r="C32" s="91" t="s">
        <v>723</v>
      </c>
      <c r="D32" s="88">
        <f>'Detailed Financial Position'!F488</f>
        <v>0</v>
      </c>
      <c r="E32" s="88">
        <f>'Detailed Financial Position'!G488</f>
        <v>0</v>
      </c>
      <c r="F32" s="88">
        <f>'Detailed Financial Position'!H488</f>
        <v>0</v>
      </c>
      <c r="G32" s="88">
        <f>'Detailed Financial Position'!I488</f>
        <v>0</v>
      </c>
      <c r="H32" s="88">
        <f>'Detailed Financial Position'!J488</f>
        <v>0</v>
      </c>
      <c r="I32" s="88">
        <f>'Detailed Financial Position'!K488</f>
        <v>0</v>
      </c>
    </row>
    <row r="33" spans="1:9" s="83" customFormat="1" ht="15.75" x14ac:dyDescent="0.25">
      <c r="A33" s="89"/>
      <c r="B33" s="90"/>
      <c r="C33" s="91" t="s">
        <v>772</v>
      </c>
      <c r="D33" s="88">
        <f>'Detailed Financial Position'!F495</f>
        <v>0</v>
      </c>
      <c r="E33" s="88">
        <f>'Detailed Financial Position'!G495</f>
        <v>0</v>
      </c>
      <c r="F33" s="88">
        <f>'Detailed Financial Position'!H495</f>
        <v>0</v>
      </c>
      <c r="G33" s="88">
        <f>'Detailed Financial Position'!I495</f>
        <v>0</v>
      </c>
      <c r="H33" s="88">
        <f>'Detailed Financial Position'!J495</f>
        <v>0</v>
      </c>
      <c r="I33" s="88">
        <f>'Detailed Financial Position'!K495</f>
        <v>0</v>
      </c>
    </row>
    <row r="34" spans="1:9" s="83" customFormat="1" ht="15.75" x14ac:dyDescent="0.25">
      <c r="A34" s="89"/>
      <c r="B34" s="90"/>
      <c r="C34" s="91" t="s">
        <v>734</v>
      </c>
      <c r="D34" s="100">
        <f>'Detailed Financial Position'!F503</f>
        <v>0</v>
      </c>
      <c r="E34" s="100">
        <f>'Detailed Financial Position'!G503</f>
        <v>0</v>
      </c>
      <c r="F34" s="100">
        <f>'Detailed Financial Position'!H503</f>
        <v>0</v>
      </c>
      <c r="G34" s="100">
        <f>'Detailed Financial Position'!I503</f>
        <v>0</v>
      </c>
      <c r="H34" s="100">
        <f>'Detailed Financial Position'!J503</f>
        <v>0</v>
      </c>
      <c r="I34" s="100">
        <f>'Detailed Financial Position'!K503</f>
        <v>0</v>
      </c>
    </row>
    <row r="35" spans="1:9" s="83" customFormat="1" ht="15.75" x14ac:dyDescent="0.25">
      <c r="A35" s="174" t="s">
        <v>748</v>
      </c>
      <c r="B35" s="174"/>
      <c r="C35" s="174"/>
      <c r="D35" s="92">
        <f>SUM(D30:D34)</f>
        <v>0</v>
      </c>
      <c r="E35" s="92">
        <f t="shared" ref="E35:I35" si="3">SUM(E30:E34)</f>
        <v>0</v>
      </c>
      <c r="F35" s="92">
        <f t="shared" si="3"/>
        <v>0</v>
      </c>
      <c r="G35" s="92">
        <f t="shared" si="3"/>
        <v>0</v>
      </c>
      <c r="H35" s="92">
        <f t="shared" si="3"/>
        <v>0</v>
      </c>
      <c r="I35" s="92">
        <f t="shared" si="3"/>
        <v>0</v>
      </c>
    </row>
    <row r="36" spans="1:9" s="83" customFormat="1" ht="15.75" x14ac:dyDescent="0.25">
      <c r="A36" s="85"/>
      <c r="B36" s="86" t="s">
        <v>749</v>
      </c>
      <c r="C36" s="87"/>
      <c r="D36" s="88"/>
      <c r="E36" s="88"/>
      <c r="F36" s="88"/>
      <c r="G36" s="88"/>
      <c r="I36" s="84"/>
    </row>
    <row r="37" spans="1:9" s="83" customFormat="1" ht="15.75" x14ac:dyDescent="0.25">
      <c r="A37" s="89"/>
      <c r="B37" s="90"/>
      <c r="C37" s="91" t="s">
        <v>773</v>
      </c>
      <c r="D37" s="88">
        <f>'Detailed Financial Position'!F534</f>
        <v>0</v>
      </c>
      <c r="E37" s="88">
        <f>'Detailed Financial Position'!G534</f>
        <v>0</v>
      </c>
      <c r="F37" s="88">
        <f>'Detailed Financial Position'!H534</f>
        <v>0</v>
      </c>
      <c r="G37" s="88">
        <f>'Detailed Financial Position'!I534</f>
        <v>0</v>
      </c>
      <c r="H37" s="88">
        <f>'Detailed Financial Position'!J534</f>
        <v>0</v>
      </c>
      <c r="I37" s="88">
        <f>'Detailed Financial Position'!K534</f>
        <v>0</v>
      </c>
    </row>
    <row r="38" spans="1:9" s="83" customFormat="1" ht="15.75" x14ac:dyDescent="0.25">
      <c r="A38" s="89"/>
      <c r="B38" s="90"/>
      <c r="C38" s="91" t="s">
        <v>734</v>
      </c>
      <c r="D38" s="88">
        <f>'Detailed Financial Position'!F542</f>
        <v>0</v>
      </c>
      <c r="E38" s="88">
        <f>'Detailed Financial Position'!G542</f>
        <v>0</v>
      </c>
      <c r="F38" s="88">
        <f>'Detailed Financial Position'!H542</f>
        <v>0</v>
      </c>
      <c r="G38" s="88">
        <f>'Detailed Financial Position'!I542</f>
        <v>0</v>
      </c>
      <c r="H38" s="88">
        <f>'Detailed Financial Position'!J542</f>
        <v>0</v>
      </c>
      <c r="I38" s="88">
        <f>'Detailed Financial Position'!K542</f>
        <v>0</v>
      </c>
    </row>
    <row r="39" spans="1:9" s="83" customFormat="1" ht="15.75" x14ac:dyDescent="0.25">
      <c r="A39" s="89"/>
      <c r="B39" s="90"/>
      <c r="C39" s="91" t="s">
        <v>742</v>
      </c>
      <c r="D39" s="88">
        <f>'Detailed Financial Position'!F546</f>
        <v>0</v>
      </c>
      <c r="E39" s="88">
        <f>'Detailed Financial Position'!G546</f>
        <v>0</v>
      </c>
      <c r="F39" s="88">
        <f>'Detailed Financial Position'!H546</f>
        <v>0</v>
      </c>
      <c r="G39" s="88">
        <f>'Detailed Financial Position'!I546</f>
        <v>0</v>
      </c>
      <c r="H39" s="88">
        <f>'Detailed Financial Position'!J546</f>
        <v>0</v>
      </c>
      <c r="I39" s="88">
        <f>'Detailed Financial Position'!K546</f>
        <v>0</v>
      </c>
    </row>
    <row r="40" spans="1:9" s="83" customFormat="1" ht="15.75" x14ac:dyDescent="0.25">
      <c r="A40" s="89"/>
      <c r="B40" s="90"/>
      <c r="C40" s="91" t="s">
        <v>746</v>
      </c>
      <c r="D40" s="88">
        <f>'Detailed Financial Position'!F549</f>
        <v>0</v>
      </c>
      <c r="E40" s="88">
        <f>'Detailed Financial Position'!G549</f>
        <v>0</v>
      </c>
      <c r="F40" s="88">
        <f>'Detailed Financial Position'!H549</f>
        <v>0</v>
      </c>
      <c r="G40" s="88">
        <f>'Detailed Financial Position'!I549</f>
        <v>0</v>
      </c>
      <c r="H40" s="88">
        <f>'Detailed Financial Position'!J549</f>
        <v>0</v>
      </c>
      <c r="I40" s="88">
        <f>'Detailed Financial Position'!K549</f>
        <v>0</v>
      </c>
    </row>
    <row r="41" spans="1:9" s="83" customFormat="1" ht="16.5" thickBot="1" x14ac:dyDescent="0.3">
      <c r="A41" s="175" t="s">
        <v>774</v>
      </c>
      <c r="B41" s="175"/>
      <c r="C41" s="175"/>
      <c r="D41" s="101">
        <f>SUM(D37:D40)</f>
        <v>0</v>
      </c>
      <c r="E41" s="101">
        <f t="shared" ref="E41:I41" si="4">SUM(E37:E40)</f>
        <v>0</v>
      </c>
      <c r="F41" s="101">
        <f t="shared" si="4"/>
        <v>0</v>
      </c>
      <c r="G41" s="101">
        <f t="shared" si="4"/>
        <v>0</v>
      </c>
      <c r="H41" s="101">
        <f t="shared" si="4"/>
        <v>0</v>
      </c>
      <c r="I41" s="101">
        <f t="shared" si="4"/>
        <v>0</v>
      </c>
    </row>
    <row r="42" spans="1:9" s="83" customFormat="1" ht="16.5" thickBot="1" x14ac:dyDescent="0.3">
      <c r="A42" s="170" t="s">
        <v>775</v>
      </c>
      <c r="B42" s="171"/>
      <c r="C42" s="172"/>
      <c r="D42" s="98">
        <f>SUM(D35+D41)</f>
        <v>0</v>
      </c>
      <c r="E42" s="98">
        <f t="shared" ref="E42:I42" si="5">SUM(E35+E41)</f>
        <v>0</v>
      </c>
      <c r="F42" s="98">
        <f t="shared" si="5"/>
        <v>0</v>
      </c>
      <c r="G42" s="98">
        <f t="shared" si="5"/>
        <v>0</v>
      </c>
      <c r="H42" s="98">
        <f t="shared" si="5"/>
        <v>0</v>
      </c>
      <c r="I42" s="98">
        <f t="shared" si="5"/>
        <v>0</v>
      </c>
    </row>
    <row r="43" spans="1:9" s="83" customFormat="1" ht="15.75" x14ac:dyDescent="0.25">
      <c r="A43" s="173" t="s">
        <v>753</v>
      </c>
      <c r="B43" s="173"/>
      <c r="C43" s="173"/>
      <c r="D43" s="173"/>
      <c r="E43" s="99"/>
      <c r="F43" s="99"/>
      <c r="G43" s="99"/>
      <c r="I43" s="84"/>
    </row>
    <row r="44" spans="1:9" s="83" customFormat="1" ht="15.75" x14ac:dyDescent="0.25">
      <c r="A44" s="89"/>
      <c r="B44" s="90" t="s">
        <v>776</v>
      </c>
      <c r="C44" s="91"/>
      <c r="D44" s="88">
        <f>'Detailed Financial Position'!F553</f>
        <v>0</v>
      </c>
      <c r="E44" s="88">
        <f>'Detailed Financial Position'!G553</f>
        <v>0</v>
      </c>
      <c r="F44" s="88">
        <f>'Detailed Financial Position'!H553</f>
        <v>0</v>
      </c>
      <c r="G44" s="88">
        <f>'Detailed Financial Position'!I553</f>
        <v>0</v>
      </c>
      <c r="H44" s="88">
        <f>'Detailed Financial Position'!J553</f>
        <v>0</v>
      </c>
      <c r="I44" s="88">
        <f>'Detailed Financial Position'!K553</f>
        <v>0</v>
      </c>
    </row>
    <row r="45" spans="1:9" s="83" customFormat="1" ht="15.75" x14ac:dyDescent="0.25">
      <c r="A45" s="89"/>
      <c r="B45" s="90" t="s">
        <v>820</v>
      </c>
      <c r="C45" s="91"/>
      <c r="D45" s="88">
        <f>'Condensed Financial Performance'!D29</f>
        <v>0</v>
      </c>
      <c r="E45" s="88">
        <f>'Condensed Financial Performance'!E29</f>
        <v>0</v>
      </c>
      <c r="F45" s="88">
        <f>'Condensed Financial Performance'!F29</f>
        <v>0</v>
      </c>
      <c r="G45" s="88">
        <f>'Condensed Financial Performance'!G29</f>
        <v>0</v>
      </c>
      <c r="H45" s="88">
        <f>'Condensed Financial Performance'!H29</f>
        <v>0</v>
      </c>
      <c r="I45" s="88">
        <f>'Condensed Financial Performance'!I29</f>
        <v>0</v>
      </c>
    </row>
    <row r="46" spans="1:9" s="83" customFormat="1" ht="15.75" x14ac:dyDescent="0.25">
      <c r="A46" s="167" t="s">
        <v>777</v>
      </c>
      <c r="B46" s="168"/>
      <c r="C46" s="169"/>
      <c r="D46" s="102">
        <f>D42+D44</f>
        <v>0</v>
      </c>
      <c r="E46" s="102">
        <f t="shared" ref="E46:I46" si="6">E42+E44</f>
        <v>0</v>
      </c>
      <c r="F46" s="102">
        <f t="shared" si="6"/>
        <v>0</v>
      </c>
      <c r="G46" s="102">
        <f t="shared" si="6"/>
        <v>0</v>
      </c>
      <c r="H46" s="102">
        <f t="shared" si="6"/>
        <v>0</v>
      </c>
      <c r="I46" s="102">
        <f t="shared" si="6"/>
        <v>0</v>
      </c>
    </row>
    <row r="47" spans="1:9" x14ac:dyDescent="0.25">
      <c r="D47" s="104"/>
      <c r="E47" s="104"/>
      <c r="F47" s="104"/>
      <c r="G47" s="104"/>
    </row>
    <row r="48" spans="1:9" x14ac:dyDescent="0.25">
      <c r="D48" s="104"/>
      <c r="E48" s="104"/>
      <c r="F48" s="104"/>
      <c r="G48" s="104"/>
    </row>
    <row r="49" spans="1:9" s="106" customFormat="1" ht="15.75" x14ac:dyDescent="0.25">
      <c r="A49" s="5" t="s">
        <v>26</v>
      </c>
      <c r="B49" s="5"/>
      <c r="D49" s="160" t="s">
        <v>27</v>
      </c>
      <c r="E49" s="160"/>
      <c r="F49" s="160"/>
      <c r="G49" s="105"/>
      <c r="I49" s="107"/>
    </row>
    <row r="50" spans="1:9" s="106" customFormat="1" ht="15.75" x14ac:dyDescent="0.25">
      <c r="A50" s="5"/>
      <c r="B50" s="5"/>
      <c r="C50" s="5"/>
      <c r="D50" s="9"/>
      <c r="E50" s="9"/>
      <c r="F50" s="9"/>
      <c r="G50" s="9"/>
      <c r="I50" s="107"/>
    </row>
    <row r="51" spans="1:9" s="106" customFormat="1" ht="15.75" x14ac:dyDescent="0.25">
      <c r="A51" s="5"/>
      <c r="B51" s="158"/>
      <c r="C51" s="158"/>
      <c r="E51" s="13" t="s">
        <v>28</v>
      </c>
      <c r="F51" s="13"/>
      <c r="G51" s="13"/>
      <c r="I51" s="107"/>
    </row>
    <row r="52" spans="1:9" s="106" customFormat="1" ht="15.75" x14ac:dyDescent="0.25">
      <c r="A52" s="5"/>
      <c r="B52" s="160"/>
      <c r="C52" s="160"/>
      <c r="E52" s="7" t="s">
        <v>29</v>
      </c>
      <c r="F52" s="7"/>
      <c r="G52" s="7"/>
      <c r="I52" s="107"/>
    </row>
  </sheetData>
  <mergeCells count="22">
    <mergeCell ref="A26:C26"/>
    <mergeCell ref="A1:G1"/>
    <mergeCell ref="A2:G2"/>
    <mergeCell ref="A3:G3"/>
    <mergeCell ref="A4:G4"/>
    <mergeCell ref="A5:G5"/>
    <mergeCell ref="A6:G6"/>
    <mergeCell ref="A7:G7"/>
    <mergeCell ref="A8:G8"/>
    <mergeCell ref="A9:C9"/>
    <mergeCell ref="A10:D10"/>
    <mergeCell ref="A17:C17"/>
    <mergeCell ref="A46:C46"/>
    <mergeCell ref="B51:C51"/>
    <mergeCell ref="B52:C52"/>
    <mergeCell ref="D49:F49"/>
    <mergeCell ref="A27:C27"/>
    <mergeCell ref="A28:D28"/>
    <mergeCell ref="A35:C35"/>
    <mergeCell ref="A41:C41"/>
    <mergeCell ref="A42:C42"/>
    <mergeCell ref="A43:D43"/>
  </mergeCells>
  <pageMargins left="0.7" right="0.7" top="0.75" bottom="0.75" header="0.3" footer="0.3"/>
  <pageSetup scale="51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2A56F-633B-4F80-98A6-A2285EAFEB04}">
  <dimension ref="A1:O63"/>
  <sheetViews>
    <sheetView view="pageLayout" zoomScaleNormal="100" zoomScaleSheetLayoutView="100" workbookViewId="0">
      <selection activeCell="F51" sqref="F51:L55"/>
    </sheetView>
  </sheetViews>
  <sheetFormatPr defaultRowHeight="15.75" x14ac:dyDescent="0.25"/>
  <cols>
    <col min="1" max="2" width="7.140625" style="5" customWidth="1"/>
    <col min="3" max="3" width="7.5703125" style="5" customWidth="1"/>
    <col min="4" max="4" width="9.7109375" style="5" customWidth="1"/>
    <col min="5" max="5" width="43.140625" style="5" customWidth="1"/>
    <col min="6" max="6" width="20.140625" style="5" customWidth="1"/>
    <col min="7" max="7" width="0.140625" style="5" customWidth="1"/>
    <col min="8" max="9" width="19.5703125" style="5" customWidth="1"/>
    <col min="10" max="10" width="19.5703125" style="3" customWidth="1"/>
    <col min="11" max="11" width="3.85546875" style="3" customWidth="1"/>
    <col min="12" max="12" width="14.85546875" style="3" bestFit="1" customWidth="1"/>
    <col min="13" max="13" width="19.85546875" style="3" customWidth="1"/>
    <col min="14" max="255" width="9.140625" style="3"/>
    <col min="256" max="257" width="7.140625" style="3" customWidth="1"/>
    <col min="258" max="258" width="7.5703125" style="3" customWidth="1"/>
    <col min="259" max="259" width="9.7109375" style="3" customWidth="1"/>
    <col min="260" max="260" width="43.140625" style="3" customWidth="1"/>
    <col min="261" max="261" width="19.5703125" style="3" customWidth="1"/>
    <col min="262" max="266" width="0" style="3" hidden="1" customWidth="1"/>
    <col min="267" max="267" width="3.85546875" style="3" customWidth="1"/>
    <col min="268" max="268" width="14.85546875" style="3" bestFit="1" customWidth="1"/>
    <col min="269" max="269" width="19.85546875" style="3" customWidth="1"/>
    <col min="270" max="511" width="9.140625" style="3"/>
    <col min="512" max="513" width="7.140625" style="3" customWidth="1"/>
    <col min="514" max="514" width="7.5703125" style="3" customWidth="1"/>
    <col min="515" max="515" width="9.7109375" style="3" customWidth="1"/>
    <col min="516" max="516" width="43.140625" style="3" customWidth="1"/>
    <col min="517" max="517" width="19.5703125" style="3" customWidth="1"/>
    <col min="518" max="522" width="0" style="3" hidden="1" customWidth="1"/>
    <col min="523" max="523" width="3.85546875" style="3" customWidth="1"/>
    <col min="524" max="524" width="14.85546875" style="3" bestFit="1" customWidth="1"/>
    <col min="525" max="525" width="19.85546875" style="3" customWidth="1"/>
    <col min="526" max="767" width="9.140625" style="3"/>
    <col min="768" max="769" width="7.140625" style="3" customWidth="1"/>
    <col min="770" max="770" width="7.5703125" style="3" customWidth="1"/>
    <col min="771" max="771" width="9.7109375" style="3" customWidth="1"/>
    <col min="772" max="772" width="43.140625" style="3" customWidth="1"/>
    <col min="773" max="773" width="19.5703125" style="3" customWidth="1"/>
    <col min="774" max="778" width="0" style="3" hidden="1" customWidth="1"/>
    <col min="779" max="779" width="3.85546875" style="3" customWidth="1"/>
    <col min="780" max="780" width="14.85546875" style="3" bestFit="1" customWidth="1"/>
    <col min="781" max="781" width="19.85546875" style="3" customWidth="1"/>
    <col min="782" max="1023" width="9.140625" style="3"/>
    <col min="1024" max="1025" width="7.140625" style="3" customWidth="1"/>
    <col min="1026" max="1026" width="7.5703125" style="3" customWidth="1"/>
    <col min="1027" max="1027" width="9.7109375" style="3" customWidth="1"/>
    <col min="1028" max="1028" width="43.140625" style="3" customWidth="1"/>
    <col min="1029" max="1029" width="19.5703125" style="3" customWidth="1"/>
    <col min="1030" max="1034" width="0" style="3" hidden="1" customWidth="1"/>
    <col min="1035" max="1035" width="3.85546875" style="3" customWidth="1"/>
    <col min="1036" max="1036" width="14.85546875" style="3" bestFit="1" customWidth="1"/>
    <col min="1037" max="1037" width="19.85546875" style="3" customWidth="1"/>
    <col min="1038" max="1279" width="9.140625" style="3"/>
    <col min="1280" max="1281" width="7.140625" style="3" customWidth="1"/>
    <col min="1282" max="1282" width="7.5703125" style="3" customWidth="1"/>
    <col min="1283" max="1283" width="9.7109375" style="3" customWidth="1"/>
    <col min="1284" max="1284" width="43.140625" style="3" customWidth="1"/>
    <col min="1285" max="1285" width="19.5703125" style="3" customWidth="1"/>
    <col min="1286" max="1290" width="0" style="3" hidden="1" customWidth="1"/>
    <col min="1291" max="1291" width="3.85546875" style="3" customWidth="1"/>
    <col min="1292" max="1292" width="14.85546875" style="3" bestFit="1" customWidth="1"/>
    <col min="1293" max="1293" width="19.85546875" style="3" customWidth="1"/>
    <col min="1294" max="1535" width="9.140625" style="3"/>
    <col min="1536" max="1537" width="7.140625" style="3" customWidth="1"/>
    <col min="1538" max="1538" width="7.5703125" style="3" customWidth="1"/>
    <col min="1539" max="1539" width="9.7109375" style="3" customWidth="1"/>
    <col min="1540" max="1540" width="43.140625" style="3" customWidth="1"/>
    <col min="1541" max="1541" width="19.5703125" style="3" customWidth="1"/>
    <col min="1542" max="1546" width="0" style="3" hidden="1" customWidth="1"/>
    <col min="1547" max="1547" width="3.85546875" style="3" customWidth="1"/>
    <col min="1548" max="1548" width="14.85546875" style="3" bestFit="1" customWidth="1"/>
    <col min="1549" max="1549" width="19.85546875" style="3" customWidth="1"/>
    <col min="1550" max="1791" width="9.140625" style="3"/>
    <col min="1792" max="1793" width="7.140625" style="3" customWidth="1"/>
    <col min="1794" max="1794" width="7.5703125" style="3" customWidth="1"/>
    <col min="1795" max="1795" width="9.7109375" style="3" customWidth="1"/>
    <col min="1796" max="1796" width="43.140625" style="3" customWidth="1"/>
    <col min="1797" max="1797" width="19.5703125" style="3" customWidth="1"/>
    <col min="1798" max="1802" width="0" style="3" hidden="1" customWidth="1"/>
    <col min="1803" max="1803" width="3.85546875" style="3" customWidth="1"/>
    <col min="1804" max="1804" width="14.85546875" style="3" bestFit="1" customWidth="1"/>
    <col min="1805" max="1805" width="19.85546875" style="3" customWidth="1"/>
    <col min="1806" max="2047" width="9.140625" style="3"/>
    <col min="2048" max="2049" width="7.140625" style="3" customWidth="1"/>
    <col min="2050" max="2050" width="7.5703125" style="3" customWidth="1"/>
    <col min="2051" max="2051" width="9.7109375" style="3" customWidth="1"/>
    <col min="2052" max="2052" width="43.140625" style="3" customWidth="1"/>
    <col min="2053" max="2053" width="19.5703125" style="3" customWidth="1"/>
    <col min="2054" max="2058" width="0" style="3" hidden="1" customWidth="1"/>
    <col min="2059" max="2059" width="3.85546875" style="3" customWidth="1"/>
    <col min="2060" max="2060" width="14.85546875" style="3" bestFit="1" customWidth="1"/>
    <col min="2061" max="2061" width="19.85546875" style="3" customWidth="1"/>
    <col min="2062" max="2303" width="9.140625" style="3"/>
    <col min="2304" max="2305" width="7.140625" style="3" customWidth="1"/>
    <col min="2306" max="2306" width="7.5703125" style="3" customWidth="1"/>
    <col min="2307" max="2307" width="9.7109375" style="3" customWidth="1"/>
    <col min="2308" max="2308" width="43.140625" style="3" customWidth="1"/>
    <col min="2309" max="2309" width="19.5703125" style="3" customWidth="1"/>
    <col min="2310" max="2314" width="0" style="3" hidden="1" customWidth="1"/>
    <col min="2315" max="2315" width="3.85546875" style="3" customWidth="1"/>
    <col min="2316" max="2316" width="14.85546875" style="3" bestFit="1" customWidth="1"/>
    <col min="2317" max="2317" width="19.85546875" style="3" customWidth="1"/>
    <col min="2318" max="2559" width="9.140625" style="3"/>
    <col min="2560" max="2561" width="7.140625" style="3" customWidth="1"/>
    <col min="2562" max="2562" width="7.5703125" style="3" customWidth="1"/>
    <col min="2563" max="2563" width="9.7109375" style="3" customWidth="1"/>
    <col min="2564" max="2564" width="43.140625" style="3" customWidth="1"/>
    <col min="2565" max="2565" width="19.5703125" style="3" customWidth="1"/>
    <col min="2566" max="2570" width="0" style="3" hidden="1" customWidth="1"/>
    <col min="2571" max="2571" width="3.85546875" style="3" customWidth="1"/>
    <col min="2572" max="2572" width="14.85546875" style="3" bestFit="1" customWidth="1"/>
    <col min="2573" max="2573" width="19.85546875" style="3" customWidth="1"/>
    <col min="2574" max="2815" width="9.140625" style="3"/>
    <col min="2816" max="2817" width="7.140625" style="3" customWidth="1"/>
    <col min="2818" max="2818" width="7.5703125" style="3" customWidth="1"/>
    <col min="2819" max="2819" width="9.7109375" style="3" customWidth="1"/>
    <col min="2820" max="2820" width="43.140625" style="3" customWidth="1"/>
    <col min="2821" max="2821" width="19.5703125" style="3" customWidth="1"/>
    <col min="2822" max="2826" width="0" style="3" hidden="1" customWidth="1"/>
    <col min="2827" max="2827" width="3.85546875" style="3" customWidth="1"/>
    <col min="2828" max="2828" width="14.85546875" style="3" bestFit="1" customWidth="1"/>
    <col min="2829" max="2829" width="19.85546875" style="3" customWidth="1"/>
    <col min="2830" max="3071" width="9.140625" style="3"/>
    <col min="3072" max="3073" width="7.140625" style="3" customWidth="1"/>
    <col min="3074" max="3074" width="7.5703125" style="3" customWidth="1"/>
    <col min="3075" max="3075" width="9.7109375" style="3" customWidth="1"/>
    <col min="3076" max="3076" width="43.140625" style="3" customWidth="1"/>
    <col min="3077" max="3077" width="19.5703125" style="3" customWidth="1"/>
    <col min="3078" max="3082" width="0" style="3" hidden="1" customWidth="1"/>
    <col min="3083" max="3083" width="3.85546875" style="3" customWidth="1"/>
    <col min="3084" max="3084" width="14.85546875" style="3" bestFit="1" customWidth="1"/>
    <col min="3085" max="3085" width="19.85546875" style="3" customWidth="1"/>
    <col min="3086" max="3327" width="9.140625" style="3"/>
    <col min="3328" max="3329" width="7.140625" style="3" customWidth="1"/>
    <col min="3330" max="3330" width="7.5703125" style="3" customWidth="1"/>
    <col min="3331" max="3331" width="9.7109375" style="3" customWidth="1"/>
    <col min="3332" max="3332" width="43.140625" style="3" customWidth="1"/>
    <col min="3333" max="3333" width="19.5703125" style="3" customWidth="1"/>
    <col min="3334" max="3338" width="0" style="3" hidden="1" customWidth="1"/>
    <col min="3339" max="3339" width="3.85546875" style="3" customWidth="1"/>
    <col min="3340" max="3340" width="14.85546875" style="3" bestFit="1" customWidth="1"/>
    <col min="3341" max="3341" width="19.85546875" style="3" customWidth="1"/>
    <col min="3342" max="3583" width="9.140625" style="3"/>
    <col min="3584" max="3585" width="7.140625" style="3" customWidth="1"/>
    <col min="3586" max="3586" width="7.5703125" style="3" customWidth="1"/>
    <col min="3587" max="3587" width="9.7109375" style="3" customWidth="1"/>
    <col min="3588" max="3588" width="43.140625" style="3" customWidth="1"/>
    <col min="3589" max="3589" width="19.5703125" style="3" customWidth="1"/>
    <col min="3590" max="3594" width="0" style="3" hidden="1" customWidth="1"/>
    <col min="3595" max="3595" width="3.85546875" style="3" customWidth="1"/>
    <col min="3596" max="3596" width="14.85546875" style="3" bestFit="1" customWidth="1"/>
    <col min="3597" max="3597" width="19.85546875" style="3" customWidth="1"/>
    <col min="3598" max="3839" width="9.140625" style="3"/>
    <col min="3840" max="3841" width="7.140625" style="3" customWidth="1"/>
    <col min="3842" max="3842" width="7.5703125" style="3" customWidth="1"/>
    <col min="3843" max="3843" width="9.7109375" style="3" customWidth="1"/>
    <col min="3844" max="3844" width="43.140625" style="3" customWidth="1"/>
    <col min="3845" max="3845" width="19.5703125" style="3" customWidth="1"/>
    <col min="3846" max="3850" width="0" style="3" hidden="1" customWidth="1"/>
    <col min="3851" max="3851" width="3.85546875" style="3" customWidth="1"/>
    <col min="3852" max="3852" width="14.85546875" style="3" bestFit="1" customWidth="1"/>
    <col min="3853" max="3853" width="19.85546875" style="3" customWidth="1"/>
    <col min="3854" max="4095" width="9.140625" style="3"/>
    <col min="4096" max="4097" width="7.140625" style="3" customWidth="1"/>
    <col min="4098" max="4098" width="7.5703125" style="3" customWidth="1"/>
    <col min="4099" max="4099" width="9.7109375" style="3" customWidth="1"/>
    <col min="4100" max="4100" width="43.140625" style="3" customWidth="1"/>
    <col min="4101" max="4101" width="19.5703125" style="3" customWidth="1"/>
    <col min="4102" max="4106" width="0" style="3" hidden="1" customWidth="1"/>
    <col min="4107" max="4107" width="3.85546875" style="3" customWidth="1"/>
    <col min="4108" max="4108" width="14.85546875" style="3" bestFit="1" customWidth="1"/>
    <col min="4109" max="4109" width="19.85546875" style="3" customWidth="1"/>
    <col min="4110" max="4351" width="9.140625" style="3"/>
    <col min="4352" max="4353" width="7.140625" style="3" customWidth="1"/>
    <col min="4354" max="4354" width="7.5703125" style="3" customWidth="1"/>
    <col min="4355" max="4355" width="9.7109375" style="3" customWidth="1"/>
    <col min="4356" max="4356" width="43.140625" style="3" customWidth="1"/>
    <col min="4357" max="4357" width="19.5703125" style="3" customWidth="1"/>
    <col min="4358" max="4362" width="0" style="3" hidden="1" customWidth="1"/>
    <col min="4363" max="4363" width="3.85546875" style="3" customWidth="1"/>
    <col min="4364" max="4364" width="14.85546875" style="3" bestFit="1" customWidth="1"/>
    <col min="4365" max="4365" width="19.85546875" style="3" customWidth="1"/>
    <col min="4366" max="4607" width="9.140625" style="3"/>
    <col min="4608" max="4609" width="7.140625" style="3" customWidth="1"/>
    <col min="4610" max="4610" width="7.5703125" style="3" customWidth="1"/>
    <col min="4611" max="4611" width="9.7109375" style="3" customWidth="1"/>
    <col min="4612" max="4612" width="43.140625" style="3" customWidth="1"/>
    <col min="4613" max="4613" width="19.5703125" style="3" customWidth="1"/>
    <col min="4614" max="4618" width="0" style="3" hidden="1" customWidth="1"/>
    <col min="4619" max="4619" width="3.85546875" style="3" customWidth="1"/>
    <col min="4620" max="4620" width="14.85546875" style="3" bestFit="1" customWidth="1"/>
    <col min="4621" max="4621" width="19.85546875" style="3" customWidth="1"/>
    <col min="4622" max="4863" width="9.140625" style="3"/>
    <col min="4864" max="4865" width="7.140625" style="3" customWidth="1"/>
    <col min="4866" max="4866" width="7.5703125" style="3" customWidth="1"/>
    <col min="4867" max="4867" width="9.7109375" style="3" customWidth="1"/>
    <col min="4868" max="4868" width="43.140625" style="3" customWidth="1"/>
    <col min="4869" max="4869" width="19.5703125" style="3" customWidth="1"/>
    <col min="4870" max="4874" width="0" style="3" hidden="1" customWidth="1"/>
    <col min="4875" max="4875" width="3.85546875" style="3" customWidth="1"/>
    <col min="4876" max="4876" width="14.85546875" style="3" bestFit="1" customWidth="1"/>
    <col min="4877" max="4877" width="19.85546875" style="3" customWidth="1"/>
    <col min="4878" max="5119" width="9.140625" style="3"/>
    <col min="5120" max="5121" width="7.140625" style="3" customWidth="1"/>
    <col min="5122" max="5122" width="7.5703125" style="3" customWidth="1"/>
    <col min="5123" max="5123" width="9.7109375" style="3" customWidth="1"/>
    <col min="5124" max="5124" width="43.140625" style="3" customWidth="1"/>
    <col min="5125" max="5125" width="19.5703125" style="3" customWidth="1"/>
    <col min="5126" max="5130" width="0" style="3" hidden="1" customWidth="1"/>
    <col min="5131" max="5131" width="3.85546875" style="3" customWidth="1"/>
    <col min="5132" max="5132" width="14.85546875" style="3" bestFit="1" customWidth="1"/>
    <col min="5133" max="5133" width="19.85546875" style="3" customWidth="1"/>
    <col min="5134" max="5375" width="9.140625" style="3"/>
    <col min="5376" max="5377" width="7.140625" style="3" customWidth="1"/>
    <col min="5378" max="5378" width="7.5703125" style="3" customWidth="1"/>
    <col min="5379" max="5379" width="9.7109375" style="3" customWidth="1"/>
    <col min="5380" max="5380" width="43.140625" style="3" customWidth="1"/>
    <col min="5381" max="5381" width="19.5703125" style="3" customWidth="1"/>
    <col min="5382" max="5386" width="0" style="3" hidden="1" customWidth="1"/>
    <col min="5387" max="5387" width="3.85546875" style="3" customWidth="1"/>
    <col min="5388" max="5388" width="14.85546875" style="3" bestFit="1" customWidth="1"/>
    <col min="5389" max="5389" width="19.85546875" style="3" customWidth="1"/>
    <col min="5390" max="5631" width="9.140625" style="3"/>
    <col min="5632" max="5633" width="7.140625" style="3" customWidth="1"/>
    <col min="5634" max="5634" width="7.5703125" style="3" customWidth="1"/>
    <col min="5635" max="5635" width="9.7109375" style="3" customWidth="1"/>
    <col min="5636" max="5636" width="43.140625" style="3" customWidth="1"/>
    <col min="5637" max="5637" width="19.5703125" style="3" customWidth="1"/>
    <col min="5638" max="5642" width="0" style="3" hidden="1" customWidth="1"/>
    <col min="5643" max="5643" width="3.85546875" style="3" customWidth="1"/>
    <col min="5644" max="5644" width="14.85546875" style="3" bestFit="1" customWidth="1"/>
    <col min="5645" max="5645" width="19.85546875" style="3" customWidth="1"/>
    <col min="5646" max="5887" width="9.140625" style="3"/>
    <col min="5888" max="5889" width="7.140625" style="3" customWidth="1"/>
    <col min="5890" max="5890" width="7.5703125" style="3" customWidth="1"/>
    <col min="5891" max="5891" width="9.7109375" style="3" customWidth="1"/>
    <col min="5892" max="5892" width="43.140625" style="3" customWidth="1"/>
    <col min="5893" max="5893" width="19.5703125" style="3" customWidth="1"/>
    <col min="5894" max="5898" width="0" style="3" hidden="1" customWidth="1"/>
    <col min="5899" max="5899" width="3.85546875" style="3" customWidth="1"/>
    <col min="5900" max="5900" width="14.85546875" style="3" bestFit="1" customWidth="1"/>
    <col min="5901" max="5901" width="19.85546875" style="3" customWidth="1"/>
    <col min="5902" max="6143" width="9.140625" style="3"/>
    <col min="6144" max="6145" width="7.140625" style="3" customWidth="1"/>
    <col min="6146" max="6146" width="7.5703125" style="3" customWidth="1"/>
    <col min="6147" max="6147" width="9.7109375" style="3" customWidth="1"/>
    <col min="6148" max="6148" width="43.140625" style="3" customWidth="1"/>
    <col min="6149" max="6149" width="19.5703125" style="3" customWidth="1"/>
    <col min="6150" max="6154" width="0" style="3" hidden="1" customWidth="1"/>
    <col min="6155" max="6155" width="3.85546875" style="3" customWidth="1"/>
    <col min="6156" max="6156" width="14.85546875" style="3" bestFit="1" customWidth="1"/>
    <col min="6157" max="6157" width="19.85546875" style="3" customWidth="1"/>
    <col min="6158" max="6399" width="9.140625" style="3"/>
    <col min="6400" max="6401" width="7.140625" style="3" customWidth="1"/>
    <col min="6402" max="6402" width="7.5703125" style="3" customWidth="1"/>
    <col min="6403" max="6403" width="9.7109375" style="3" customWidth="1"/>
    <col min="6404" max="6404" width="43.140625" style="3" customWidth="1"/>
    <col min="6405" max="6405" width="19.5703125" style="3" customWidth="1"/>
    <col min="6406" max="6410" width="0" style="3" hidden="1" customWidth="1"/>
    <col min="6411" max="6411" width="3.85546875" style="3" customWidth="1"/>
    <col min="6412" max="6412" width="14.85546875" style="3" bestFit="1" customWidth="1"/>
    <col min="6413" max="6413" width="19.85546875" style="3" customWidth="1"/>
    <col min="6414" max="6655" width="9.140625" style="3"/>
    <col min="6656" max="6657" width="7.140625" style="3" customWidth="1"/>
    <col min="6658" max="6658" width="7.5703125" style="3" customWidth="1"/>
    <col min="6659" max="6659" width="9.7109375" style="3" customWidth="1"/>
    <col min="6660" max="6660" width="43.140625" style="3" customWidth="1"/>
    <col min="6661" max="6661" width="19.5703125" style="3" customWidth="1"/>
    <col min="6662" max="6666" width="0" style="3" hidden="1" customWidth="1"/>
    <col min="6667" max="6667" width="3.85546875" style="3" customWidth="1"/>
    <col min="6668" max="6668" width="14.85546875" style="3" bestFit="1" customWidth="1"/>
    <col min="6669" max="6669" width="19.85546875" style="3" customWidth="1"/>
    <col min="6670" max="6911" width="9.140625" style="3"/>
    <col min="6912" max="6913" width="7.140625" style="3" customWidth="1"/>
    <col min="6914" max="6914" width="7.5703125" style="3" customWidth="1"/>
    <col min="6915" max="6915" width="9.7109375" style="3" customWidth="1"/>
    <col min="6916" max="6916" width="43.140625" style="3" customWidth="1"/>
    <col min="6917" max="6917" width="19.5703125" style="3" customWidth="1"/>
    <col min="6918" max="6922" width="0" style="3" hidden="1" customWidth="1"/>
    <col min="6923" max="6923" width="3.85546875" style="3" customWidth="1"/>
    <col min="6924" max="6924" width="14.85546875" style="3" bestFit="1" customWidth="1"/>
    <col min="6925" max="6925" width="19.85546875" style="3" customWidth="1"/>
    <col min="6926" max="7167" width="9.140625" style="3"/>
    <col min="7168" max="7169" width="7.140625" style="3" customWidth="1"/>
    <col min="7170" max="7170" width="7.5703125" style="3" customWidth="1"/>
    <col min="7171" max="7171" width="9.7109375" style="3" customWidth="1"/>
    <col min="7172" max="7172" width="43.140625" style="3" customWidth="1"/>
    <col min="7173" max="7173" width="19.5703125" style="3" customWidth="1"/>
    <col min="7174" max="7178" width="0" style="3" hidden="1" customWidth="1"/>
    <col min="7179" max="7179" width="3.85546875" style="3" customWidth="1"/>
    <col min="7180" max="7180" width="14.85546875" style="3" bestFit="1" customWidth="1"/>
    <col min="7181" max="7181" width="19.85546875" style="3" customWidth="1"/>
    <col min="7182" max="7423" width="9.140625" style="3"/>
    <col min="7424" max="7425" width="7.140625" style="3" customWidth="1"/>
    <col min="7426" max="7426" width="7.5703125" style="3" customWidth="1"/>
    <col min="7427" max="7427" width="9.7109375" style="3" customWidth="1"/>
    <col min="7428" max="7428" width="43.140625" style="3" customWidth="1"/>
    <col min="7429" max="7429" width="19.5703125" style="3" customWidth="1"/>
    <col min="7430" max="7434" width="0" style="3" hidden="1" customWidth="1"/>
    <col min="7435" max="7435" width="3.85546875" style="3" customWidth="1"/>
    <col min="7436" max="7436" width="14.85546875" style="3" bestFit="1" customWidth="1"/>
    <col min="7437" max="7437" width="19.85546875" style="3" customWidth="1"/>
    <col min="7438" max="7679" width="9.140625" style="3"/>
    <col min="7680" max="7681" width="7.140625" style="3" customWidth="1"/>
    <col min="7682" max="7682" width="7.5703125" style="3" customWidth="1"/>
    <col min="7683" max="7683" width="9.7109375" style="3" customWidth="1"/>
    <col min="7684" max="7684" width="43.140625" style="3" customWidth="1"/>
    <col min="7685" max="7685" width="19.5703125" style="3" customWidth="1"/>
    <col min="7686" max="7690" width="0" style="3" hidden="1" customWidth="1"/>
    <col min="7691" max="7691" width="3.85546875" style="3" customWidth="1"/>
    <col min="7692" max="7692" width="14.85546875" style="3" bestFit="1" customWidth="1"/>
    <col min="7693" max="7693" width="19.85546875" style="3" customWidth="1"/>
    <col min="7694" max="7935" width="9.140625" style="3"/>
    <col min="7936" max="7937" width="7.140625" style="3" customWidth="1"/>
    <col min="7938" max="7938" width="7.5703125" style="3" customWidth="1"/>
    <col min="7939" max="7939" width="9.7109375" style="3" customWidth="1"/>
    <col min="7940" max="7940" width="43.140625" style="3" customWidth="1"/>
    <col min="7941" max="7941" width="19.5703125" style="3" customWidth="1"/>
    <col min="7942" max="7946" width="0" style="3" hidden="1" customWidth="1"/>
    <col min="7947" max="7947" width="3.85546875" style="3" customWidth="1"/>
    <col min="7948" max="7948" width="14.85546875" style="3" bestFit="1" customWidth="1"/>
    <col min="7949" max="7949" width="19.85546875" style="3" customWidth="1"/>
    <col min="7950" max="8191" width="9.140625" style="3"/>
    <col min="8192" max="8193" width="7.140625" style="3" customWidth="1"/>
    <col min="8194" max="8194" width="7.5703125" style="3" customWidth="1"/>
    <col min="8195" max="8195" width="9.7109375" style="3" customWidth="1"/>
    <col min="8196" max="8196" width="43.140625" style="3" customWidth="1"/>
    <col min="8197" max="8197" width="19.5703125" style="3" customWidth="1"/>
    <col min="8198" max="8202" width="0" style="3" hidden="1" customWidth="1"/>
    <col min="8203" max="8203" width="3.85546875" style="3" customWidth="1"/>
    <col min="8204" max="8204" width="14.85546875" style="3" bestFit="1" customWidth="1"/>
    <col min="8205" max="8205" width="19.85546875" style="3" customWidth="1"/>
    <col min="8206" max="8447" width="9.140625" style="3"/>
    <col min="8448" max="8449" width="7.140625" style="3" customWidth="1"/>
    <col min="8450" max="8450" width="7.5703125" style="3" customWidth="1"/>
    <col min="8451" max="8451" width="9.7109375" style="3" customWidth="1"/>
    <col min="8452" max="8452" width="43.140625" style="3" customWidth="1"/>
    <col min="8453" max="8453" width="19.5703125" style="3" customWidth="1"/>
    <col min="8454" max="8458" width="0" style="3" hidden="1" customWidth="1"/>
    <col min="8459" max="8459" width="3.85546875" style="3" customWidth="1"/>
    <col min="8460" max="8460" width="14.85546875" style="3" bestFit="1" customWidth="1"/>
    <col min="8461" max="8461" width="19.85546875" style="3" customWidth="1"/>
    <col min="8462" max="8703" width="9.140625" style="3"/>
    <col min="8704" max="8705" width="7.140625" style="3" customWidth="1"/>
    <col min="8706" max="8706" width="7.5703125" style="3" customWidth="1"/>
    <col min="8707" max="8707" width="9.7109375" style="3" customWidth="1"/>
    <col min="8708" max="8708" width="43.140625" style="3" customWidth="1"/>
    <col min="8709" max="8709" width="19.5703125" style="3" customWidth="1"/>
    <col min="8710" max="8714" width="0" style="3" hidden="1" customWidth="1"/>
    <col min="8715" max="8715" width="3.85546875" style="3" customWidth="1"/>
    <col min="8716" max="8716" width="14.85546875" style="3" bestFit="1" customWidth="1"/>
    <col min="8717" max="8717" width="19.85546875" style="3" customWidth="1"/>
    <col min="8718" max="8959" width="9.140625" style="3"/>
    <col min="8960" max="8961" width="7.140625" style="3" customWidth="1"/>
    <col min="8962" max="8962" width="7.5703125" style="3" customWidth="1"/>
    <col min="8963" max="8963" width="9.7109375" style="3" customWidth="1"/>
    <col min="8964" max="8964" width="43.140625" style="3" customWidth="1"/>
    <col min="8965" max="8965" width="19.5703125" style="3" customWidth="1"/>
    <col min="8966" max="8970" width="0" style="3" hidden="1" customWidth="1"/>
    <col min="8971" max="8971" width="3.85546875" style="3" customWidth="1"/>
    <col min="8972" max="8972" width="14.85546875" style="3" bestFit="1" customWidth="1"/>
    <col min="8973" max="8973" width="19.85546875" style="3" customWidth="1"/>
    <col min="8974" max="9215" width="9.140625" style="3"/>
    <col min="9216" max="9217" width="7.140625" style="3" customWidth="1"/>
    <col min="9218" max="9218" width="7.5703125" style="3" customWidth="1"/>
    <col min="9219" max="9219" width="9.7109375" style="3" customWidth="1"/>
    <col min="9220" max="9220" width="43.140625" style="3" customWidth="1"/>
    <col min="9221" max="9221" width="19.5703125" style="3" customWidth="1"/>
    <col min="9222" max="9226" width="0" style="3" hidden="1" customWidth="1"/>
    <col min="9227" max="9227" width="3.85546875" style="3" customWidth="1"/>
    <col min="9228" max="9228" width="14.85546875" style="3" bestFit="1" customWidth="1"/>
    <col min="9229" max="9229" width="19.85546875" style="3" customWidth="1"/>
    <col min="9230" max="9471" width="9.140625" style="3"/>
    <col min="9472" max="9473" width="7.140625" style="3" customWidth="1"/>
    <col min="9474" max="9474" width="7.5703125" style="3" customWidth="1"/>
    <col min="9475" max="9475" width="9.7109375" style="3" customWidth="1"/>
    <col min="9476" max="9476" width="43.140625" style="3" customWidth="1"/>
    <col min="9477" max="9477" width="19.5703125" style="3" customWidth="1"/>
    <col min="9478" max="9482" width="0" style="3" hidden="1" customWidth="1"/>
    <col min="9483" max="9483" width="3.85546875" style="3" customWidth="1"/>
    <col min="9484" max="9484" width="14.85546875" style="3" bestFit="1" customWidth="1"/>
    <col min="9485" max="9485" width="19.85546875" style="3" customWidth="1"/>
    <col min="9486" max="9727" width="9.140625" style="3"/>
    <col min="9728" max="9729" width="7.140625" style="3" customWidth="1"/>
    <col min="9730" max="9730" width="7.5703125" style="3" customWidth="1"/>
    <col min="9731" max="9731" width="9.7109375" style="3" customWidth="1"/>
    <col min="9732" max="9732" width="43.140625" style="3" customWidth="1"/>
    <col min="9733" max="9733" width="19.5703125" style="3" customWidth="1"/>
    <col min="9734" max="9738" width="0" style="3" hidden="1" customWidth="1"/>
    <col min="9739" max="9739" width="3.85546875" style="3" customWidth="1"/>
    <col min="9740" max="9740" width="14.85546875" style="3" bestFit="1" customWidth="1"/>
    <col min="9741" max="9741" width="19.85546875" style="3" customWidth="1"/>
    <col min="9742" max="9983" width="9.140625" style="3"/>
    <col min="9984" max="9985" width="7.140625" style="3" customWidth="1"/>
    <col min="9986" max="9986" width="7.5703125" style="3" customWidth="1"/>
    <col min="9987" max="9987" width="9.7109375" style="3" customWidth="1"/>
    <col min="9988" max="9988" width="43.140625" style="3" customWidth="1"/>
    <col min="9989" max="9989" width="19.5703125" style="3" customWidth="1"/>
    <col min="9990" max="9994" width="0" style="3" hidden="1" customWidth="1"/>
    <col min="9995" max="9995" width="3.85546875" style="3" customWidth="1"/>
    <col min="9996" max="9996" width="14.85546875" style="3" bestFit="1" customWidth="1"/>
    <col min="9997" max="9997" width="19.85546875" style="3" customWidth="1"/>
    <col min="9998" max="10239" width="9.140625" style="3"/>
    <col min="10240" max="10241" width="7.140625" style="3" customWidth="1"/>
    <col min="10242" max="10242" width="7.5703125" style="3" customWidth="1"/>
    <col min="10243" max="10243" width="9.7109375" style="3" customWidth="1"/>
    <col min="10244" max="10244" width="43.140625" style="3" customWidth="1"/>
    <col min="10245" max="10245" width="19.5703125" style="3" customWidth="1"/>
    <col min="10246" max="10250" width="0" style="3" hidden="1" customWidth="1"/>
    <col min="10251" max="10251" width="3.85546875" style="3" customWidth="1"/>
    <col min="10252" max="10252" width="14.85546875" style="3" bestFit="1" customWidth="1"/>
    <col min="10253" max="10253" width="19.85546875" style="3" customWidth="1"/>
    <col min="10254" max="10495" width="9.140625" style="3"/>
    <col min="10496" max="10497" width="7.140625" style="3" customWidth="1"/>
    <col min="10498" max="10498" width="7.5703125" style="3" customWidth="1"/>
    <col min="10499" max="10499" width="9.7109375" style="3" customWidth="1"/>
    <col min="10500" max="10500" width="43.140625" style="3" customWidth="1"/>
    <col min="10501" max="10501" width="19.5703125" style="3" customWidth="1"/>
    <col min="10502" max="10506" width="0" style="3" hidden="1" customWidth="1"/>
    <col min="10507" max="10507" width="3.85546875" style="3" customWidth="1"/>
    <col min="10508" max="10508" width="14.85546875" style="3" bestFit="1" customWidth="1"/>
    <col min="10509" max="10509" width="19.85546875" style="3" customWidth="1"/>
    <col min="10510" max="10751" width="9.140625" style="3"/>
    <col min="10752" max="10753" width="7.140625" style="3" customWidth="1"/>
    <col min="10754" max="10754" width="7.5703125" style="3" customWidth="1"/>
    <col min="10755" max="10755" width="9.7109375" style="3" customWidth="1"/>
    <col min="10756" max="10756" width="43.140625" style="3" customWidth="1"/>
    <col min="10757" max="10757" width="19.5703125" style="3" customWidth="1"/>
    <col min="10758" max="10762" width="0" style="3" hidden="1" customWidth="1"/>
    <col min="10763" max="10763" width="3.85546875" style="3" customWidth="1"/>
    <col min="10764" max="10764" width="14.85546875" style="3" bestFit="1" customWidth="1"/>
    <col min="10765" max="10765" width="19.85546875" style="3" customWidth="1"/>
    <col min="10766" max="11007" width="9.140625" style="3"/>
    <col min="11008" max="11009" width="7.140625" style="3" customWidth="1"/>
    <col min="11010" max="11010" width="7.5703125" style="3" customWidth="1"/>
    <col min="11011" max="11011" width="9.7109375" style="3" customWidth="1"/>
    <col min="11012" max="11012" width="43.140625" style="3" customWidth="1"/>
    <col min="11013" max="11013" width="19.5703125" style="3" customWidth="1"/>
    <col min="11014" max="11018" width="0" style="3" hidden="1" customWidth="1"/>
    <col min="11019" max="11019" width="3.85546875" style="3" customWidth="1"/>
    <col min="11020" max="11020" width="14.85546875" style="3" bestFit="1" customWidth="1"/>
    <col min="11021" max="11021" width="19.85546875" style="3" customWidth="1"/>
    <col min="11022" max="11263" width="9.140625" style="3"/>
    <col min="11264" max="11265" width="7.140625" style="3" customWidth="1"/>
    <col min="11266" max="11266" width="7.5703125" style="3" customWidth="1"/>
    <col min="11267" max="11267" width="9.7109375" style="3" customWidth="1"/>
    <col min="11268" max="11268" width="43.140625" style="3" customWidth="1"/>
    <col min="11269" max="11269" width="19.5703125" style="3" customWidth="1"/>
    <col min="11270" max="11274" width="0" style="3" hidden="1" customWidth="1"/>
    <col min="11275" max="11275" width="3.85546875" style="3" customWidth="1"/>
    <col min="11276" max="11276" width="14.85546875" style="3" bestFit="1" customWidth="1"/>
    <col min="11277" max="11277" width="19.85546875" style="3" customWidth="1"/>
    <col min="11278" max="11519" width="9.140625" style="3"/>
    <col min="11520" max="11521" width="7.140625" style="3" customWidth="1"/>
    <col min="11522" max="11522" width="7.5703125" style="3" customWidth="1"/>
    <col min="11523" max="11523" width="9.7109375" style="3" customWidth="1"/>
    <col min="11524" max="11524" width="43.140625" style="3" customWidth="1"/>
    <col min="11525" max="11525" width="19.5703125" style="3" customWidth="1"/>
    <col min="11526" max="11530" width="0" style="3" hidden="1" customWidth="1"/>
    <col min="11531" max="11531" width="3.85546875" style="3" customWidth="1"/>
    <col min="11532" max="11532" width="14.85546875" style="3" bestFit="1" customWidth="1"/>
    <col min="11533" max="11533" width="19.85546875" style="3" customWidth="1"/>
    <col min="11534" max="11775" width="9.140625" style="3"/>
    <col min="11776" max="11777" width="7.140625" style="3" customWidth="1"/>
    <col min="11778" max="11778" width="7.5703125" style="3" customWidth="1"/>
    <col min="11779" max="11779" width="9.7109375" style="3" customWidth="1"/>
    <col min="11780" max="11780" width="43.140625" style="3" customWidth="1"/>
    <col min="11781" max="11781" width="19.5703125" style="3" customWidth="1"/>
    <col min="11782" max="11786" width="0" style="3" hidden="1" customWidth="1"/>
    <col min="11787" max="11787" width="3.85546875" style="3" customWidth="1"/>
    <col min="11788" max="11788" width="14.85546875" style="3" bestFit="1" customWidth="1"/>
    <col min="11789" max="11789" width="19.85546875" style="3" customWidth="1"/>
    <col min="11790" max="12031" width="9.140625" style="3"/>
    <col min="12032" max="12033" width="7.140625" style="3" customWidth="1"/>
    <col min="12034" max="12034" width="7.5703125" style="3" customWidth="1"/>
    <col min="12035" max="12035" width="9.7109375" style="3" customWidth="1"/>
    <col min="12036" max="12036" width="43.140625" style="3" customWidth="1"/>
    <col min="12037" max="12037" width="19.5703125" style="3" customWidth="1"/>
    <col min="12038" max="12042" width="0" style="3" hidden="1" customWidth="1"/>
    <col min="12043" max="12043" width="3.85546875" style="3" customWidth="1"/>
    <col min="12044" max="12044" width="14.85546875" style="3" bestFit="1" customWidth="1"/>
    <col min="12045" max="12045" width="19.85546875" style="3" customWidth="1"/>
    <col min="12046" max="12287" width="9.140625" style="3"/>
    <col min="12288" max="12289" width="7.140625" style="3" customWidth="1"/>
    <col min="12290" max="12290" width="7.5703125" style="3" customWidth="1"/>
    <col min="12291" max="12291" width="9.7109375" style="3" customWidth="1"/>
    <col min="12292" max="12292" width="43.140625" style="3" customWidth="1"/>
    <col min="12293" max="12293" width="19.5703125" style="3" customWidth="1"/>
    <col min="12294" max="12298" width="0" style="3" hidden="1" customWidth="1"/>
    <col min="12299" max="12299" width="3.85546875" style="3" customWidth="1"/>
    <col min="12300" max="12300" width="14.85546875" style="3" bestFit="1" customWidth="1"/>
    <col min="12301" max="12301" width="19.85546875" style="3" customWidth="1"/>
    <col min="12302" max="12543" width="9.140625" style="3"/>
    <col min="12544" max="12545" width="7.140625" style="3" customWidth="1"/>
    <col min="12546" max="12546" width="7.5703125" style="3" customWidth="1"/>
    <col min="12547" max="12547" width="9.7109375" style="3" customWidth="1"/>
    <col min="12548" max="12548" width="43.140625" style="3" customWidth="1"/>
    <col min="12549" max="12549" width="19.5703125" style="3" customWidth="1"/>
    <col min="12550" max="12554" width="0" style="3" hidden="1" customWidth="1"/>
    <col min="12555" max="12555" width="3.85546875" style="3" customWidth="1"/>
    <col min="12556" max="12556" width="14.85546875" style="3" bestFit="1" customWidth="1"/>
    <col min="12557" max="12557" width="19.85546875" style="3" customWidth="1"/>
    <col min="12558" max="12799" width="9.140625" style="3"/>
    <col min="12800" max="12801" width="7.140625" style="3" customWidth="1"/>
    <col min="12802" max="12802" width="7.5703125" style="3" customWidth="1"/>
    <col min="12803" max="12803" width="9.7109375" style="3" customWidth="1"/>
    <col min="12804" max="12804" width="43.140625" style="3" customWidth="1"/>
    <col min="12805" max="12805" width="19.5703125" style="3" customWidth="1"/>
    <col min="12806" max="12810" width="0" style="3" hidden="1" customWidth="1"/>
    <col min="12811" max="12811" width="3.85546875" style="3" customWidth="1"/>
    <col min="12812" max="12812" width="14.85546875" style="3" bestFit="1" customWidth="1"/>
    <col min="12813" max="12813" width="19.85546875" style="3" customWidth="1"/>
    <col min="12814" max="13055" width="9.140625" style="3"/>
    <col min="13056" max="13057" width="7.140625" style="3" customWidth="1"/>
    <col min="13058" max="13058" width="7.5703125" style="3" customWidth="1"/>
    <col min="13059" max="13059" width="9.7109375" style="3" customWidth="1"/>
    <col min="13060" max="13060" width="43.140625" style="3" customWidth="1"/>
    <col min="13061" max="13061" width="19.5703125" style="3" customWidth="1"/>
    <col min="13062" max="13066" width="0" style="3" hidden="1" customWidth="1"/>
    <col min="13067" max="13067" width="3.85546875" style="3" customWidth="1"/>
    <col min="13068" max="13068" width="14.85546875" style="3" bestFit="1" customWidth="1"/>
    <col min="13069" max="13069" width="19.85546875" style="3" customWidth="1"/>
    <col min="13070" max="13311" width="9.140625" style="3"/>
    <col min="13312" max="13313" width="7.140625" style="3" customWidth="1"/>
    <col min="13314" max="13314" width="7.5703125" style="3" customWidth="1"/>
    <col min="13315" max="13315" width="9.7109375" style="3" customWidth="1"/>
    <col min="13316" max="13316" width="43.140625" style="3" customWidth="1"/>
    <col min="13317" max="13317" width="19.5703125" style="3" customWidth="1"/>
    <col min="13318" max="13322" width="0" style="3" hidden="1" customWidth="1"/>
    <col min="13323" max="13323" width="3.85546875" style="3" customWidth="1"/>
    <col min="13324" max="13324" width="14.85546875" style="3" bestFit="1" customWidth="1"/>
    <col min="13325" max="13325" width="19.85546875" style="3" customWidth="1"/>
    <col min="13326" max="13567" width="9.140625" style="3"/>
    <col min="13568" max="13569" width="7.140625" style="3" customWidth="1"/>
    <col min="13570" max="13570" width="7.5703125" style="3" customWidth="1"/>
    <col min="13571" max="13571" width="9.7109375" style="3" customWidth="1"/>
    <col min="13572" max="13572" width="43.140625" style="3" customWidth="1"/>
    <col min="13573" max="13573" width="19.5703125" style="3" customWidth="1"/>
    <col min="13574" max="13578" width="0" style="3" hidden="1" customWidth="1"/>
    <col min="13579" max="13579" width="3.85546875" style="3" customWidth="1"/>
    <col min="13580" max="13580" width="14.85546875" style="3" bestFit="1" customWidth="1"/>
    <col min="13581" max="13581" width="19.85546875" style="3" customWidth="1"/>
    <col min="13582" max="13823" width="9.140625" style="3"/>
    <col min="13824" max="13825" width="7.140625" style="3" customWidth="1"/>
    <col min="13826" max="13826" width="7.5703125" style="3" customWidth="1"/>
    <col min="13827" max="13827" width="9.7109375" style="3" customWidth="1"/>
    <col min="13828" max="13828" width="43.140625" style="3" customWidth="1"/>
    <col min="13829" max="13829" width="19.5703125" style="3" customWidth="1"/>
    <col min="13830" max="13834" width="0" style="3" hidden="1" customWidth="1"/>
    <col min="13835" max="13835" width="3.85546875" style="3" customWidth="1"/>
    <col min="13836" max="13836" width="14.85546875" style="3" bestFit="1" customWidth="1"/>
    <col min="13837" max="13837" width="19.85546875" style="3" customWidth="1"/>
    <col min="13838" max="14079" width="9.140625" style="3"/>
    <col min="14080" max="14081" width="7.140625" style="3" customWidth="1"/>
    <col min="14082" max="14082" width="7.5703125" style="3" customWidth="1"/>
    <col min="14083" max="14083" width="9.7109375" style="3" customWidth="1"/>
    <col min="14084" max="14084" width="43.140625" style="3" customWidth="1"/>
    <col min="14085" max="14085" width="19.5703125" style="3" customWidth="1"/>
    <col min="14086" max="14090" width="0" style="3" hidden="1" customWidth="1"/>
    <col min="14091" max="14091" width="3.85546875" style="3" customWidth="1"/>
    <col min="14092" max="14092" width="14.85546875" style="3" bestFit="1" customWidth="1"/>
    <col min="14093" max="14093" width="19.85546875" style="3" customWidth="1"/>
    <col min="14094" max="14335" width="9.140625" style="3"/>
    <col min="14336" max="14337" width="7.140625" style="3" customWidth="1"/>
    <col min="14338" max="14338" width="7.5703125" style="3" customWidth="1"/>
    <col min="14339" max="14339" width="9.7109375" style="3" customWidth="1"/>
    <col min="14340" max="14340" width="43.140625" style="3" customWidth="1"/>
    <col min="14341" max="14341" width="19.5703125" style="3" customWidth="1"/>
    <col min="14342" max="14346" width="0" style="3" hidden="1" customWidth="1"/>
    <col min="14347" max="14347" width="3.85546875" style="3" customWidth="1"/>
    <col min="14348" max="14348" width="14.85546875" style="3" bestFit="1" customWidth="1"/>
    <col min="14349" max="14349" width="19.85546875" style="3" customWidth="1"/>
    <col min="14350" max="14591" width="9.140625" style="3"/>
    <col min="14592" max="14593" width="7.140625" style="3" customWidth="1"/>
    <col min="14594" max="14594" width="7.5703125" style="3" customWidth="1"/>
    <col min="14595" max="14595" width="9.7109375" style="3" customWidth="1"/>
    <col min="14596" max="14596" width="43.140625" style="3" customWidth="1"/>
    <col min="14597" max="14597" width="19.5703125" style="3" customWidth="1"/>
    <col min="14598" max="14602" width="0" style="3" hidden="1" customWidth="1"/>
    <col min="14603" max="14603" width="3.85546875" style="3" customWidth="1"/>
    <col min="14604" max="14604" width="14.85546875" style="3" bestFit="1" customWidth="1"/>
    <col min="14605" max="14605" width="19.85546875" style="3" customWidth="1"/>
    <col min="14606" max="14847" width="9.140625" style="3"/>
    <col min="14848" max="14849" width="7.140625" style="3" customWidth="1"/>
    <col min="14850" max="14850" width="7.5703125" style="3" customWidth="1"/>
    <col min="14851" max="14851" width="9.7109375" style="3" customWidth="1"/>
    <col min="14852" max="14852" width="43.140625" style="3" customWidth="1"/>
    <col min="14853" max="14853" width="19.5703125" style="3" customWidth="1"/>
    <col min="14854" max="14858" width="0" style="3" hidden="1" customWidth="1"/>
    <col min="14859" max="14859" width="3.85546875" style="3" customWidth="1"/>
    <col min="14860" max="14860" width="14.85546875" style="3" bestFit="1" customWidth="1"/>
    <col min="14861" max="14861" width="19.85546875" style="3" customWidth="1"/>
    <col min="14862" max="15103" width="9.140625" style="3"/>
    <col min="15104" max="15105" width="7.140625" style="3" customWidth="1"/>
    <col min="15106" max="15106" width="7.5703125" style="3" customWidth="1"/>
    <col min="15107" max="15107" width="9.7109375" style="3" customWidth="1"/>
    <col min="15108" max="15108" width="43.140625" style="3" customWidth="1"/>
    <col min="15109" max="15109" width="19.5703125" style="3" customWidth="1"/>
    <col min="15110" max="15114" width="0" style="3" hidden="1" customWidth="1"/>
    <col min="15115" max="15115" width="3.85546875" style="3" customWidth="1"/>
    <col min="15116" max="15116" width="14.85546875" style="3" bestFit="1" customWidth="1"/>
    <col min="15117" max="15117" width="19.85546875" style="3" customWidth="1"/>
    <col min="15118" max="15359" width="9.140625" style="3"/>
    <col min="15360" max="15361" width="7.140625" style="3" customWidth="1"/>
    <col min="15362" max="15362" width="7.5703125" style="3" customWidth="1"/>
    <col min="15363" max="15363" width="9.7109375" style="3" customWidth="1"/>
    <col min="15364" max="15364" width="43.140625" style="3" customWidth="1"/>
    <col min="15365" max="15365" width="19.5703125" style="3" customWidth="1"/>
    <col min="15366" max="15370" width="0" style="3" hidden="1" customWidth="1"/>
    <col min="15371" max="15371" width="3.85546875" style="3" customWidth="1"/>
    <col min="15372" max="15372" width="14.85546875" style="3" bestFit="1" customWidth="1"/>
    <col min="15373" max="15373" width="19.85546875" style="3" customWidth="1"/>
    <col min="15374" max="15615" width="9.140625" style="3"/>
    <col min="15616" max="15617" width="7.140625" style="3" customWidth="1"/>
    <col min="15618" max="15618" width="7.5703125" style="3" customWidth="1"/>
    <col min="15619" max="15619" width="9.7109375" style="3" customWidth="1"/>
    <col min="15620" max="15620" width="43.140625" style="3" customWidth="1"/>
    <col min="15621" max="15621" width="19.5703125" style="3" customWidth="1"/>
    <col min="15622" max="15626" width="0" style="3" hidden="1" customWidth="1"/>
    <col min="15627" max="15627" width="3.85546875" style="3" customWidth="1"/>
    <col min="15628" max="15628" width="14.85546875" style="3" bestFit="1" customWidth="1"/>
    <col min="15629" max="15629" width="19.85546875" style="3" customWidth="1"/>
    <col min="15630" max="15871" width="9.140625" style="3"/>
    <col min="15872" max="15873" width="7.140625" style="3" customWidth="1"/>
    <col min="15874" max="15874" width="7.5703125" style="3" customWidth="1"/>
    <col min="15875" max="15875" width="9.7109375" style="3" customWidth="1"/>
    <col min="15876" max="15876" width="43.140625" style="3" customWidth="1"/>
    <col min="15877" max="15877" width="19.5703125" style="3" customWidth="1"/>
    <col min="15878" max="15882" width="0" style="3" hidden="1" customWidth="1"/>
    <col min="15883" max="15883" width="3.85546875" style="3" customWidth="1"/>
    <col min="15884" max="15884" width="14.85546875" style="3" bestFit="1" customWidth="1"/>
    <col min="15885" max="15885" width="19.85546875" style="3" customWidth="1"/>
    <col min="15886" max="16127" width="9.140625" style="3"/>
    <col min="16128" max="16129" width="7.140625" style="3" customWidth="1"/>
    <col min="16130" max="16130" width="7.5703125" style="3" customWidth="1"/>
    <col min="16131" max="16131" width="9.7109375" style="3" customWidth="1"/>
    <col min="16132" max="16132" width="43.140625" style="3" customWidth="1"/>
    <col min="16133" max="16133" width="19.5703125" style="3" customWidth="1"/>
    <col min="16134" max="16138" width="0" style="3" hidden="1" customWidth="1"/>
    <col min="16139" max="16139" width="3.85546875" style="3" customWidth="1"/>
    <col min="16140" max="16140" width="14.85546875" style="3" bestFit="1" customWidth="1"/>
    <col min="16141" max="16141" width="19.85546875" style="3" customWidth="1"/>
    <col min="16142" max="16384" width="9.140625" style="3"/>
  </cols>
  <sheetData>
    <row r="1" spans="1:12" ht="14.25" customHeight="1" x14ac:dyDescent="0.25">
      <c r="A1" s="181" t="s">
        <v>0</v>
      </c>
      <c r="B1" s="181"/>
      <c r="C1" s="181"/>
      <c r="D1" s="181"/>
      <c r="E1" s="181"/>
      <c r="F1" s="181"/>
      <c r="G1" s="181"/>
      <c r="H1" s="181"/>
      <c r="I1" s="181"/>
    </row>
    <row r="2" spans="1:12" ht="14.25" customHeight="1" x14ac:dyDescent="0.25">
      <c r="A2" s="181" t="s">
        <v>1</v>
      </c>
      <c r="B2" s="181"/>
      <c r="C2" s="181"/>
      <c r="D2" s="181"/>
      <c r="E2" s="181"/>
      <c r="F2" s="181"/>
      <c r="G2" s="181"/>
      <c r="H2" s="181"/>
      <c r="I2" s="181"/>
    </row>
    <row r="3" spans="1:12" ht="14.25" customHeight="1" x14ac:dyDescent="0.25">
      <c r="A3" s="182" t="s">
        <v>341</v>
      </c>
      <c r="B3" s="182"/>
      <c r="C3" s="182"/>
      <c r="D3" s="182"/>
      <c r="E3" s="182"/>
      <c r="F3" s="182"/>
      <c r="G3" s="182"/>
      <c r="H3" s="182"/>
      <c r="I3" s="182"/>
    </row>
    <row r="4" spans="1:12" ht="13.5" customHeight="1" x14ac:dyDescent="0.25">
      <c r="A4" s="181"/>
      <c r="B4" s="181"/>
      <c r="C4" s="181"/>
      <c r="D4" s="181"/>
      <c r="E4" s="181"/>
      <c r="F4" s="181"/>
      <c r="G4" s="181"/>
      <c r="H4" s="181"/>
      <c r="I4" s="181"/>
    </row>
    <row r="5" spans="1:12" x14ac:dyDescent="0.25">
      <c r="A5" s="183" t="s">
        <v>778</v>
      </c>
      <c r="B5" s="183"/>
      <c r="C5" s="183"/>
      <c r="D5" s="183"/>
      <c r="E5" s="183"/>
      <c r="F5" s="183"/>
      <c r="G5" s="183"/>
      <c r="H5" s="183"/>
      <c r="I5" s="183"/>
    </row>
    <row r="6" spans="1:12" ht="19.5" x14ac:dyDescent="0.25">
      <c r="A6" s="180" t="s">
        <v>4</v>
      </c>
      <c r="B6" s="180"/>
      <c r="C6" s="180"/>
      <c r="D6" s="180"/>
      <c r="E6" s="180"/>
      <c r="F6" s="180"/>
      <c r="G6" s="180"/>
      <c r="H6" s="180"/>
      <c r="I6" s="180"/>
    </row>
    <row r="7" spans="1:12" ht="15" customHeight="1" thickBot="1" x14ac:dyDescent="0.3">
      <c r="A7" s="185"/>
      <c r="B7" s="185"/>
      <c r="C7" s="185"/>
      <c r="D7" s="185"/>
      <c r="E7" s="185"/>
      <c r="F7" s="185"/>
      <c r="G7" s="185"/>
      <c r="H7" s="185"/>
      <c r="I7" s="185"/>
      <c r="L7" s="109"/>
    </row>
    <row r="8" spans="1:12" ht="17.25" thickTop="1" thickBot="1" x14ac:dyDescent="0.3">
      <c r="A8" s="186" t="s">
        <v>779</v>
      </c>
      <c r="B8" s="187"/>
      <c r="C8" s="187"/>
      <c r="D8" s="187"/>
      <c r="E8" s="188"/>
      <c r="F8" s="110"/>
      <c r="G8" s="110"/>
      <c r="H8" s="110"/>
      <c r="I8" s="110"/>
      <c r="J8" s="110"/>
      <c r="K8" s="110"/>
      <c r="L8" s="110"/>
    </row>
    <row r="9" spans="1:12" ht="14.25" customHeight="1" thickTop="1" x14ac:dyDescent="0.25">
      <c r="A9" s="111" t="s">
        <v>780</v>
      </c>
      <c r="B9" s="9"/>
      <c r="C9" s="9"/>
      <c r="D9" s="9"/>
      <c r="E9" s="112"/>
      <c r="F9" s="113"/>
      <c r="G9" s="114"/>
      <c r="H9" s="113"/>
      <c r="I9" s="113"/>
    </row>
    <row r="10" spans="1:12" ht="14.25" customHeight="1" x14ac:dyDescent="0.25">
      <c r="A10" s="111" t="s">
        <v>781</v>
      </c>
      <c r="B10" s="9"/>
      <c r="C10" s="9"/>
      <c r="D10" s="9"/>
      <c r="E10" s="112"/>
      <c r="F10" s="113"/>
      <c r="G10" s="115"/>
      <c r="H10" s="113"/>
      <c r="I10" s="113"/>
      <c r="J10" s="106"/>
      <c r="K10" s="106"/>
    </row>
    <row r="11" spans="1:12" s="117" customFormat="1" ht="14.25" customHeight="1" x14ac:dyDescent="0.25">
      <c r="A11" s="116"/>
      <c r="B11" s="189" t="s">
        <v>782</v>
      </c>
      <c r="C11" s="189"/>
      <c r="D11" s="189"/>
      <c r="E11" s="190"/>
      <c r="F11" s="113">
        <f>'Condensed Financial Performance'!D18</f>
        <v>0</v>
      </c>
      <c r="G11" s="113">
        <f>'Condensed Financial Performance'!E18</f>
        <v>0</v>
      </c>
      <c r="H11" s="113">
        <f>'Condensed Financial Performance'!F18</f>
        <v>0</v>
      </c>
      <c r="I11" s="113">
        <f>'Condensed Financial Performance'!G18</f>
        <v>0</v>
      </c>
      <c r="J11" s="113">
        <f>'Condensed Financial Performance'!H18</f>
        <v>0</v>
      </c>
      <c r="K11" s="113">
        <f>'Condensed Financial Performance'!I18</f>
        <v>0</v>
      </c>
      <c r="L11" s="113">
        <f>'Condensed Financial Performance'!J18</f>
        <v>0</v>
      </c>
    </row>
    <row r="12" spans="1:12" s="117" customFormat="1" ht="14.25" customHeight="1" x14ac:dyDescent="0.25">
      <c r="A12" s="116"/>
      <c r="B12" s="189" t="s">
        <v>783</v>
      </c>
      <c r="C12" s="189"/>
      <c r="D12" s="189"/>
      <c r="E12" s="190"/>
      <c r="F12" s="113">
        <f>'Detailed Financial Performance'!F43</f>
        <v>0</v>
      </c>
      <c r="G12" s="113">
        <f>'Detailed Financial Performance'!G43</f>
        <v>0</v>
      </c>
      <c r="H12" s="113">
        <f>'Detailed Financial Performance'!H43</f>
        <v>0</v>
      </c>
      <c r="I12" s="113">
        <f>'Detailed Financial Performance'!I43</f>
        <v>0</v>
      </c>
      <c r="J12" s="113">
        <f>'Detailed Financial Performance'!J43</f>
        <v>0</v>
      </c>
      <c r="K12" s="113">
        <f>'Detailed Financial Performance'!K43</f>
        <v>0</v>
      </c>
      <c r="L12" s="113">
        <f>'Detailed Financial Performance'!L43</f>
        <v>0</v>
      </c>
    </row>
    <row r="13" spans="1:12" s="117" customFormat="1" ht="14.25" customHeight="1" x14ac:dyDescent="0.25">
      <c r="A13" s="116"/>
      <c r="B13" s="189" t="s">
        <v>784</v>
      </c>
      <c r="C13" s="189"/>
      <c r="D13" s="189"/>
      <c r="E13" s="190"/>
      <c r="F13" s="113">
        <f>'Condensed Financial Performance'!D14</f>
        <v>0</v>
      </c>
      <c r="G13" s="113">
        <f>'Condensed Financial Performance'!E14</f>
        <v>0</v>
      </c>
      <c r="H13" s="113">
        <f>'Condensed Financial Performance'!F14</f>
        <v>0</v>
      </c>
      <c r="I13" s="113">
        <f>'Condensed Financial Performance'!G14</f>
        <v>0</v>
      </c>
      <c r="J13" s="113">
        <f>'Condensed Financial Performance'!H14</f>
        <v>0</v>
      </c>
      <c r="K13" s="113">
        <f>'Condensed Financial Performance'!I14</f>
        <v>0</v>
      </c>
      <c r="L13" s="113">
        <f>'Condensed Financial Performance'!J14</f>
        <v>0</v>
      </c>
    </row>
    <row r="14" spans="1:12" s="117" customFormat="1" ht="14.25" customHeight="1" x14ac:dyDescent="0.25">
      <c r="A14" s="116"/>
      <c r="B14" s="189" t="s">
        <v>785</v>
      </c>
      <c r="C14" s="189"/>
      <c r="D14" s="189"/>
      <c r="E14" s="190"/>
      <c r="F14" s="113"/>
      <c r="G14" s="113"/>
      <c r="H14" s="113"/>
      <c r="I14" s="113"/>
      <c r="J14" s="113"/>
      <c r="K14" s="113"/>
      <c r="L14" s="113"/>
    </row>
    <row r="15" spans="1:12" s="117" customFormat="1" ht="14.25" customHeight="1" x14ac:dyDescent="0.25">
      <c r="A15" s="116"/>
      <c r="B15" s="189" t="s">
        <v>108</v>
      </c>
      <c r="C15" s="189"/>
      <c r="D15" s="189"/>
      <c r="E15" s="190"/>
      <c r="F15" s="113"/>
      <c r="G15" s="113"/>
      <c r="H15" s="113"/>
      <c r="I15" s="113"/>
      <c r="J15" s="113"/>
      <c r="K15" s="113"/>
      <c r="L15" s="113"/>
    </row>
    <row r="16" spans="1:12" s="117" customFormat="1" ht="14.25" customHeight="1" thickBot="1" x14ac:dyDescent="0.3">
      <c r="A16" s="116"/>
      <c r="B16" s="189" t="s">
        <v>786</v>
      </c>
      <c r="C16" s="189"/>
      <c r="D16" s="189"/>
      <c r="E16" s="190"/>
      <c r="F16" s="113"/>
      <c r="G16" s="113"/>
      <c r="H16" s="113"/>
      <c r="I16" s="113"/>
      <c r="J16" s="113"/>
      <c r="K16" s="113"/>
      <c r="L16" s="113"/>
    </row>
    <row r="17" spans="1:13" ht="14.25" customHeight="1" thickBot="1" x14ac:dyDescent="0.3">
      <c r="A17" s="116"/>
      <c r="B17" s="191" t="s">
        <v>787</v>
      </c>
      <c r="C17" s="191"/>
      <c r="D17" s="191"/>
      <c r="E17" s="192"/>
      <c r="F17" s="118">
        <f>SUM(F11:F16)</f>
        <v>0</v>
      </c>
      <c r="G17" s="118">
        <f t="shared" ref="G17:L17" si="0">SUM(G11:G16)</f>
        <v>0</v>
      </c>
      <c r="H17" s="118">
        <f t="shared" si="0"/>
        <v>0</v>
      </c>
      <c r="I17" s="118">
        <f t="shared" si="0"/>
        <v>0</v>
      </c>
      <c r="J17" s="118">
        <f t="shared" si="0"/>
        <v>0</v>
      </c>
      <c r="K17" s="118">
        <f t="shared" si="0"/>
        <v>0</v>
      </c>
      <c r="L17" s="118">
        <f t="shared" si="0"/>
        <v>0</v>
      </c>
    </row>
    <row r="18" spans="1:13" ht="14.25" customHeight="1" x14ac:dyDescent="0.25">
      <c r="A18" s="111" t="s">
        <v>788</v>
      </c>
      <c r="B18" s="9"/>
      <c r="C18" s="9"/>
      <c r="D18" s="9"/>
      <c r="E18" s="112"/>
      <c r="F18"/>
      <c r="G18" s="115"/>
      <c r="H18" s="113"/>
      <c r="I18" s="113"/>
      <c r="J18" s="106"/>
      <c r="K18" s="119"/>
      <c r="L18" s="120"/>
    </row>
    <row r="19" spans="1:13" s="117" customFormat="1" ht="14.25" customHeight="1" x14ac:dyDescent="0.25">
      <c r="A19" s="116"/>
      <c r="B19" s="184" t="s">
        <v>789</v>
      </c>
      <c r="C19" s="184"/>
      <c r="D19" s="184"/>
      <c r="E19" s="193"/>
      <c r="F19"/>
      <c r="G19"/>
      <c r="H19"/>
      <c r="I19"/>
      <c r="J19"/>
      <c r="K19"/>
      <c r="L19"/>
    </row>
    <row r="20" spans="1:13" s="117" customFormat="1" ht="14.25" customHeight="1" x14ac:dyDescent="0.25">
      <c r="A20" s="116"/>
      <c r="B20" s="184" t="s">
        <v>790</v>
      </c>
      <c r="C20" s="184"/>
      <c r="D20" s="184"/>
      <c r="E20" s="193"/>
      <c r="F20"/>
      <c r="G20"/>
      <c r="H20"/>
      <c r="I20"/>
      <c r="J20"/>
      <c r="K20"/>
      <c r="L20"/>
    </row>
    <row r="21" spans="1:13" s="117" customFormat="1" ht="14.25" customHeight="1" x14ac:dyDescent="0.25">
      <c r="A21" s="116"/>
      <c r="B21" s="184" t="s">
        <v>791</v>
      </c>
      <c r="C21" s="184"/>
      <c r="D21" s="184"/>
      <c r="E21" s="184"/>
      <c r="F21" s="140">
        <f>'Condensed Financial Performance'!D20</f>
        <v>0</v>
      </c>
      <c r="G21" s="140">
        <f>'Condensed Financial Performance'!E20</f>
        <v>0</v>
      </c>
      <c r="H21" s="140">
        <f>'Condensed Financial Performance'!F20</f>
        <v>0</v>
      </c>
      <c r="I21" s="140">
        <f>'Condensed Financial Performance'!G20</f>
        <v>0</v>
      </c>
      <c r="J21" s="140">
        <f>'Condensed Financial Performance'!H20</f>
        <v>0</v>
      </c>
      <c r="K21" s="140">
        <f>'Condensed Financial Performance'!I20</f>
        <v>0</v>
      </c>
      <c r="L21" s="140">
        <f>'Condensed Financial Performance'!J20</f>
        <v>0</v>
      </c>
    </row>
    <row r="22" spans="1:13" s="117" customFormat="1" ht="14.25" customHeight="1" x14ac:dyDescent="0.25">
      <c r="A22" s="116"/>
      <c r="B22" s="184" t="s">
        <v>792</v>
      </c>
      <c r="C22" s="184"/>
      <c r="D22" s="184"/>
      <c r="E22" s="184"/>
      <c r="F22" s="140">
        <f>'Condensed Financial Performance'!D21</f>
        <v>0</v>
      </c>
      <c r="G22" s="140">
        <f>'Condensed Financial Performance'!E21</f>
        <v>0</v>
      </c>
      <c r="H22" s="140">
        <f>'Condensed Financial Performance'!F21</f>
        <v>0</v>
      </c>
      <c r="I22" s="140">
        <f>'Condensed Financial Performance'!G21</f>
        <v>0</v>
      </c>
      <c r="J22" s="140">
        <f>'Condensed Financial Performance'!H21</f>
        <v>0</v>
      </c>
      <c r="K22" s="140">
        <f>'Condensed Financial Performance'!I21</f>
        <v>0</v>
      </c>
      <c r="L22" s="140">
        <f>'Condensed Financial Performance'!J21</f>
        <v>0</v>
      </c>
    </row>
    <row r="23" spans="1:13" s="117" customFormat="1" ht="14.25" customHeight="1" x14ac:dyDescent="0.25">
      <c r="A23" s="116"/>
      <c r="B23" s="184" t="s">
        <v>793</v>
      </c>
      <c r="C23" s="184"/>
      <c r="D23" s="184"/>
      <c r="E23" s="184"/>
      <c r="F23" s="113">
        <f>'Condensed Financial Performance'!D22</f>
        <v>0</v>
      </c>
      <c r="G23" s="113">
        <f>'Condensed Financial Performance'!E22</f>
        <v>0</v>
      </c>
      <c r="H23" s="113">
        <f>'Condensed Financial Performance'!F22</f>
        <v>0</v>
      </c>
      <c r="I23" s="113">
        <f>'Condensed Financial Performance'!G22</f>
        <v>0</v>
      </c>
      <c r="J23" s="113">
        <f>'Condensed Financial Performance'!H22</f>
        <v>0</v>
      </c>
      <c r="K23" s="113">
        <f>'Condensed Financial Performance'!I22</f>
        <v>0</v>
      </c>
      <c r="L23" s="113">
        <f>'Condensed Financial Performance'!J22</f>
        <v>0</v>
      </c>
    </row>
    <row r="24" spans="1:13" ht="14.25" customHeight="1" x14ac:dyDescent="0.25">
      <c r="A24" s="116"/>
      <c r="B24" s="194" t="s">
        <v>794</v>
      </c>
      <c r="C24" s="194"/>
      <c r="D24" s="194"/>
      <c r="E24" s="194"/>
      <c r="F24" s="121">
        <f>SUM(F20:F23)</f>
        <v>0</v>
      </c>
      <c r="G24" s="121">
        <f t="shared" ref="G24:L24" si="1">SUM(G20:G23)</f>
        <v>0</v>
      </c>
      <c r="H24" s="121">
        <f t="shared" si="1"/>
        <v>0</v>
      </c>
      <c r="I24" s="121">
        <f t="shared" si="1"/>
        <v>0</v>
      </c>
      <c r="J24" s="121">
        <f t="shared" si="1"/>
        <v>0</v>
      </c>
      <c r="K24" s="121">
        <f t="shared" si="1"/>
        <v>0</v>
      </c>
      <c r="L24" s="121">
        <f t="shared" si="1"/>
        <v>0</v>
      </c>
    </row>
    <row r="25" spans="1:13" s="127" customFormat="1" ht="14.25" customHeight="1" thickBot="1" x14ac:dyDescent="0.3">
      <c r="A25" s="122" t="s">
        <v>795</v>
      </c>
      <c r="B25" s="123"/>
      <c r="C25" s="123"/>
      <c r="D25" s="123"/>
      <c r="E25" s="124"/>
      <c r="F25" s="125">
        <f>F17-F24</f>
        <v>0</v>
      </c>
      <c r="G25" s="125">
        <f t="shared" ref="G25:L25" si="2">G17-G24</f>
        <v>0</v>
      </c>
      <c r="H25" s="125">
        <f t="shared" si="2"/>
        <v>0</v>
      </c>
      <c r="I25" s="125">
        <f t="shared" si="2"/>
        <v>0</v>
      </c>
      <c r="J25" s="125">
        <f t="shared" si="2"/>
        <v>0</v>
      </c>
      <c r="K25" s="125">
        <f t="shared" si="2"/>
        <v>0</v>
      </c>
      <c r="L25" s="125">
        <f t="shared" si="2"/>
        <v>0</v>
      </c>
      <c r="M25" s="126"/>
    </row>
    <row r="26" spans="1:13" ht="14.25" customHeight="1" thickTop="1" x14ac:dyDescent="0.25">
      <c r="A26" s="111" t="s">
        <v>796</v>
      </c>
      <c r="B26" s="9"/>
      <c r="C26" s="9"/>
      <c r="D26" s="9"/>
      <c r="E26" s="112"/>
      <c r="F26" s="113"/>
      <c r="G26" s="114"/>
      <c r="H26" s="113"/>
      <c r="I26" s="113"/>
      <c r="J26" s="106"/>
      <c r="K26" s="119"/>
      <c r="L26" s="120"/>
    </row>
    <row r="27" spans="1:13" ht="14.25" customHeight="1" x14ac:dyDescent="0.25">
      <c r="A27" s="111" t="s">
        <v>781</v>
      </c>
      <c r="B27" s="9"/>
      <c r="C27" s="9"/>
      <c r="D27" s="9"/>
      <c r="E27" s="112"/>
      <c r="F27" s="113"/>
      <c r="G27" s="115"/>
      <c r="H27" s="113"/>
      <c r="I27" s="113"/>
      <c r="J27" s="106"/>
      <c r="K27" s="119"/>
      <c r="L27" s="120"/>
    </row>
    <row r="28" spans="1:13" ht="14.25" customHeight="1" x14ac:dyDescent="0.25">
      <c r="A28" s="116"/>
      <c r="B28" s="184" t="s">
        <v>797</v>
      </c>
      <c r="C28" s="184"/>
      <c r="D28" s="184"/>
      <c r="E28" s="193"/>
      <c r="F28" s="113"/>
      <c r="G28" s="113"/>
      <c r="H28" s="113"/>
      <c r="I28" s="113"/>
      <c r="J28" s="113"/>
      <c r="K28" s="113"/>
      <c r="L28" s="113"/>
    </row>
    <row r="29" spans="1:13" ht="14.25" customHeight="1" x14ac:dyDescent="0.25">
      <c r="A29" s="116"/>
      <c r="B29" s="184" t="s">
        <v>798</v>
      </c>
      <c r="C29" s="184"/>
      <c r="D29" s="184"/>
      <c r="E29" s="193"/>
      <c r="F29" s="113"/>
      <c r="G29" s="113"/>
      <c r="H29" s="113"/>
      <c r="I29" s="113"/>
      <c r="J29" s="113"/>
      <c r="K29" s="113"/>
      <c r="L29" s="113"/>
    </row>
    <row r="30" spans="1:13" ht="14.25" customHeight="1" x14ac:dyDescent="0.25">
      <c r="A30" s="116"/>
      <c r="B30" s="184" t="s">
        <v>799</v>
      </c>
      <c r="C30" s="184"/>
      <c r="D30" s="184"/>
      <c r="E30" s="193"/>
      <c r="F30" s="113"/>
      <c r="G30" s="113"/>
      <c r="H30" s="113"/>
      <c r="I30" s="113"/>
      <c r="J30" s="113"/>
      <c r="K30" s="113"/>
      <c r="L30" s="113"/>
    </row>
    <row r="31" spans="1:13" ht="14.25" customHeight="1" thickBot="1" x14ac:dyDescent="0.3">
      <c r="A31" s="116"/>
      <c r="B31" s="184" t="s">
        <v>800</v>
      </c>
      <c r="C31" s="184"/>
      <c r="D31" s="184"/>
      <c r="E31" s="193"/>
      <c r="F31" s="113"/>
      <c r="G31" s="113"/>
      <c r="H31" s="113"/>
      <c r="I31" s="113"/>
      <c r="J31" s="113"/>
      <c r="K31" s="113"/>
      <c r="L31" s="113"/>
    </row>
    <row r="32" spans="1:13" ht="14.25" customHeight="1" thickBot="1" x14ac:dyDescent="0.3">
      <c r="A32" s="116"/>
      <c r="B32" s="194" t="s">
        <v>787</v>
      </c>
      <c r="C32" s="194"/>
      <c r="D32" s="194"/>
      <c r="E32" s="195"/>
      <c r="F32" s="118">
        <f>SUM(F28:F31)</f>
        <v>0</v>
      </c>
      <c r="G32" s="118">
        <f t="shared" ref="G32:L32" si="3">SUM(G28:G31)</f>
        <v>0</v>
      </c>
      <c r="H32" s="118">
        <f t="shared" si="3"/>
        <v>0</v>
      </c>
      <c r="I32" s="118">
        <f t="shared" si="3"/>
        <v>0</v>
      </c>
      <c r="J32" s="118">
        <f t="shared" si="3"/>
        <v>0</v>
      </c>
      <c r="K32" s="118">
        <f t="shared" si="3"/>
        <v>0</v>
      </c>
      <c r="L32" s="118">
        <f t="shared" si="3"/>
        <v>0</v>
      </c>
    </row>
    <row r="33" spans="1:12" ht="14.25" customHeight="1" x14ac:dyDescent="0.25">
      <c r="A33" s="111" t="s">
        <v>788</v>
      </c>
      <c r="B33" s="9"/>
      <c r="C33" s="9"/>
      <c r="D33" s="9"/>
      <c r="E33" s="112"/>
      <c r="F33" s="113"/>
      <c r="G33" s="115"/>
      <c r="H33" s="113"/>
      <c r="I33" s="113"/>
      <c r="J33" s="106"/>
      <c r="K33" s="119"/>
      <c r="L33" s="120"/>
    </row>
    <row r="34" spans="1:12" ht="14.25" customHeight="1" x14ac:dyDescent="0.25">
      <c r="A34" s="116"/>
      <c r="B34" s="184" t="s">
        <v>801</v>
      </c>
      <c r="C34" s="184"/>
      <c r="D34" s="184"/>
      <c r="E34" s="193"/>
      <c r="F34" s="113">
        <f>'Financial Position'!D21</f>
        <v>0</v>
      </c>
      <c r="G34" s="113">
        <f>'Financial Position'!E21</f>
        <v>0</v>
      </c>
      <c r="H34" s="113">
        <f>'Financial Position'!F21</f>
        <v>0</v>
      </c>
      <c r="I34" s="113">
        <f>'Financial Position'!G21</f>
        <v>0</v>
      </c>
      <c r="J34" s="113">
        <f>'Financial Position'!H21</f>
        <v>0</v>
      </c>
      <c r="K34" s="113">
        <f>'Financial Position'!I21</f>
        <v>0</v>
      </c>
      <c r="L34" s="113">
        <f>'Financial Position'!J21</f>
        <v>0</v>
      </c>
    </row>
    <row r="35" spans="1:12" ht="14.25" customHeight="1" x14ac:dyDescent="0.25">
      <c r="A35" s="116"/>
      <c r="B35" s="184" t="s">
        <v>802</v>
      </c>
      <c r="C35" s="184"/>
      <c r="D35" s="184"/>
      <c r="E35" s="193"/>
      <c r="F35" s="113">
        <f>'Financial Position'!D22</f>
        <v>0</v>
      </c>
      <c r="G35" s="113">
        <f>'Financial Position'!E22</f>
        <v>0</v>
      </c>
      <c r="H35" s="113">
        <f>'Financial Position'!F22</f>
        <v>0</v>
      </c>
      <c r="I35" s="113">
        <f>'Financial Position'!G22</f>
        <v>0</v>
      </c>
      <c r="J35" s="113">
        <f>'Financial Position'!H22</f>
        <v>0</v>
      </c>
      <c r="K35" s="113">
        <f>'Financial Position'!I22</f>
        <v>0</v>
      </c>
      <c r="L35" s="113">
        <f>'Financial Position'!J22</f>
        <v>0</v>
      </c>
    </row>
    <row r="36" spans="1:12" ht="14.25" customHeight="1" x14ac:dyDescent="0.25">
      <c r="A36" s="116"/>
      <c r="B36" s="184" t="s">
        <v>803</v>
      </c>
      <c r="C36" s="184"/>
      <c r="D36" s="184"/>
      <c r="E36" s="193"/>
      <c r="F36" s="113"/>
      <c r="G36" s="113"/>
      <c r="H36" s="113"/>
      <c r="I36" s="113"/>
      <c r="J36" s="113"/>
      <c r="K36" s="113"/>
      <c r="L36" s="113"/>
    </row>
    <row r="37" spans="1:12" ht="14.25" customHeight="1" x14ac:dyDescent="0.25">
      <c r="A37" s="116"/>
      <c r="B37" s="184" t="s">
        <v>804</v>
      </c>
      <c r="C37" s="184"/>
      <c r="D37" s="184"/>
      <c r="E37" s="193"/>
      <c r="F37" s="113"/>
      <c r="G37" s="113"/>
      <c r="H37" s="113"/>
      <c r="I37" s="113"/>
      <c r="J37" s="113"/>
      <c r="K37" s="113"/>
      <c r="L37" s="113"/>
    </row>
    <row r="38" spans="1:12" ht="14.25" customHeight="1" x14ac:dyDescent="0.25">
      <c r="A38" s="116"/>
      <c r="B38" s="184" t="s">
        <v>805</v>
      </c>
      <c r="C38" s="184"/>
      <c r="D38" s="184"/>
      <c r="E38" s="193"/>
      <c r="F38" s="113"/>
      <c r="G38" s="113"/>
      <c r="H38" s="113"/>
      <c r="I38" s="113"/>
      <c r="J38" s="113"/>
      <c r="K38" s="113"/>
      <c r="L38" s="113"/>
    </row>
    <row r="39" spans="1:12" ht="14.25" customHeight="1" thickBot="1" x14ac:dyDescent="0.3">
      <c r="A39" s="116"/>
      <c r="B39" s="184" t="s">
        <v>806</v>
      </c>
      <c r="C39" s="184"/>
      <c r="D39" s="184"/>
      <c r="E39" s="193"/>
      <c r="F39" s="113"/>
      <c r="G39" s="113"/>
      <c r="H39" s="113"/>
      <c r="I39" s="113"/>
      <c r="J39" s="113"/>
      <c r="K39" s="113"/>
      <c r="L39" s="113"/>
    </row>
    <row r="40" spans="1:12" ht="14.25" customHeight="1" thickBot="1" x14ac:dyDescent="0.3">
      <c r="A40" s="116"/>
      <c r="B40" s="194" t="s">
        <v>794</v>
      </c>
      <c r="C40" s="194"/>
      <c r="D40" s="194"/>
      <c r="E40" s="195"/>
      <c r="F40" s="118">
        <f>SUM(F34:F39)</f>
        <v>0</v>
      </c>
      <c r="G40" s="118">
        <f t="shared" ref="G40:L40" si="4">SUM(G34:G39)</f>
        <v>0</v>
      </c>
      <c r="H40" s="118">
        <f t="shared" si="4"/>
        <v>0</v>
      </c>
      <c r="I40" s="118">
        <f t="shared" si="4"/>
        <v>0</v>
      </c>
      <c r="J40" s="118">
        <f t="shared" si="4"/>
        <v>0</v>
      </c>
      <c r="K40" s="118">
        <f t="shared" si="4"/>
        <v>0</v>
      </c>
      <c r="L40" s="118">
        <f t="shared" si="4"/>
        <v>0</v>
      </c>
    </row>
    <row r="41" spans="1:12" s="127" customFormat="1" ht="14.25" customHeight="1" thickBot="1" x14ac:dyDescent="0.3">
      <c r="A41" s="122" t="s">
        <v>807</v>
      </c>
      <c r="B41" s="123"/>
      <c r="C41" s="123"/>
      <c r="D41" s="123"/>
      <c r="E41" s="124"/>
      <c r="F41" s="128">
        <f>F35</f>
        <v>0</v>
      </c>
      <c r="G41" s="128">
        <f t="shared" ref="G41:L41" si="5">G35</f>
        <v>0</v>
      </c>
      <c r="H41" s="128">
        <f t="shared" si="5"/>
        <v>0</v>
      </c>
      <c r="I41" s="128">
        <f t="shared" si="5"/>
        <v>0</v>
      </c>
      <c r="J41" s="128">
        <f t="shared" si="5"/>
        <v>0</v>
      </c>
      <c r="K41" s="128">
        <f t="shared" si="5"/>
        <v>0</v>
      </c>
      <c r="L41" s="128">
        <f t="shared" si="5"/>
        <v>0</v>
      </c>
    </row>
    <row r="42" spans="1:12" ht="14.25" customHeight="1" thickTop="1" x14ac:dyDescent="0.25">
      <c r="A42" s="111" t="s">
        <v>808</v>
      </c>
      <c r="B42" s="9"/>
      <c r="C42" s="9"/>
      <c r="D42" s="9"/>
      <c r="E42" s="112"/>
      <c r="F42" s="113"/>
      <c r="G42" s="114"/>
      <c r="H42" s="113"/>
      <c r="I42" s="113"/>
      <c r="J42" s="106"/>
      <c r="K42" s="106"/>
    </row>
    <row r="43" spans="1:12" ht="14.25" customHeight="1" x14ac:dyDescent="0.25">
      <c r="A43" s="111" t="s">
        <v>781</v>
      </c>
      <c r="B43" s="9"/>
      <c r="C43" s="9"/>
      <c r="D43" s="9"/>
      <c r="E43" s="112"/>
      <c r="F43" s="113"/>
      <c r="G43" s="115"/>
      <c r="H43" s="113"/>
      <c r="I43" s="113"/>
      <c r="J43" s="106"/>
      <c r="K43" s="106"/>
    </row>
    <row r="44" spans="1:12" ht="14.25" customHeight="1" x14ac:dyDescent="0.25">
      <c r="A44" s="116"/>
      <c r="B44" s="184" t="s">
        <v>809</v>
      </c>
      <c r="C44" s="184"/>
      <c r="D44" s="184"/>
      <c r="E44" s="193"/>
      <c r="F44" s="113"/>
      <c r="G44" s="115"/>
      <c r="H44" s="113"/>
      <c r="I44" s="113"/>
      <c r="J44" s="106"/>
      <c r="K44" s="106"/>
    </row>
    <row r="45" spans="1:12" ht="14.25" customHeight="1" thickBot="1" x14ac:dyDescent="0.3">
      <c r="A45" s="116"/>
      <c r="B45" s="184" t="s">
        <v>810</v>
      </c>
      <c r="C45" s="184"/>
      <c r="D45" s="184"/>
      <c r="E45" s="193"/>
      <c r="F45" s="113"/>
      <c r="G45" s="115"/>
      <c r="H45" s="113"/>
      <c r="I45" s="113"/>
      <c r="J45" s="106"/>
      <c r="K45" s="106"/>
    </row>
    <row r="46" spans="1:12" ht="14.25" customHeight="1" thickBot="1" x14ac:dyDescent="0.3">
      <c r="A46" s="116"/>
      <c r="B46" s="194" t="s">
        <v>787</v>
      </c>
      <c r="C46" s="194"/>
      <c r="D46" s="194"/>
      <c r="E46" s="195"/>
      <c r="F46" s="118">
        <f>F44+F45</f>
        <v>0</v>
      </c>
      <c r="G46" s="118">
        <f t="shared" ref="G46:L46" si="6">G44+G45</f>
        <v>0</v>
      </c>
      <c r="H46" s="118">
        <f t="shared" si="6"/>
        <v>0</v>
      </c>
      <c r="I46" s="118">
        <f t="shared" si="6"/>
        <v>0</v>
      </c>
      <c r="J46" s="118">
        <f t="shared" si="6"/>
        <v>0</v>
      </c>
      <c r="K46" s="118">
        <f t="shared" si="6"/>
        <v>0</v>
      </c>
      <c r="L46" s="118">
        <f t="shared" si="6"/>
        <v>0</v>
      </c>
    </row>
    <row r="47" spans="1:12" ht="14.25" customHeight="1" x14ac:dyDescent="0.25">
      <c r="A47" s="111" t="s">
        <v>788</v>
      </c>
      <c r="B47" s="9"/>
      <c r="C47" s="9"/>
      <c r="D47" s="9"/>
      <c r="E47" s="112"/>
      <c r="F47" s="113"/>
      <c r="G47" s="115"/>
      <c r="H47" s="113"/>
      <c r="I47" s="113"/>
      <c r="J47" s="106"/>
      <c r="K47" s="106"/>
    </row>
    <row r="48" spans="1:12" ht="14.25" customHeight="1" x14ac:dyDescent="0.25">
      <c r="A48" s="111"/>
      <c r="B48" s="184" t="s">
        <v>811</v>
      </c>
      <c r="C48" s="184"/>
      <c r="D48" s="184"/>
      <c r="E48" s="193"/>
      <c r="G48" s="115"/>
      <c r="H48" s="113"/>
      <c r="I48" s="113"/>
      <c r="J48" s="106"/>
      <c r="K48" s="106"/>
    </row>
    <row r="49" spans="1:15" ht="14.25" customHeight="1" x14ac:dyDescent="0.25">
      <c r="A49" s="116"/>
      <c r="B49" s="184" t="s">
        <v>812</v>
      </c>
      <c r="C49" s="184"/>
      <c r="D49" s="184"/>
      <c r="E49" s="193"/>
      <c r="F49" s="113"/>
      <c r="G49" s="115"/>
      <c r="H49" s="113"/>
      <c r="I49" s="113"/>
      <c r="J49" s="106"/>
      <c r="K49" s="106"/>
    </row>
    <row r="50" spans="1:15" ht="14.25" customHeight="1" thickBot="1" x14ac:dyDescent="0.3">
      <c r="A50" s="116"/>
      <c r="B50" s="184" t="s">
        <v>813</v>
      </c>
      <c r="C50" s="184"/>
      <c r="D50" s="184"/>
      <c r="E50" s="193"/>
      <c r="F50" s="113"/>
      <c r="G50" s="115"/>
      <c r="H50" s="113"/>
      <c r="I50" s="113"/>
      <c r="J50" s="106"/>
      <c r="K50" s="106"/>
    </row>
    <row r="51" spans="1:15" ht="14.25" customHeight="1" thickBot="1" x14ac:dyDescent="0.3">
      <c r="A51" s="116"/>
      <c r="B51" s="194" t="s">
        <v>794</v>
      </c>
      <c r="C51" s="194"/>
      <c r="D51" s="194"/>
      <c r="E51" s="195"/>
      <c r="F51" s="118">
        <f>SUM(F48:F50)</f>
        <v>0</v>
      </c>
      <c r="G51" s="118">
        <f t="shared" ref="G51:L51" si="7">SUM(G48:G50)</f>
        <v>0</v>
      </c>
      <c r="H51" s="118">
        <f t="shared" si="7"/>
        <v>0</v>
      </c>
      <c r="I51" s="118">
        <f t="shared" si="7"/>
        <v>0</v>
      </c>
      <c r="J51" s="118">
        <f t="shared" si="7"/>
        <v>0</v>
      </c>
      <c r="K51" s="118">
        <f t="shared" si="7"/>
        <v>0</v>
      </c>
      <c r="L51" s="118">
        <f t="shared" si="7"/>
        <v>0</v>
      </c>
      <c r="M51" s="129"/>
      <c r="N51" s="196"/>
      <c r="O51" s="197"/>
    </row>
    <row r="52" spans="1:15" s="127" customFormat="1" ht="14.25" customHeight="1" thickBot="1" x14ac:dyDescent="0.3">
      <c r="A52" s="122" t="s">
        <v>814</v>
      </c>
      <c r="B52" s="123"/>
      <c r="C52" s="123"/>
      <c r="D52" s="123"/>
      <c r="E52" s="124"/>
      <c r="F52" s="128">
        <f>F46-F51</f>
        <v>0</v>
      </c>
      <c r="G52" s="128">
        <f t="shared" ref="G52:L52" si="8">G46-G51</f>
        <v>0</v>
      </c>
      <c r="H52" s="128">
        <f t="shared" si="8"/>
        <v>0</v>
      </c>
      <c r="I52" s="128">
        <f t="shared" si="8"/>
        <v>0</v>
      </c>
      <c r="J52" s="128">
        <f t="shared" si="8"/>
        <v>0</v>
      </c>
      <c r="K52" s="128">
        <f t="shared" si="8"/>
        <v>0</v>
      </c>
      <c r="L52" s="128">
        <f t="shared" si="8"/>
        <v>0</v>
      </c>
      <c r="N52" s="198"/>
      <c r="O52" s="198"/>
    </row>
    <row r="53" spans="1:15" ht="14.25" customHeight="1" thickTop="1" thickBot="1" x14ac:dyDescent="0.3">
      <c r="A53" s="200" t="s">
        <v>815</v>
      </c>
      <c r="B53" s="201"/>
      <c r="C53" s="201"/>
      <c r="D53" s="201"/>
      <c r="E53" s="202"/>
      <c r="F53" s="130">
        <f>F25+F41</f>
        <v>0</v>
      </c>
      <c r="G53" s="130">
        <f t="shared" ref="G53:L53" si="9">G25+G41</f>
        <v>0</v>
      </c>
      <c r="H53" s="130">
        <f t="shared" si="9"/>
        <v>0</v>
      </c>
      <c r="I53" s="130">
        <f t="shared" si="9"/>
        <v>0</v>
      </c>
      <c r="J53" s="130">
        <f t="shared" si="9"/>
        <v>0</v>
      </c>
      <c r="K53" s="130">
        <f t="shared" si="9"/>
        <v>0</v>
      </c>
      <c r="L53" s="130">
        <f t="shared" si="9"/>
        <v>0</v>
      </c>
      <c r="M53" s="109"/>
    </row>
    <row r="54" spans="1:15" ht="14.25" customHeight="1" thickBot="1" x14ac:dyDescent="0.3">
      <c r="A54" s="200" t="s">
        <v>816</v>
      </c>
      <c r="B54" s="201"/>
      <c r="C54" s="201"/>
      <c r="D54" s="201"/>
      <c r="E54" s="202"/>
      <c r="F54" s="131"/>
      <c r="G54" s="131"/>
      <c r="H54" s="131"/>
      <c r="I54" s="131"/>
      <c r="J54" s="131"/>
      <c r="K54" s="131"/>
      <c r="L54" s="131"/>
      <c r="M54" s="109"/>
    </row>
    <row r="55" spans="1:15" s="133" customFormat="1" ht="14.25" customHeight="1" thickBot="1" x14ac:dyDescent="0.3">
      <c r="A55" s="203" t="s">
        <v>817</v>
      </c>
      <c r="B55" s="204"/>
      <c r="C55" s="204"/>
      <c r="D55" s="204"/>
      <c r="E55" s="205"/>
      <c r="F55" s="132">
        <f>F53+F54</f>
        <v>0</v>
      </c>
      <c r="G55" s="132">
        <f t="shared" ref="G55:L55" si="10">G53+G54</f>
        <v>0</v>
      </c>
      <c r="H55" s="132">
        <f t="shared" si="10"/>
        <v>0</v>
      </c>
      <c r="I55" s="132">
        <f t="shared" si="10"/>
        <v>0</v>
      </c>
      <c r="J55" s="132">
        <f t="shared" si="10"/>
        <v>0</v>
      </c>
      <c r="K55" s="132">
        <f t="shared" si="10"/>
        <v>0</v>
      </c>
      <c r="L55" s="132">
        <f t="shared" si="10"/>
        <v>0</v>
      </c>
      <c r="M55" s="134"/>
    </row>
    <row r="56" spans="1:15" ht="3.75" customHeight="1" thickTop="1" x14ac:dyDescent="0.25">
      <c r="M56" s="109"/>
    </row>
    <row r="57" spans="1:15" x14ac:dyDescent="0.25">
      <c r="A57" s="5" t="s">
        <v>26</v>
      </c>
      <c r="E57" s="49" t="s">
        <v>818</v>
      </c>
      <c r="F57" s="135"/>
      <c r="H57" s="135"/>
      <c r="I57" s="135"/>
      <c r="L57" s="129"/>
      <c r="M57" s="136"/>
    </row>
    <row r="58" spans="1:15" ht="17.25" customHeight="1" x14ac:dyDescent="0.25">
      <c r="F58" s="137"/>
      <c r="H58" s="137"/>
      <c r="I58" s="137"/>
    </row>
    <row r="59" spans="1:15" x14ac:dyDescent="0.25">
      <c r="A59" s="161"/>
      <c r="B59" s="161"/>
      <c r="C59" s="161"/>
      <c r="D59" s="161"/>
      <c r="E59" s="206" t="s">
        <v>819</v>
      </c>
      <c r="F59" s="161"/>
      <c r="G59" s="161"/>
      <c r="H59" s="3"/>
      <c r="I59" s="3"/>
      <c r="L59" s="109"/>
      <c r="M59" s="138"/>
      <c r="N59" s="109"/>
    </row>
    <row r="60" spans="1:15" x14ac:dyDescent="0.25">
      <c r="A60" s="199"/>
      <c r="B60" s="199"/>
      <c r="C60" s="199"/>
      <c r="D60" s="199"/>
      <c r="E60" s="199" t="s">
        <v>29</v>
      </c>
      <c r="F60" s="199"/>
      <c r="G60" s="199"/>
      <c r="H60" s="3"/>
      <c r="I60" s="3"/>
      <c r="L60" s="109"/>
      <c r="M60" s="109"/>
      <c r="N60" s="109"/>
    </row>
    <row r="61" spans="1:15" x14ac:dyDescent="0.25">
      <c r="L61" s="109"/>
    </row>
    <row r="62" spans="1:15" x14ac:dyDescent="0.25">
      <c r="F62" s="137"/>
      <c r="H62" s="137"/>
      <c r="I62" s="137"/>
    </row>
    <row r="63" spans="1:15" x14ac:dyDescent="0.25">
      <c r="F63" s="137"/>
      <c r="H63" s="137"/>
      <c r="I63" s="137"/>
    </row>
  </sheetData>
  <mergeCells count="49">
    <mergeCell ref="A60:D60"/>
    <mergeCell ref="E60:G60"/>
    <mergeCell ref="B48:E48"/>
    <mergeCell ref="B49:E49"/>
    <mergeCell ref="B50:E50"/>
    <mergeCell ref="B51:E51"/>
    <mergeCell ref="A53:E53"/>
    <mergeCell ref="A54:E54"/>
    <mergeCell ref="A55:E55"/>
    <mergeCell ref="A59:D59"/>
    <mergeCell ref="E59:G59"/>
    <mergeCell ref="N51:O51"/>
    <mergeCell ref="N52:O52"/>
    <mergeCell ref="B38:E38"/>
    <mergeCell ref="B39:E39"/>
    <mergeCell ref="B40:E40"/>
    <mergeCell ref="B44:E44"/>
    <mergeCell ref="B45:E45"/>
    <mergeCell ref="B46:E46"/>
    <mergeCell ref="B37:E37"/>
    <mergeCell ref="B22:E22"/>
    <mergeCell ref="B23:E23"/>
    <mergeCell ref="B24:E24"/>
    <mergeCell ref="B28:E28"/>
    <mergeCell ref="B29:E29"/>
    <mergeCell ref="B30:E30"/>
    <mergeCell ref="B31:E31"/>
    <mergeCell ref="B32:E32"/>
    <mergeCell ref="B34:E34"/>
    <mergeCell ref="B35:E35"/>
    <mergeCell ref="B36:E36"/>
    <mergeCell ref="B21:E21"/>
    <mergeCell ref="A7:I7"/>
    <mergeCell ref="A8:E8"/>
    <mergeCell ref="B11:E11"/>
    <mergeCell ref="B12:E12"/>
    <mergeCell ref="B13:E13"/>
    <mergeCell ref="B14:E14"/>
    <mergeCell ref="B15:E15"/>
    <mergeCell ref="B16:E16"/>
    <mergeCell ref="B17:E17"/>
    <mergeCell ref="B19:E19"/>
    <mergeCell ref="B20:E20"/>
    <mergeCell ref="A6:I6"/>
    <mergeCell ref="A1:I1"/>
    <mergeCell ref="A2:I2"/>
    <mergeCell ref="A3:I3"/>
    <mergeCell ref="A4:I4"/>
    <mergeCell ref="A5:I5"/>
  </mergeCells>
  <pageMargins left="0.7" right="0.7" top="0.75" bottom="0.75" header="0.3" footer="0.3"/>
  <pageSetup scale="67" orientation="portrait" r:id="rId1"/>
  <colBreaks count="1" manualBreakCount="1">
    <brk id="9" max="66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25BD-767A-4975-B729-D6219835A694}">
  <dimension ref="A1:N31"/>
  <sheetViews>
    <sheetView view="pageLayout" topLeftCell="A3" zoomScaleNormal="100" workbookViewId="0">
      <selection activeCell="H13" sqref="H13"/>
    </sheetView>
  </sheetViews>
  <sheetFormatPr defaultRowHeight="15" x14ac:dyDescent="0.2"/>
  <cols>
    <col min="1" max="6" width="9.140625" style="141"/>
    <col min="7" max="7" width="10.42578125" style="141" customWidth="1"/>
    <col min="8" max="8" width="16.7109375" style="141" customWidth="1"/>
    <col min="9" max="9" width="16.5703125" style="141" bestFit="1" customWidth="1"/>
    <col min="10" max="10" width="15.140625" style="141" bestFit="1" customWidth="1"/>
    <col min="11" max="11" width="14" style="141" customWidth="1"/>
    <col min="12" max="16384" width="9.140625" style="141"/>
  </cols>
  <sheetData>
    <row r="1" spans="1:14" ht="18" x14ac:dyDescent="0.25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</row>
    <row r="2" spans="1:14" ht="18" x14ac:dyDescent="0.2">
      <c r="A2" s="211" t="s">
        <v>1</v>
      </c>
      <c r="B2" s="211"/>
      <c r="C2" s="211"/>
      <c r="D2" s="211"/>
      <c r="E2" s="211"/>
      <c r="F2" s="211"/>
      <c r="G2" s="211"/>
      <c r="H2" s="211"/>
      <c r="I2" s="211"/>
      <c r="J2" s="211"/>
      <c r="K2" s="211"/>
    </row>
    <row r="3" spans="1:14" ht="18" x14ac:dyDescent="0.2">
      <c r="A3" s="211" t="s">
        <v>341</v>
      </c>
      <c r="B3" s="211"/>
      <c r="C3" s="211"/>
      <c r="D3" s="211"/>
      <c r="E3" s="211"/>
      <c r="F3" s="211"/>
      <c r="G3" s="211"/>
      <c r="H3" s="211"/>
      <c r="I3" s="211"/>
      <c r="J3" s="211"/>
      <c r="K3" s="211"/>
    </row>
    <row r="4" spans="1:14" ht="18" x14ac:dyDescent="0.25">
      <c r="A4" s="207"/>
      <c r="B4" s="207"/>
      <c r="C4" s="207"/>
      <c r="D4" s="207"/>
      <c r="E4" s="207"/>
      <c r="F4" s="207"/>
      <c r="G4" s="207"/>
      <c r="H4" s="207"/>
      <c r="I4" s="207"/>
      <c r="J4" s="207"/>
      <c r="K4" s="207"/>
    </row>
    <row r="5" spans="1:14" ht="18" x14ac:dyDescent="0.2">
      <c r="A5" s="212" t="s">
        <v>821</v>
      </c>
      <c r="B5" s="212"/>
      <c r="C5" s="212"/>
      <c r="D5" s="212"/>
      <c r="E5" s="212"/>
      <c r="F5" s="212"/>
      <c r="G5" s="212"/>
      <c r="H5" s="212"/>
      <c r="I5" s="212"/>
      <c r="J5" s="212"/>
      <c r="K5" s="212"/>
    </row>
    <row r="6" spans="1:14" ht="18" x14ac:dyDescent="0.2">
      <c r="A6" s="211"/>
      <c r="B6" s="211"/>
      <c r="C6" s="211"/>
      <c r="D6" s="211"/>
      <c r="E6" s="211"/>
      <c r="F6" s="211"/>
      <c r="G6" s="211"/>
      <c r="H6" s="211"/>
      <c r="I6" s="211"/>
      <c r="J6" s="211"/>
      <c r="K6" s="211"/>
    </row>
    <row r="8" spans="1:14" x14ac:dyDescent="0.2">
      <c r="A8" s="142"/>
      <c r="B8" s="142"/>
      <c r="C8" s="142"/>
      <c r="D8" s="142"/>
      <c r="E8" s="142"/>
      <c r="F8" s="142"/>
      <c r="G8" s="142"/>
      <c r="H8" s="142"/>
    </row>
    <row r="9" spans="1:14" ht="15.75" x14ac:dyDescent="0.25">
      <c r="H9" s="208" t="s">
        <v>822</v>
      </c>
      <c r="I9" s="208"/>
      <c r="J9" s="208"/>
    </row>
    <row r="10" spans="1:14" ht="15.75" x14ac:dyDescent="0.25">
      <c r="H10" s="208" t="s">
        <v>823</v>
      </c>
      <c r="I10" s="208"/>
      <c r="J10" s="208"/>
    </row>
    <row r="11" spans="1:14" x14ac:dyDescent="0.2">
      <c r="H11" s="144"/>
    </row>
    <row r="12" spans="1:14" ht="15.75" x14ac:dyDescent="0.25">
      <c r="H12" s="145"/>
      <c r="I12" s="145"/>
      <c r="J12" s="145"/>
    </row>
    <row r="13" spans="1:14" ht="15.75" x14ac:dyDescent="0.25">
      <c r="H13" s="143"/>
    </row>
    <row r="14" spans="1:14" ht="15.75" x14ac:dyDescent="0.2">
      <c r="A14" s="210"/>
      <c r="B14" s="210"/>
      <c r="C14" s="210"/>
      <c r="D14" s="210"/>
      <c r="E14" s="210"/>
      <c r="H14" s="147"/>
      <c r="I14" s="147"/>
      <c r="J14" s="147"/>
      <c r="K14" s="147"/>
      <c r="L14" s="147"/>
      <c r="M14" s="147"/>
      <c r="N14" s="147"/>
    </row>
    <row r="15" spans="1:14" x14ac:dyDescent="0.2">
      <c r="A15" s="144" t="s">
        <v>824</v>
      </c>
      <c r="H15" s="147"/>
      <c r="I15" s="147"/>
      <c r="J15" s="147"/>
      <c r="K15" s="147"/>
      <c r="L15" s="147"/>
      <c r="M15" s="147"/>
      <c r="N15" s="147"/>
    </row>
    <row r="16" spans="1:14" x14ac:dyDescent="0.2">
      <c r="B16" s="144" t="s">
        <v>825</v>
      </c>
      <c r="H16" s="147"/>
      <c r="I16" s="147"/>
      <c r="J16" s="147"/>
      <c r="K16" s="147"/>
      <c r="L16" s="147"/>
      <c r="M16" s="147"/>
      <c r="N16" s="147"/>
    </row>
    <row r="17" spans="1:14" x14ac:dyDescent="0.2">
      <c r="B17" s="144" t="s">
        <v>826</v>
      </c>
      <c r="H17" s="148"/>
      <c r="I17" s="148"/>
      <c r="J17" s="148"/>
      <c r="K17" s="148"/>
      <c r="L17" s="148"/>
      <c r="M17" s="148"/>
      <c r="N17" s="148"/>
    </row>
    <row r="18" spans="1:14" ht="15.75" x14ac:dyDescent="0.25">
      <c r="A18" s="146" t="s">
        <v>827</v>
      </c>
      <c r="H18" s="147">
        <f>H14+H17</f>
        <v>0</v>
      </c>
      <c r="I18" s="147">
        <f t="shared" ref="I18:N18" si="0">I14+I17</f>
        <v>0</v>
      </c>
      <c r="J18" s="147">
        <f t="shared" si="0"/>
        <v>0</v>
      </c>
      <c r="K18" s="147">
        <f t="shared" si="0"/>
        <v>0</v>
      </c>
      <c r="L18" s="147">
        <f t="shared" si="0"/>
        <v>0</v>
      </c>
      <c r="M18" s="147">
        <f t="shared" si="0"/>
        <v>0</v>
      </c>
      <c r="N18" s="147">
        <f t="shared" si="0"/>
        <v>0</v>
      </c>
    </row>
    <row r="19" spans="1:14" ht="15.75" x14ac:dyDescent="0.25">
      <c r="A19" s="146" t="s">
        <v>828</v>
      </c>
      <c r="H19" s="147"/>
      <c r="I19" s="147"/>
      <c r="J19" s="147"/>
      <c r="K19" s="147"/>
      <c r="L19" s="147"/>
      <c r="M19" s="147"/>
      <c r="N19" s="147"/>
    </row>
    <row r="20" spans="1:14" x14ac:dyDescent="0.2">
      <c r="A20" s="144" t="s">
        <v>829</v>
      </c>
      <c r="H20" s="147"/>
      <c r="I20" s="147"/>
      <c r="J20" s="147"/>
      <c r="K20" s="147"/>
      <c r="L20" s="147"/>
      <c r="M20" s="147"/>
      <c r="N20" s="147"/>
    </row>
    <row r="21" spans="1:14" x14ac:dyDescent="0.2">
      <c r="A21" s="144" t="s">
        <v>830</v>
      </c>
      <c r="H21" s="149">
        <f>'Condensed Financial Performance'!D29</f>
        <v>0</v>
      </c>
      <c r="I21" s="149">
        <f>'Condensed Financial Performance'!E29</f>
        <v>0</v>
      </c>
      <c r="J21" s="149">
        <f>'Condensed Financial Performance'!F29</f>
        <v>0</v>
      </c>
      <c r="K21" s="149">
        <f>'Condensed Financial Performance'!G29</f>
        <v>0</v>
      </c>
      <c r="L21" s="149">
        <f>'Condensed Financial Performance'!H29</f>
        <v>0</v>
      </c>
      <c r="M21" s="149">
        <f>'Condensed Financial Performance'!I29</f>
        <v>0</v>
      </c>
      <c r="N21" s="149">
        <f>'Condensed Financial Performance'!J29</f>
        <v>0</v>
      </c>
    </row>
    <row r="22" spans="1:14" ht="15.75" x14ac:dyDescent="0.25">
      <c r="A22" s="146" t="s">
        <v>831</v>
      </c>
      <c r="H22" s="147">
        <f>SUM(H20:H21)</f>
        <v>0</v>
      </c>
      <c r="I22" s="147">
        <f t="shared" ref="I22:N22" si="1">SUM(I20:I21)</f>
        <v>0</v>
      </c>
      <c r="J22" s="147">
        <f t="shared" si="1"/>
        <v>0</v>
      </c>
      <c r="K22" s="147">
        <f t="shared" si="1"/>
        <v>0</v>
      </c>
      <c r="L22" s="147">
        <f t="shared" si="1"/>
        <v>0</v>
      </c>
      <c r="M22" s="147">
        <f t="shared" si="1"/>
        <v>0</v>
      </c>
      <c r="N22" s="147">
        <f t="shared" si="1"/>
        <v>0</v>
      </c>
    </row>
    <row r="23" spans="1:14" ht="15.75" x14ac:dyDescent="0.25">
      <c r="A23" s="146"/>
      <c r="H23" s="147"/>
      <c r="I23" s="147"/>
      <c r="J23" s="147"/>
      <c r="K23" s="147"/>
      <c r="L23" s="147"/>
      <c r="M23" s="147"/>
      <c r="N23" s="147"/>
    </row>
    <row r="24" spans="1:14" ht="16.5" thickBot="1" x14ac:dyDescent="0.3">
      <c r="A24" s="210"/>
      <c r="B24" s="210"/>
      <c r="C24" s="210"/>
      <c r="D24" s="210"/>
      <c r="E24" s="210"/>
      <c r="H24" s="150">
        <f>H18+H22</f>
        <v>0</v>
      </c>
      <c r="I24" s="150">
        <f t="shared" ref="I24:N24" si="2">I18+I22</f>
        <v>0</v>
      </c>
      <c r="J24" s="150">
        <f t="shared" si="2"/>
        <v>0</v>
      </c>
      <c r="K24" s="150">
        <f t="shared" si="2"/>
        <v>0</v>
      </c>
      <c r="L24" s="150">
        <f t="shared" si="2"/>
        <v>0</v>
      </c>
      <c r="M24" s="150">
        <f t="shared" si="2"/>
        <v>0</v>
      </c>
      <c r="N24" s="150">
        <f t="shared" si="2"/>
        <v>0</v>
      </c>
    </row>
    <row r="25" spans="1:14" ht="15.75" thickTop="1" x14ac:dyDescent="0.2">
      <c r="H25" s="147"/>
    </row>
    <row r="26" spans="1:14" x14ac:dyDescent="0.2">
      <c r="H26" s="151"/>
    </row>
    <row r="27" spans="1:14" x14ac:dyDescent="0.2">
      <c r="A27" s="141" t="s">
        <v>26</v>
      </c>
      <c r="F27" s="144" t="s">
        <v>27</v>
      </c>
      <c r="H27" s="151"/>
    </row>
    <row r="28" spans="1:14" x14ac:dyDescent="0.2">
      <c r="H28" s="152"/>
    </row>
    <row r="30" spans="1:14" ht="15.75" x14ac:dyDescent="0.25">
      <c r="A30" s="208"/>
      <c r="B30" s="208"/>
      <c r="C30" s="208"/>
      <c r="F30" s="208" t="s">
        <v>28</v>
      </c>
      <c r="G30" s="208"/>
      <c r="H30" s="208"/>
    </row>
    <row r="31" spans="1:14" x14ac:dyDescent="0.2">
      <c r="A31" s="209"/>
      <c r="B31" s="209"/>
      <c r="C31" s="209"/>
      <c r="F31" s="209" t="s">
        <v>29</v>
      </c>
      <c r="G31" s="209"/>
      <c r="H31" s="209"/>
    </row>
  </sheetData>
  <mergeCells count="14">
    <mergeCell ref="A1:K1"/>
    <mergeCell ref="A30:C30"/>
    <mergeCell ref="F30:H30"/>
    <mergeCell ref="A31:C31"/>
    <mergeCell ref="F31:H31"/>
    <mergeCell ref="A24:E24"/>
    <mergeCell ref="A2:K2"/>
    <mergeCell ref="A4:K4"/>
    <mergeCell ref="A14:E14"/>
    <mergeCell ref="H9:J9"/>
    <mergeCell ref="H10:J10"/>
    <mergeCell ref="A6:K6"/>
    <mergeCell ref="A5:K5"/>
    <mergeCell ref="A3:K3"/>
  </mergeCells>
  <pageMargins left="0.7" right="0.7" top="0.75" bottom="0.75" header="0.3" footer="0.3"/>
  <pageSetup scale="7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Detailed Financial Performance</vt:lpstr>
      <vt:lpstr>Condensed Financial Performance</vt:lpstr>
      <vt:lpstr>Detailed Financial Position</vt:lpstr>
      <vt:lpstr>Financial Position</vt:lpstr>
      <vt:lpstr>Cash Flows</vt:lpstr>
      <vt:lpstr>Changes in Assets</vt:lpstr>
      <vt:lpstr>'Cash Flows'!Print_Area</vt:lpstr>
      <vt:lpstr>'Changes in Assets'!Print_Area</vt:lpstr>
      <vt:lpstr>'Detailed Financial Position'!Print_Area</vt:lpstr>
      <vt:lpstr>'Financial Position'!Print_Area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Flores</dc:creator>
  <cp:lastModifiedBy>PC</cp:lastModifiedBy>
  <dcterms:created xsi:type="dcterms:W3CDTF">2024-01-18T08:29:05Z</dcterms:created>
  <dcterms:modified xsi:type="dcterms:W3CDTF">2026-05-07T07:39:08Z</dcterms:modified>
</cp:coreProperties>
</file>